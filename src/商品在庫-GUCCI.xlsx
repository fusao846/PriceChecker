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5" yWindow="510" windowWidth="27360" windowHeight="16770" tabRatio="600" firstSheet="0" activeTab="0" autoFilterDateGrouping="1"/>
  </bookViews>
  <sheets>
    <sheet name="在庫管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¥&quot;#,##0;[Red]&quot;¥&quot;\-#,##0"/>
  </numFmts>
  <fonts count="1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Ｐゴシック"/>
      <charset val="128"/>
      <family val="3"/>
      <color theme="1"/>
      <sz val="11"/>
    </font>
    <font>
      <name val="ＭＳ Ｐゴシック"/>
      <charset val="128"/>
      <family val="3"/>
      <color rgb="FF0070C0"/>
      <sz val="11"/>
    </font>
    <font>
      <name val="ＭＳ Ｐゴシック"/>
      <charset val="128"/>
      <family val="3"/>
      <color rgb="FF000000"/>
      <sz val="11"/>
    </font>
    <font>
      <name val="ＭＳ Ｐゴシック"/>
      <charset val="128"/>
      <family val="3"/>
      <color rgb="FFFF0000"/>
      <sz val="11"/>
    </font>
    <font>
      <name val="ＭＳ Ｐゴシック"/>
      <charset val="128"/>
      <family val="3"/>
      <color rgb="FF000000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color rgb="FFFF0000"/>
      <sz val="11"/>
    </font>
    <font>
      <name val="ＭＳ Ｐゴシック"/>
      <sz val="11"/>
    </font>
    <font>
      <name val="ＭＳ Ｐゴシック"/>
      <color rgb="00000000"/>
      <sz val="11"/>
    </font>
    <font>
      <name val="ＭＳ Ｐゴシック"/>
      <color rgb="00FF0000"/>
      <sz val="11"/>
    </font>
  </fonts>
  <fills count="4">
    <fill>
      <patternFill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3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0" borderId="0" pivotButton="0" quotePrefix="0" xfId="0"/>
    <xf numFmtId="164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0" fillId="0" borderId="0" pivotButton="0" quotePrefix="0" xfId="0"/>
    <xf numFmtId="0" fontId="11" fillId="0" borderId="0" applyAlignment="1" pivotButton="0" quotePrefix="0" xfId="0">
      <alignment horizontal="left"/>
    </xf>
    <xf numFmtId="164" fontId="3" fillId="0" borderId="0" pivotButton="0" quotePrefix="0" xfId="0"/>
    <xf numFmtId="0" fontId="11" fillId="0" borderId="0" pivotButton="0" quotePrefix="0" xfId="0"/>
    <xf numFmtId="0" fontId="10" fillId="0" borderId="0" pivotButton="0" quotePrefix="0" xfId="0"/>
    <xf numFmtId="164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/>
    </xf>
    <xf numFmtId="0" fontId="12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5"/>
  <sheetViews>
    <sheetView tabSelected="1" topLeftCell="A2028" workbookViewId="0">
      <selection activeCell="J2045" sqref="J2:K2045"/>
    </sheetView>
  </sheetViews>
  <sheetFormatPr baseColWidth="8" defaultRowHeight="18" customHeight="1" outlineLevelCol="0"/>
  <cols>
    <col width="13.625" customWidth="1" style="8" min="1" max="1"/>
    <col width="13" customWidth="1" style="8" min="2" max="2"/>
    <col width="9" customWidth="1" style="5" min="3" max="3"/>
    <col width="19.25" customWidth="1" style="8" min="4" max="4"/>
    <col width="12.875" customWidth="1" style="8" min="5" max="5"/>
    <col width="13.75" customWidth="1" style="8" min="6" max="6"/>
    <col width="30.125" customWidth="1" style="8" min="7" max="7"/>
    <col width="56.625" customWidth="1" style="8" min="8" max="8"/>
    <col width="11.25" customWidth="1" style="8" min="9" max="9"/>
    <col width="12" customWidth="1" style="8" min="10" max="10"/>
    <col width="9" customWidth="1" style="5" min="11" max="18"/>
    <col width="9" customWidth="1" style="5" min="19" max="16384"/>
  </cols>
  <sheetData>
    <row r="1" ht="18" customHeight="1" s="16">
      <c r="B1" s="6" t="inlineStr">
        <is>
          <t>商品ID(大)</t>
        </is>
      </c>
      <c r="C1" s="6" t="n"/>
      <c r="D1" s="6" t="inlineStr">
        <is>
          <t>商品名</t>
        </is>
      </c>
      <c r="E1" s="6" t="inlineStr">
        <is>
          <t>品番</t>
        </is>
      </c>
      <c r="F1" s="6" t="inlineStr">
        <is>
          <t>カラー</t>
        </is>
      </c>
      <c r="G1" s="6" t="inlineStr">
        <is>
          <t>サイズ</t>
        </is>
      </c>
      <c r="H1" s="7" t="inlineStr">
        <is>
          <t>変更後サイズ</t>
        </is>
      </c>
      <c r="I1" s="6" t="inlineStr">
        <is>
          <t>仕入値</t>
        </is>
      </c>
      <c r="J1" s="7" t="inlineStr">
        <is>
          <t>変更後価格</t>
        </is>
      </c>
      <c r="K1" s="7" t="inlineStr">
        <is>
          <t>在庫数</t>
        </is>
      </c>
      <c r="L1" s="6" t="inlineStr">
        <is>
          <t>URL</t>
        </is>
      </c>
    </row>
    <row r="2" ht="18" customHeight="1" s="16">
      <c r="A2" s="5" t="n">
        <v>1</v>
      </c>
      <c r="B2" s="5" t="inlineStr">
        <is>
          <t>GU-2253</t>
        </is>
      </c>
      <c r="D2" s="5" t="inlineStr">
        <is>
          <t>ジャッキー 1961 スモール ショルダーバッグ</t>
        </is>
      </c>
      <c r="E2" s="5" t="inlineStr">
        <is>
          <t>810232 AAD5V 6449</t>
        </is>
      </c>
      <c r="F2" s="5" t="inlineStr">
        <is>
          <t>グッチ ロッソ アンコーラ（深い赤）レザー</t>
        </is>
      </c>
      <c r="G2" s="10" t="inlineStr">
        <is>
          <t>OneSize</t>
        </is>
      </c>
      <c r="H2" s="17" t="inlineStr">
        <is>
          <t>OneSize</t>
        </is>
      </c>
      <c r="I2" s="18" t="n">
        <v>495000</v>
      </c>
      <c r="J2" s="19" t="n">
        <v>539000</v>
      </c>
      <c r="K2" s="20" t="n">
        <v>5</v>
      </c>
      <c r="L2" s="4" t="inlineStr">
        <is>
          <t>https://www.gucci.com/jp/ja/pr/women/handbags/shoulder-bags-for-women/half-moon-bags-for-women/gucci-jackie-1961-small-shoulder-bag-p-810232AAD5V6449</t>
        </is>
      </c>
      <c r="M2" s="5">
        <f t="array" ref="M2">_xlfn.IFS(J2="NOTFOUND",I2,J2&gt;=I2,J2)</f>
        <v/>
      </c>
    </row>
    <row r="3" ht="18" customHeight="1" s="16">
      <c r="A3" s="5" t="n">
        <v>2</v>
      </c>
      <c r="B3" s="5" t="inlineStr">
        <is>
          <t>GU-2254</t>
        </is>
      </c>
      <c r="D3" s="5" t="inlineStr">
        <is>
          <t>ジャッキー 1961 スモール ショルダーバッグ</t>
        </is>
      </c>
      <c r="E3" s="5" t="inlineStr">
        <is>
          <t>810232 AAD5V 1541</t>
        </is>
      </c>
      <c r="F3" s="5" t="inlineStr">
        <is>
          <t>トープ レザー</t>
        </is>
      </c>
      <c r="G3" s="10" t="inlineStr">
        <is>
          <t>OneSize</t>
        </is>
      </c>
      <c r="H3" s="17" t="inlineStr">
        <is>
          <t>OneSize</t>
        </is>
      </c>
      <c r="I3" s="18" t="n">
        <v>495000</v>
      </c>
      <c r="J3" s="19" t="n">
        <v>539000</v>
      </c>
      <c r="K3" s="20" t="n">
        <v>5</v>
      </c>
      <c r="L3" s="4" t="inlineStr">
        <is>
          <t>https://www.gucci.com/jp/ja/pr/women/handbags/shoulder-bags-for-women/half-moon-bags-for-women/gucci-jackie-1961-small-shoulder-bag-p-810232AAD5V1541</t>
        </is>
      </c>
      <c r="M3" s="5">
        <f t="array" ref="M3">_xlfn.IFS(J3="NOTFOUND",I3,J3&gt;=I3,J3)</f>
        <v/>
      </c>
    </row>
    <row r="4" ht="18" customHeight="1" s="16">
      <c r="A4" s="5" t="n">
        <v>3</v>
      </c>
      <c r="B4" s="5" t="inlineStr">
        <is>
          <t>GU-2255</t>
        </is>
      </c>
      <c r="D4" s="5" t="inlineStr">
        <is>
          <t>ジャッキー 1961 スモール ショルダーバッグ</t>
        </is>
      </c>
      <c r="E4" s="5" t="inlineStr">
        <is>
          <t>810232 AAD5V 1060</t>
        </is>
      </c>
      <c r="F4" s="5" t="inlineStr">
        <is>
          <t>ブラック レザー</t>
        </is>
      </c>
      <c r="G4" s="10" t="inlineStr">
        <is>
          <t>OneSize</t>
        </is>
      </c>
      <c r="H4" s="17" t="inlineStr">
        <is>
          <t>OneSize</t>
        </is>
      </c>
      <c r="I4" s="18" t="n">
        <v>495000</v>
      </c>
      <c r="J4" s="19" t="n">
        <v>539000</v>
      </c>
      <c r="K4" s="20" t="n">
        <v>5</v>
      </c>
      <c r="L4" s="4" t="inlineStr">
        <is>
          <t>https://www.gucci.com/jp/ja/pr/women/handbags/shoulder-bags-for-women/half-moon-bags-for-women/gucci-jackie-1961-small-shoulder-bag-p-810232AAD5V1060</t>
        </is>
      </c>
      <c r="M4" s="5">
        <f t="array" ref="M4">_xlfn.IFS(J4="NOTFOUND",I4,J4&gt;=I4,J4)</f>
        <v/>
      </c>
    </row>
    <row r="5" ht="18" customHeight="1" s="16">
      <c r="A5" s="5" t="n">
        <v>4</v>
      </c>
      <c r="B5" s="5" t="inlineStr">
        <is>
          <t>GU-2256</t>
        </is>
      </c>
      <c r="D5" s="5" t="inlineStr">
        <is>
          <t>ジャッキー 1961 スモール ショルダーバッグ</t>
        </is>
      </c>
      <c r="E5" s="5" t="inlineStr">
        <is>
          <t>810232 AAD5V 2542</t>
        </is>
      </c>
      <c r="F5" s="5" t="inlineStr">
        <is>
          <t>ブラウン レザー</t>
        </is>
      </c>
      <c r="G5" s="10" t="inlineStr">
        <is>
          <t>OneSize</t>
        </is>
      </c>
      <c r="H5" s="17" t="inlineStr">
        <is>
          <t>OneSize</t>
        </is>
      </c>
      <c r="I5" s="18" t="n">
        <v>495000</v>
      </c>
      <c r="J5" s="19" t="n">
        <v>539000</v>
      </c>
      <c r="K5" s="20" t="n">
        <v>5</v>
      </c>
      <c r="L5" s="4" t="inlineStr">
        <is>
          <t>https://www.gucci.com/jp/ja/pr/women/handbags/shoulder-bags-for-women/half-moon-bags-for-women/gucci-jackie-1961-small-shoulder-bag-p-810232AAD5V2542</t>
        </is>
      </c>
      <c r="M5" s="5">
        <f t="array" ref="M5">_xlfn.IFS(J5="NOTFOUND",I5,J5&gt;=I5,J5)</f>
        <v/>
      </c>
    </row>
    <row r="6" ht="18" customHeight="1" s="16">
      <c r="A6" s="5" t="n">
        <v>5</v>
      </c>
      <c r="B6" s="5" t="inlineStr">
        <is>
          <t>GU-2257</t>
        </is>
      </c>
      <c r="D6" s="5" t="inlineStr">
        <is>
          <t>GGマーモント ミニ ショルダーバッグ</t>
        </is>
      </c>
      <c r="E6" s="5" t="inlineStr">
        <is>
          <t>446744 AADPJ 6207</t>
        </is>
      </c>
      <c r="F6" s="5" t="inlineStr">
        <is>
          <t>グッチ ロッソ アンコーラ</t>
        </is>
      </c>
      <c r="G6" s="11" t="inlineStr">
        <is>
          <t>SOLD</t>
        </is>
      </c>
      <c r="H6" s="22" t="inlineStr">
        <is>
          <t>SOLD</t>
        </is>
      </c>
      <c r="I6" s="18" t="n">
        <v>302500</v>
      </c>
      <c r="J6" s="23" t="inlineStr">
        <is>
          <t>NOTFOUND</t>
        </is>
      </c>
      <c r="K6" s="20" t="n">
        <v>0</v>
      </c>
      <c r="L6" s="4" t="inlineStr">
        <is>
          <t>https://www.gucci.com/jp/ja/pr/women/handbags/mini-bags-for-women/gg-marmont-mini-shoulder-bag-p-446744AADPJ6207</t>
        </is>
      </c>
      <c r="M6" s="5">
        <f t="array" ref="M6">_xlfn.IFS(J6="NOTFOUND",I6,J6&gt;=I6,J6)</f>
        <v/>
      </c>
    </row>
    <row r="7" ht="18" customHeight="1" s="16">
      <c r="A7" s="5" t="n">
        <v>6</v>
      </c>
      <c r="B7" s="5" t="inlineStr">
        <is>
          <t>GU-2258</t>
        </is>
      </c>
      <c r="D7" s="5" t="inlineStr">
        <is>
          <t>GGマーモント スモール マルチポケットバッグ</t>
        </is>
      </c>
      <c r="E7" s="5" t="inlineStr">
        <is>
          <t>795228 AADPJ 6207</t>
        </is>
      </c>
      <c r="F7" s="5" t="inlineStr">
        <is>
          <t>グッチ ロッソ アンコーラ レザー</t>
        </is>
      </c>
      <c r="G7" s="11" t="inlineStr">
        <is>
          <t>SOLD</t>
        </is>
      </c>
      <c r="H7" s="22" t="inlineStr">
        <is>
          <t>SOLD</t>
        </is>
      </c>
      <c r="I7" s="18" t="n">
        <v>572000</v>
      </c>
      <c r="J7" s="23" t="inlineStr">
        <is>
          <t>NOTFOUND</t>
        </is>
      </c>
      <c r="K7" s="20" t="n">
        <v>0</v>
      </c>
      <c r="L7" s="4" t="inlineStr">
        <is>
          <t>https://www.gucci.com/jp/ja/pr/women/handbags/shoulder-bags-for-women/chain-bags-for-women/gg-marmont-small-multi-pocket-bag-p-795228AADPJ6207</t>
        </is>
      </c>
      <c r="M7" s="5">
        <f t="array" ref="M7">_xlfn.IFS(J7="NOTFOUND",I7,J7&gt;=I7,J7)</f>
        <v/>
      </c>
    </row>
    <row r="8" ht="18" customHeight="1" s="16">
      <c r="A8" s="5" t="n">
        <v>7</v>
      </c>
      <c r="B8" s="5" t="inlineStr">
        <is>
          <t>GU-2259</t>
        </is>
      </c>
      <c r="D8" s="5" t="inlineStr">
        <is>
          <t>GGマーモント スモール ショルダーバッグ</t>
        </is>
      </c>
      <c r="E8" s="5" t="inlineStr">
        <is>
          <t>447632 AABZB 1712</t>
        </is>
      </c>
      <c r="F8" s="5" t="inlineStr">
        <is>
          <t>ライトグレー レザー</t>
        </is>
      </c>
      <c r="G8" s="10" t="inlineStr">
        <is>
          <t>OneSize</t>
        </is>
      </c>
      <c r="H8" s="22" t="inlineStr">
        <is>
          <t>SOLD</t>
        </is>
      </c>
      <c r="I8" s="18" t="n">
        <v>227700</v>
      </c>
      <c r="J8" s="19" t="n">
        <v>264000</v>
      </c>
      <c r="K8" s="20" t="n">
        <v>0</v>
      </c>
      <c r="L8" s="4" t="inlineStr">
        <is>
          <t>https://www.gucci.com/jp/ja/pr/women/handbags/shoulder-bags-for-women/camera-bags-for-women/gg-marmont-small-shoulder-bag-p-447632AABZB1712</t>
        </is>
      </c>
      <c r="M8" s="5">
        <f t="array" ref="M8">_xlfn.IFS(J8="NOTFOUND",I8,J8&gt;=I8,J8)</f>
        <v/>
      </c>
    </row>
    <row r="9" ht="18" customHeight="1" s="16">
      <c r="A9" s="5" t="n">
        <v>8</v>
      </c>
      <c r="B9" s="5" t="inlineStr">
        <is>
          <t>GU-2260</t>
        </is>
      </c>
      <c r="D9" s="5" t="inlineStr">
        <is>
          <t>GGマーモント スモール ショルダーバッグ</t>
        </is>
      </c>
      <c r="E9" s="5" t="inlineStr">
        <is>
          <t>443497 AABZC 1712</t>
        </is>
      </c>
      <c r="F9" s="5" t="inlineStr">
        <is>
          <t>ライトグレー レザー</t>
        </is>
      </c>
      <c r="G9" s="10" t="inlineStr">
        <is>
          <t>OneSize</t>
        </is>
      </c>
      <c r="H9" s="17" t="inlineStr">
        <is>
          <t>OneSize</t>
        </is>
      </c>
      <c r="I9" s="18" t="n">
        <v>324500</v>
      </c>
      <c r="J9" s="19" t="n">
        <v>379500</v>
      </c>
      <c r="K9" s="20" t="n">
        <v>5</v>
      </c>
      <c r="L9" s="4" t="inlineStr">
        <is>
          <t>https://www.gucci.com/jp/ja/pr/women/handbags/shoulder-bags-for-women/chain-bags-for-women/gg-marmont-small-shoulder-bag-p-443497AABZC1712</t>
        </is>
      </c>
      <c r="M9" s="5">
        <f t="array" ref="M9">_xlfn.IFS(J9="NOTFOUND",I9,J9&gt;=I9,J9)</f>
        <v/>
      </c>
    </row>
    <row r="10" ht="18" customHeight="1" s="16">
      <c r="A10" s="5" t="n">
        <v>9</v>
      </c>
      <c r="B10" s="5" t="inlineStr">
        <is>
          <t>GU-2261</t>
        </is>
      </c>
      <c r="D10" s="5" t="inlineStr">
        <is>
          <t>GGマーモント  キルティング ミニバッグ</t>
        </is>
      </c>
      <c r="E10" s="5" t="inlineStr">
        <is>
          <t>448065 DTD1T 1000</t>
        </is>
      </c>
      <c r="F10" s="5" t="inlineStr">
        <is>
          <t xml:space="preserve">  -</t>
        </is>
      </c>
      <c r="G10" s="10" t="inlineStr">
        <is>
          <t>OneSize</t>
        </is>
      </c>
      <c r="H10" s="17" t="inlineStr">
        <is>
          <t>OneSize</t>
        </is>
      </c>
      <c r="I10" s="18" t="n">
        <v>211200</v>
      </c>
      <c r="J10" s="19" t="n">
        <v>247500</v>
      </c>
      <c r="K10" s="20" t="n">
        <v>5</v>
      </c>
      <c r="L10" s="4" t="inlineStr">
        <is>
          <t>https://www.gucci.com/jp/ja/pr/women/handbags/mini-bags-for-women/gg-marmont-mini-shoulder-bag-p-448065DTD1T1000</t>
        </is>
      </c>
      <c r="M10" s="5">
        <f t="array" ref="M10">_xlfn.IFS(J10="NOTFOUND",I10,J10&gt;=I10,J10)</f>
        <v/>
      </c>
    </row>
    <row r="11" ht="18" customHeight="1" s="16">
      <c r="A11" s="5" t="n">
        <v>10</v>
      </c>
      <c r="B11" s="5" t="inlineStr">
        <is>
          <t>GU-2262</t>
        </is>
      </c>
      <c r="D11" s="5" t="inlineStr">
        <is>
          <t>GGマーモント  キルティング ミニバッグ</t>
        </is>
      </c>
      <c r="E11" s="5" t="inlineStr">
        <is>
          <t>446744 DTDIT 1000</t>
        </is>
      </c>
      <c r="F11" s="5" t="inlineStr">
        <is>
          <t>ブラック レザー</t>
        </is>
      </c>
      <c r="G11" s="11" t="inlineStr">
        <is>
          <t>SOLD</t>
        </is>
      </c>
      <c r="H11" s="22" t="inlineStr">
        <is>
          <t>SOLD</t>
        </is>
      </c>
      <c r="I11" s="18" t="n">
        <v>302500</v>
      </c>
      <c r="J11" s="23" t="inlineStr">
        <is>
          <t>NOTFOUND</t>
        </is>
      </c>
      <c r="K11" s="20" t="n">
        <v>0</v>
      </c>
      <c r="L11" s="4" t="inlineStr">
        <is>
          <t>https://www.gucci.com/jp/ja/pr/women/handbags/mini-bags-for-women/gg-marmont-mini-shoulder-bag-p-446744DTDIT1000</t>
        </is>
      </c>
      <c r="M11" s="5">
        <f t="array" ref="M11">_xlfn.IFS(J11="NOTFOUND",I11,J11&gt;=I11,J11)</f>
        <v/>
      </c>
    </row>
    <row r="12" ht="18" customHeight="1" s="16">
      <c r="A12" s="5" t="n">
        <v>11</v>
      </c>
      <c r="B12" s="5" t="inlineStr">
        <is>
          <t>GU-2263</t>
        </is>
      </c>
      <c r="D12" s="5" t="inlineStr">
        <is>
          <t>GGマーモント ミニ トップハンドルバッグ</t>
        </is>
      </c>
      <c r="E12" s="5" t="inlineStr">
        <is>
          <t>811238 AAECK 6207</t>
        </is>
      </c>
      <c r="F12" s="5" t="inlineStr">
        <is>
          <t>グッチ ロッソ アンコーラ（深い赤） レザー</t>
        </is>
      </c>
      <c r="G12" s="10" t="inlineStr">
        <is>
          <t>OneSize</t>
        </is>
      </c>
      <c r="H12" s="17" t="inlineStr">
        <is>
          <t>OneSize</t>
        </is>
      </c>
      <c r="I12" s="18" t="n">
        <v>357500</v>
      </c>
      <c r="J12" s="19" t="n">
        <v>379500</v>
      </c>
      <c r="K12" s="20" t="n">
        <v>5</v>
      </c>
      <c r="L12" s="4" t="inlineStr">
        <is>
          <t>https://www.gucci.com/jp/ja/pr/women/handbags/mini-bags-for-women/gg-marmont-mini-top-handle-bag-p-811238AAECK6207</t>
        </is>
      </c>
      <c r="M12" s="5">
        <f t="array" ref="M12">_xlfn.IFS(J12="NOTFOUND",I12,J12&gt;=I12,J12)</f>
        <v/>
      </c>
    </row>
    <row r="13" ht="18" customHeight="1" s="16">
      <c r="A13" s="5" t="n">
        <v>12</v>
      </c>
      <c r="B13" s="5" t="inlineStr">
        <is>
          <t>GU-2264</t>
        </is>
      </c>
      <c r="D13" s="5" t="inlineStr">
        <is>
          <t>GGマーモント ミニバッグ</t>
        </is>
      </c>
      <c r="E13" s="5" t="inlineStr">
        <is>
          <t>751526 AADQM 6241</t>
        </is>
      </c>
      <c r="F13" s="5" t="inlineStr">
        <is>
          <t>ロッソ アンコーラ レッド レザー</t>
        </is>
      </c>
      <c r="G13" s="10" t="inlineStr">
        <is>
          <t>OneSize</t>
        </is>
      </c>
      <c r="H13" s="17" t="inlineStr">
        <is>
          <t>OneSize</t>
        </is>
      </c>
      <c r="I13" s="18" t="n">
        <v>275000</v>
      </c>
      <c r="J13" s="19" t="n">
        <v>286000</v>
      </c>
      <c r="K13" s="20" t="n">
        <v>5</v>
      </c>
      <c r="L13" s="4" t="inlineStr">
        <is>
          <t>https://www.gucci.com/jp/ja/pr/women/handbags/mini-bags-for-women/gg-marmont-mini-bag-p-751526AADQM6241</t>
        </is>
      </c>
      <c r="M13" s="5">
        <f t="array" ref="M13">_xlfn.IFS(J13="NOTFOUND",I13,J13&gt;=I13,J13)</f>
        <v/>
      </c>
    </row>
    <row r="14" ht="18" customHeight="1" s="16">
      <c r="A14" s="5" t="n">
        <v>13</v>
      </c>
      <c r="B14" s="5" t="inlineStr">
        <is>
          <t>GU-2265</t>
        </is>
      </c>
      <c r="D14" s="5" t="inlineStr">
        <is>
          <t>GGマーモント ミニ トップハンドルバッグ</t>
        </is>
      </c>
      <c r="E14" s="5" t="inlineStr">
        <is>
          <t>811238 AAECK 1712</t>
        </is>
      </c>
      <c r="F14" s="5" t="inlineStr">
        <is>
          <t>ライトグレー レザー</t>
        </is>
      </c>
      <c r="G14" s="10" t="inlineStr">
        <is>
          <t>OneSize</t>
        </is>
      </c>
      <c r="H14" s="17" t="inlineStr">
        <is>
          <t>OneSize</t>
        </is>
      </c>
      <c r="I14" s="18" t="n">
        <v>357500</v>
      </c>
      <c r="J14" s="19" t="n">
        <v>379500</v>
      </c>
      <c r="K14" s="20" t="n">
        <v>5</v>
      </c>
      <c r="L14" s="4" t="inlineStr">
        <is>
          <t>https://www.gucci.com/jp/ja/pr/women/handbags/mini-bags-for-women/gg-marmont-mini-top-handle-bag-p-811238AAECK1712</t>
        </is>
      </c>
      <c r="M14" s="5">
        <f t="array" ref="M14">_xlfn.IFS(J14="NOTFOUND",I14,J14&gt;=I14,J14)</f>
        <v/>
      </c>
    </row>
    <row r="15" ht="18" customHeight="1" s="16">
      <c r="A15" s="5" t="n">
        <v>14</v>
      </c>
      <c r="B15" s="5" t="inlineStr">
        <is>
          <t>GU-2266</t>
        </is>
      </c>
      <c r="D15" s="5" t="inlineStr">
        <is>
          <t>GGマーモント スモール トップハンドルバッグ</t>
        </is>
      </c>
      <c r="E15" s="5" t="inlineStr">
        <is>
          <t>795199 AABZB 1712</t>
        </is>
      </c>
      <c r="F15" s="5" t="inlineStr">
        <is>
          <t>ライトグレー レザー</t>
        </is>
      </c>
      <c r="G15" s="11" t="inlineStr">
        <is>
          <t>SOLD</t>
        </is>
      </c>
      <c r="H15" s="22" t="inlineStr">
        <is>
          <t>SOLD</t>
        </is>
      </c>
      <c r="I15" s="18" t="n">
        <v>308000</v>
      </c>
      <c r="J15" s="23" t="inlineStr">
        <is>
          <t>NOTFOUND</t>
        </is>
      </c>
      <c r="K15" s="20" t="n">
        <v>0</v>
      </c>
      <c r="L15" s="4" t="inlineStr">
        <is>
          <t>https://www.gucci.com/jp/ja/pr/women/handbags/shoulder-bags-for-women/camera-bags-for-women/gg-marmont-small-top-handle-bag-p-795199AABZB1712</t>
        </is>
      </c>
      <c r="M15" s="5">
        <f t="array" ref="M15">_xlfn.IFS(J15="NOTFOUND",I15,J15&gt;=I15,J15)</f>
        <v/>
      </c>
    </row>
    <row r="16" ht="18" customHeight="1" s="16">
      <c r="A16" s="5" t="n">
        <v>15</v>
      </c>
      <c r="B16" s="5" t="inlineStr">
        <is>
          <t>GU-2267</t>
        </is>
      </c>
      <c r="D16" s="5" t="inlineStr">
        <is>
          <t>GGマーモント ミニ トップハンドルバッグ</t>
        </is>
      </c>
      <c r="E16" s="5" t="inlineStr">
        <is>
          <t>811238 AAECK 1000</t>
        </is>
      </c>
      <c r="F16" s="5" t="inlineStr">
        <is>
          <t>ブラック レザー</t>
        </is>
      </c>
      <c r="G16" s="10" t="inlineStr">
        <is>
          <t>OneSize</t>
        </is>
      </c>
      <c r="H16" s="17" t="inlineStr">
        <is>
          <t>OneSize</t>
        </is>
      </c>
      <c r="I16" s="18" t="n">
        <v>357500</v>
      </c>
      <c r="J16" s="19" t="n">
        <v>379500</v>
      </c>
      <c r="K16" s="20" t="n">
        <v>5</v>
      </c>
      <c r="L16" s="4" t="inlineStr">
        <is>
          <t>https://www.gucci.com/jp/ja/pr/women/handbags/mini-bags-for-women/gg-marmont-mini-top-handle-bag-p-811238AAECK1000</t>
        </is>
      </c>
      <c r="M16" s="5">
        <f t="array" ref="M16">_xlfn.IFS(J16="NOTFOUND",I16,J16&gt;=I16,J16)</f>
        <v/>
      </c>
    </row>
    <row r="17" ht="18" customHeight="1" s="16">
      <c r="A17" s="5" t="n">
        <v>16</v>
      </c>
      <c r="B17" s="5" t="inlineStr">
        <is>
          <t>GU-2268</t>
        </is>
      </c>
      <c r="D17" s="5" t="inlineStr">
        <is>
          <t>GGマーモント ミディアム トップハンドルバッグ</t>
        </is>
      </c>
      <c r="E17" s="5" t="inlineStr">
        <is>
          <t>795218 AABZB 1000</t>
        </is>
      </c>
      <c r="F17" s="5" t="inlineStr">
        <is>
          <t xml:space="preserve">  -</t>
        </is>
      </c>
      <c r="G17" s="11" t="inlineStr">
        <is>
          <t>SOLD</t>
        </is>
      </c>
      <c r="H17" s="22" t="inlineStr">
        <is>
          <t>SOLD</t>
        </is>
      </c>
      <c r="I17" s="18" t="n">
        <v>352000</v>
      </c>
      <c r="J17" s="23" t="inlineStr">
        <is>
          <t>NOTFOUND</t>
        </is>
      </c>
      <c r="K17" s="20" t="n">
        <v>0</v>
      </c>
      <c r="L17" s="4" t="inlineStr">
        <is>
          <t>https://www.gucci.com/jp/ja/pr/women/handbags/shoulder-bags-for-women/camera-bags-for-women/gg-marmont-medium-top-handle-bag-p-795218AABZB1000</t>
        </is>
      </c>
      <c r="M17" s="5">
        <f t="array" ref="M17">_xlfn.IFS(J17="NOTFOUND",I17,J17&gt;=I17,J17)</f>
        <v/>
      </c>
    </row>
    <row r="18" ht="18" customHeight="1" s="16">
      <c r="A18" s="5" t="n">
        <v>17</v>
      </c>
      <c r="B18" s="5" t="inlineStr">
        <is>
          <t>GU-2269</t>
        </is>
      </c>
      <c r="D18" s="5" t="inlineStr">
        <is>
          <t>ホースビット 1955  ショルダーバッグ</t>
        </is>
      </c>
      <c r="E18" s="5" t="inlineStr">
        <is>
          <t>602204 1DB0G 1000</t>
        </is>
      </c>
      <c r="F18" s="5" t="inlineStr">
        <is>
          <t>ブラック レザー</t>
        </is>
      </c>
      <c r="G18" s="10" t="inlineStr">
        <is>
          <t>OneSize</t>
        </is>
      </c>
      <c r="H18" s="17" t="inlineStr">
        <is>
          <t>OneSize</t>
        </is>
      </c>
      <c r="I18" s="18" t="n">
        <v>473000</v>
      </c>
      <c r="J18" s="19" t="n">
        <v>517000</v>
      </c>
      <c r="K18" s="20" t="n">
        <v>5</v>
      </c>
      <c r="L18" s="4" t="inlineStr">
        <is>
          <t>https://www.gucci.com/jp/ja/pr/women/handbags/shoulder-bags-for-women/gucci-horsebit-1955-shoulder-bag-p-6022041DB0G1000</t>
        </is>
      </c>
      <c r="M18" s="5">
        <f t="array" ref="M18">_xlfn.IFS(J18="NOTFOUND",I18,J18&gt;=I18,J18)</f>
        <v/>
      </c>
    </row>
    <row r="19" ht="18" customHeight="1" s="16">
      <c r="A19" s="5" t="n">
        <v>18</v>
      </c>
      <c r="B19" s="5" t="inlineStr">
        <is>
          <t>GU-2270</t>
        </is>
      </c>
      <c r="D19" s="5" t="inlineStr">
        <is>
          <t>ホースビット 1955 ミニ トップハンドルバッグ</t>
        </is>
      </c>
      <c r="E19" s="5" t="inlineStr">
        <is>
          <t>781387 1AAQD 1000</t>
        </is>
      </c>
      <c r="F19" s="5" t="inlineStr">
        <is>
          <t>ブラック レザー</t>
        </is>
      </c>
      <c r="G19" s="11" t="inlineStr">
        <is>
          <t>SOLD</t>
        </is>
      </c>
      <c r="H19" s="22" t="inlineStr">
        <is>
          <t>SOLD</t>
        </is>
      </c>
      <c r="I19" s="18" t="n">
        <v>429000</v>
      </c>
      <c r="J19" s="23" t="inlineStr">
        <is>
          <t>NOTFOUND</t>
        </is>
      </c>
      <c r="K19" s="20" t="n">
        <v>0</v>
      </c>
      <c r="L19" s="4" t="inlineStr">
        <is>
          <t>https://www.gucci.com/jp/ja/pr/women/handbags/shoulder-bags-for-women/gucci-horsebit-1955-mini-top-handle-bag-p-7813871AAQD1000</t>
        </is>
      </c>
      <c r="M19" s="5">
        <f t="array" ref="M19">_xlfn.IFS(J19="NOTFOUND",I19,J19&gt;=I19,J19)</f>
        <v/>
      </c>
    </row>
    <row r="20" ht="18" customHeight="1" s="16">
      <c r="A20" s="5" t="n">
        <v>19</v>
      </c>
      <c r="B20" s="5" t="inlineStr">
        <is>
          <t>GU-2271</t>
        </is>
      </c>
      <c r="D20" s="5" t="inlineStr">
        <is>
          <t>ホースビット 1955  ショルダーバッグ</t>
        </is>
      </c>
      <c r="E20" s="5" t="inlineStr">
        <is>
          <t>602204 1DB0G 9022</t>
        </is>
      </c>
      <c r="F20" s="5" t="inlineStr">
        <is>
          <t>ホワイト レザー</t>
        </is>
      </c>
      <c r="G20" s="10" t="inlineStr">
        <is>
          <t>OneSize</t>
        </is>
      </c>
      <c r="H20" s="17" t="inlineStr">
        <is>
          <t>OneSize</t>
        </is>
      </c>
      <c r="I20" s="18" t="n">
        <v>473000</v>
      </c>
      <c r="J20" s="19" t="n">
        <v>517000</v>
      </c>
      <c r="K20" s="20" t="n">
        <v>5</v>
      </c>
      <c r="L20" s="4" t="inlineStr">
        <is>
          <t>https://www.gucci.com/jp/ja/pr/women/handbags/shoulder-bags-for-women/gucci-horsebit-1955-shoulder-bag-p-6022041DB0G9022</t>
        </is>
      </c>
      <c r="M20" s="5">
        <f t="array" ref="M20">_xlfn.IFS(J20="NOTFOUND",I20,J20&gt;=I20,J20)</f>
        <v/>
      </c>
    </row>
    <row r="21" ht="18" customHeight="1" s="16">
      <c r="A21" s="5" t="n">
        <v>20</v>
      </c>
      <c r="B21" s="5" t="inlineStr">
        <is>
          <t>GU-2272</t>
        </is>
      </c>
      <c r="D21" s="5" t="inlineStr">
        <is>
          <t>ホースビット 1955 ミニバッグ</t>
        </is>
      </c>
      <c r="E21" s="5" t="inlineStr">
        <is>
          <t>658574 18YSG 9068</t>
        </is>
      </c>
      <c r="F21" s="5" t="inlineStr">
        <is>
          <t>ホワイト レザー</t>
        </is>
      </c>
      <c r="G21" s="10" t="inlineStr">
        <is>
          <t>OneSize</t>
        </is>
      </c>
      <c r="H21" s="17" t="inlineStr">
        <is>
          <t>OneSize</t>
        </is>
      </c>
      <c r="I21" s="18" t="n">
        <v>473000</v>
      </c>
      <c r="J21" s="19" t="n">
        <v>517000</v>
      </c>
      <c r="K21" s="20" t="n">
        <v>5</v>
      </c>
      <c r="L21" s="4" t="inlineStr">
        <is>
          <t>https://www.gucci.com/jp/ja/pr/women/handbags/shoulder-bags-for-women/gucci-horsebit-1955-mini-bag-p-65857418YSG9068</t>
        </is>
      </c>
      <c r="M21" s="5">
        <f t="array" ref="M21">_xlfn.IFS(J21="NOTFOUND",I21,J21&gt;=I21,J21)</f>
        <v/>
      </c>
    </row>
    <row r="22" ht="18" customHeight="1" s="16">
      <c r="A22" s="5" t="n">
        <v>21</v>
      </c>
      <c r="B22" s="5" t="inlineStr">
        <is>
          <t>GU-2273</t>
        </is>
      </c>
      <c r="D22" s="5" t="inlineStr">
        <is>
          <t>ホースビット 1955  ショルダーバッグ</t>
        </is>
      </c>
      <c r="E22" s="5" t="inlineStr">
        <is>
          <t>602204 1DB0G 2361</t>
        </is>
      </c>
      <c r="F22" s="5" t="inlineStr">
        <is>
          <t>ブラウン レザー</t>
        </is>
      </c>
      <c r="G22" s="10" t="inlineStr">
        <is>
          <t>OneSize</t>
        </is>
      </c>
      <c r="H22" s="17" t="inlineStr">
        <is>
          <t>OneSize</t>
        </is>
      </c>
      <c r="I22" s="18" t="n">
        <v>473000</v>
      </c>
      <c r="J22" s="19" t="n">
        <v>517000</v>
      </c>
      <c r="K22" s="20" t="n">
        <v>5</v>
      </c>
      <c r="L22" s="4" t="inlineStr">
        <is>
          <t>https://www.gucci.com/jp/ja/pr/women/handbags/shoulder-bags-for-women/gucci-horsebit-1955-shoulder-bag-p-6022041DB0G2361</t>
        </is>
      </c>
      <c r="M22" s="5">
        <f t="array" ref="M22">_xlfn.IFS(J22="NOTFOUND",I22,J22&gt;=I22,J22)</f>
        <v/>
      </c>
    </row>
    <row r="23" ht="18" customHeight="1" s="16">
      <c r="A23" s="5" t="n">
        <v>22</v>
      </c>
      <c r="B23" s="5" t="inlineStr">
        <is>
          <t>GU-2274</t>
        </is>
      </c>
      <c r="D23" s="5" t="inlineStr">
        <is>
          <t>ホースビット 1955 ミニバッグ</t>
        </is>
      </c>
      <c r="E23" s="5" t="inlineStr">
        <is>
          <t>658574 18YSG 2364</t>
        </is>
      </c>
      <c r="F23" s="5" t="inlineStr">
        <is>
          <t>ブラウン レザー</t>
        </is>
      </c>
      <c r="G23" s="10" t="inlineStr">
        <is>
          <t>OneSize</t>
        </is>
      </c>
      <c r="H23" s="17" t="inlineStr">
        <is>
          <t>OneSize</t>
        </is>
      </c>
      <c r="I23" s="18" t="n">
        <v>473000</v>
      </c>
      <c r="J23" s="19" t="n">
        <v>517000</v>
      </c>
      <c r="K23" s="20" t="n">
        <v>5</v>
      </c>
      <c r="L23" s="4" t="inlineStr">
        <is>
          <t>https://www.gucci.com/jp/ja/pr/women/handbags/shoulder-bags-for-women/gucci-horsebit-1955-mini-bag-p-65857418YSG2364</t>
        </is>
      </c>
      <c r="M23" s="5">
        <f t="array" ref="M23">_xlfn.IFS(J23="NOTFOUND",I23,J23&gt;=I23,J23)</f>
        <v/>
      </c>
    </row>
    <row r="24" ht="18" customHeight="1" s="16">
      <c r="A24" s="5" t="n">
        <v>23</v>
      </c>
      <c r="B24" s="5" t="inlineStr">
        <is>
          <t>GU-2275</t>
        </is>
      </c>
      <c r="D24" s="5" t="inlineStr">
        <is>
          <t>ホースビット 1955 ショルダー バッグ</t>
        </is>
      </c>
      <c r="E24" s="5" t="inlineStr">
        <is>
          <t>602204 92TCG 8563</t>
        </is>
      </c>
      <c r="F24" s="5" t="inlineStr">
        <is>
          <t>GGスプリーム/ブラウン</t>
        </is>
      </c>
      <c r="G24" s="10" t="inlineStr">
        <is>
          <t>OneSize</t>
        </is>
      </c>
      <c r="H24" s="17" t="inlineStr">
        <is>
          <t>OneSize</t>
        </is>
      </c>
      <c r="I24" s="18" t="n">
        <v>412500</v>
      </c>
      <c r="J24" s="19" t="n">
        <v>462000</v>
      </c>
      <c r="K24" s="20" t="n">
        <v>5</v>
      </c>
      <c r="L24" s="4" t="inlineStr">
        <is>
          <t>https://www.gucci.com/jp/ja/pr/women/handbags/shoulder-bags-for-women/gucci-horsebit-1955-shoulder-bag-p-60220492TCG8563</t>
        </is>
      </c>
      <c r="M24" s="5">
        <f t="array" ref="M24">_xlfn.IFS(J24="NOTFOUND",I24,J24&gt;=I24,J24)</f>
        <v/>
      </c>
    </row>
    <row r="25" ht="18" customHeight="1" s="16">
      <c r="A25" s="5" t="n">
        <v>24</v>
      </c>
      <c r="B25" s="5" t="inlineStr">
        <is>
          <t>GU-2276</t>
        </is>
      </c>
      <c r="D25" s="5" t="inlineStr">
        <is>
          <t>ホースビット 1955 ミニ トップハンドルバッグ</t>
        </is>
      </c>
      <c r="E25" s="5" t="inlineStr">
        <is>
          <t>781387 92TCG 8563</t>
        </is>
      </c>
      <c r="F25" s="5" t="inlineStr">
        <is>
          <t>ベージュ＆エボニー</t>
        </is>
      </c>
      <c r="G25" s="11" t="inlineStr">
        <is>
          <t>SOLD</t>
        </is>
      </c>
      <c r="H25" s="22" t="inlineStr">
        <is>
          <t>SOLD</t>
        </is>
      </c>
      <c r="I25" s="18" t="n">
        <v>374000</v>
      </c>
      <c r="J25" s="23" t="inlineStr">
        <is>
          <t>NOTFOUND</t>
        </is>
      </c>
      <c r="K25" s="20" t="n">
        <v>0</v>
      </c>
      <c r="L25" s="4" t="inlineStr">
        <is>
          <t>https://www.gucci.com/jp/ja/pr/women/handbags/shoulder-bags-for-women/gucci-horsebit-1955-mini-top-handle-bag-p-78138792TCG8563</t>
        </is>
      </c>
      <c r="M25" s="5">
        <f t="array" ref="M25">_xlfn.IFS(J25="NOTFOUND",I25,J25&gt;=I25,J25)</f>
        <v/>
      </c>
    </row>
    <row r="26" ht="18" customHeight="1" s="16">
      <c r="A26" s="5" t="n">
        <v>25</v>
      </c>
      <c r="B26" s="5" t="inlineStr">
        <is>
          <t>GU-2277</t>
        </is>
      </c>
      <c r="D26" s="5" t="inlineStr">
        <is>
          <t>オフィディア ミニ トップハンドルバッグ</t>
        </is>
      </c>
      <c r="E26" s="5" t="inlineStr">
        <is>
          <t>772053 FAD03 8741</t>
        </is>
      </c>
      <c r="F26" s="5" t="inlineStr">
        <is>
          <t>ダスティブルー</t>
        </is>
      </c>
      <c r="G26" s="11" t="inlineStr">
        <is>
          <t>SOLD</t>
        </is>
      </c>
      <c r="H26" s="22" t="inlineStr">
        <is>
          <t>SOLD</t>
        </is>
      </c>
      <c r="I26" s="18" t="n">
        <v>255200</v>
      </c>
      <c r="J26" s="23" t="inlineStr">
        <is>
          <t>NOTFOUND</t>
        </is>
      </c>
      <c r="K26" s="20" t="n">
        <v>0</v>
      </c>
      <c r="L26" s="4" t="inlineStr">
        <is>
          <t>https://www.gucci.com/jp/ja/pr/women/handbags/crossbody-bags-for-women/ophidia-gg-mini-top-handle-bag-p-772053FAD038741</t>
        </is>
      </c>
      <c r="M26" s="5">
        <f t="array" ref="M26">_xlfn.IFS(J26="NOTFOUND",I26,J26&gt;=I26,J26)</f>
        <v/>
      </c>
    </row>
    <row r="27" ht="18" customHeight="1" s="16">
      <c r="A27" s="5" t="n">
        <v>26</v>
      </c>
      <c r="B27" s="5" t="inlineStr">
        <is>
          <t>GU-2278</t>
        </is>
      </c>
      <c r="D27" s="5" t="inlineStr">
        <is>
          <t>ダブルG ミニ トートバッグ</t>
        </is>
      </c>
      <c r="E27" s="5" t="inlineStr">
        <is>
          <t>811716 FAD03 6241</t>
        </is>
      </c>
      <c r="F27" s="5" t="inlineStr">
        <is>
          <t>ダスティピンク</t>
        </is>
      </c>
      <c r="G27" s="11" t="inlineStr">
        <is>
          <t>SOLD</t>
        </is>
      </c>
      <c r="H27" s="22" t="inlineStr">
        <is>
          <t>SOLD</t>
        </is>
      </c>
      <c r="I27" s="18" t="n">
        <v>231000</v>
      </c>
      <c r="J27" s="23" t="inlineStr">
        <is>
          <t>NOTFOUND</t>
        </is>
      </c>
      <c r="K27" s="20" t="n">
        <v>0</v>
      </c>
      <c r="L27" s="4" t="inlineStr">
        <is>
          <t>https://www.gucci.com/jp/ja/pr/women/handbags/tote-bags-for-women/ophidia-mini-tote-bag-p-811716FAD036241</t>
        </is>
      </c>
      <c r="M27" s="5">
        <f t="array" ref="M27">_xlfn.IFS(J27="NOTFOUND",I27,J27&gt;=I27,J27)</f>
        <v/>
      </c>
    </row>
    <row r="28" ht="18" customHeight="1" s="16">
      <c r="A28" s="5" t="n">
        <v>27</v>
      </c>
      <c r="B28" s="5" t="inlineStr">
        <is>
          <t>GU-2279</t>
        </is>
      </c>
      <c r="D28" s="5" t="inlineStr">
        <is>
          <t>オフィディア スモール トップハンドルバッグ</t>
        </is>
      </c>
      <c r="E28" s="5" t="inlineStr">
        <is>
          <t>772061 FAD03 8741</t>
        </is>
      </c>
      <c r="F28" s="5" t="inlineStr">
        <is>
          <t>ダスティブルー</t>
        </is>
      </c>
      <c r="G28" s="11" t="inlineStr">
        <is>
          <t>SOLD</t>
        </is>
      </c>
      <c r="H28" s="22" t="inlineStr">
        <is>
          <t>SOLD</t>
        </is>
      </c>
      <c r="I28" s="18" t="n">
        <v>269500</v>
      </c>
      <c r="J28" s="23" t="inlineStr">
        <is>
          <t>NOTFOUND</t>
        </is>
      </c>
      <c r="K28" s="20" t="n">
        <v>0</v>
      </c>
      <c r="L28" s="4" t="inlineStr">
        <is>
          <t>https://www.gucci.com/jp/ja/pr/women/handbags/crossbody-bags-for-women/ophidia-gg-small-top-handle-bag-p-772061FAD038741</t>
        </is>
      </c>
      <c r="M28" s="5">
        <f t="array" ref="M28">_xlfn.IFS(J28="NOTFOUND",I28,J28&gt;=I28,J28)</f>
        <v/>
      </c>
    </row>
    <row r="29" ht="18" customHeight="1" s="16">
      <c r="A29" s="5" t="n">
        <v>28</v>
      </c>
      <c r="B29" s="5" t="inlineStr">
        <is>
          <t>GU-2280</t>
        </is>
      </c>
      <c r="D29" s="5" t="inlineStr">
        <is>
          <t>オフィディア スモール トートバッグ</t>
        </is>
      </c>
      <c r="E29" s="5" t="inlineStr">
        <is>
          <t>765043 FAD04 6241</t>
        </is>
      </c>
      <c r="F29" s="5" t="inlineStr">
        <is>
          <t>ダスティピンク</t>
        </is>
      </c>
      <c r="G29" s="11" t="inlineStr">
        <is>
          <t>SOLD</t>
        </is>
      </c>
      <c r="H29" s="22" t="inlineStr">
        <is>
          <t>SOLD</t>
        </is>
      </c>
      <c r="I29" s="18" t="n">
        <v>231000</v>
      </c>
      <c r="J29" s="23" t="inlineStr">
        <is>
          <t>NOTFOUND</t>
        </is>
      </c>
      <c r="K29" s="20" t="n">
        <v>0</v>
      </c>
      <c r="L29" s="4" t="inlineStr">
        <is>
          <t>https://www.gucci.com/jp/ja/pr/women/handbags/tote-bags-for-women/ophidia-small-tote-bag-p-765043FAD046241</t>
        </is>
      </c>
      <c r="M29" s="5">
        <f t="array" ref="M29">_xlfn.IFS(J29="NOTFOUND",I29,J29&gt;=I29,J29)</f>
        <v/>
      </c>
    </row>
    <row r="30" ht="18" customHeight="1" s="16">
      <c r="A30" s="5" t="n">
        <v>29</v>
      </c>
      <c r="B30" s="5" t="inlineStr">
        <is>
          <t>GU-2281</t>
        </is>
      </c>
      <c r="D30" s="5" t="inlineStr">
        <is>
          <t>GGデニム ミニ ショルダーバッグ</t>
        </is>
      </c>
      <c r="E30" s="5" t="inlineStr">
        <is>
          <t>772239 FAD03 8741</t>
        </is>
      </c>
      <c r="F30" s="5" t="inlineStr">
        <is>
          <t>ダスティブルー</t>
        </is>
      </c>
      <c r="G30" s="11" t="inlineStr">
        <is>
          <t>SOLD</t>
        </is>
      </c>
      <c r="H30" s="22" t="inlineStr">
        <is>
          <t>SOLD</t>
        </is>
      </c>
      <c r="I30" s="18" t="n">
        <v>255200</v>
      </c>
      <c r="J30" s="23" t="inlineStr">
        <is>
          <t>NOTFOUND</t>
        </is>
      </c>
      <c r="K30" s="20" t="n">
        <v>0</v>
      </c>
      <c r="L30" s="4" t="inlineStr">
        <is>
          <t>https://www.gucci.com/jp/ja/pr/women/handbags/shoulder-bags-for-women/ophidia-gg-mini-shoulder-bag-p-772239FAD038741</t>
        </is>
      </c>
      <c r="M30" s="5">
        <f t="array" ref="M30">_xlfn.IFS(J30="NOTFOUND",I30,J30&gt;=I30,J30)</f>
        <v/>
      </c>
    </row>
    <row r="31" ht="18" customHeight="1" s="16">
      <c r="A31" s="5" t="n">
        <v>30</v>
      </c>
      <c r="B31" s="5" t="inlineStr">
        <is>
          <t>GU-2282</t>
        </is>
      </c>
      <c r="D31" s="5" t="inlineStr">
        <is>
          <t>オフィディア GG スーパーミニ ショルダーバッグ</t>
        </is>
      </c>
      <c r="E31" s="5" t="inlineStr">
        <is>
          <t>795170 FAD09 6241</t>
        </is>
      </c>
      <c r="F31" s="5" t="inlineStr">
        <is>
          <t>ダスティピンク</t>
        </is>
      </c>
      <c r="G31" s="11" t="inlineStr">
        <is>
          <t>SOLD</t>
        </is>
      </c>
      <c r="H31" s="22" t="inlineStr">
        <is>
          <t>SOLD</t>
        </is>
      </c>
      <c r="I31" s="18" t="n">
        <v>214500</v>
      </c>
      <c r="J31" s="23" t="inlineStr">
        <is>
          <t>NOTFOUND</t>
        </is>
      </c>
      <c r="K31" s="20" t="n">
        <v>0</v>
      </c>
      <c r="L31" s="4" t="inlineStr">
        <is>
          <t>https://www.gucci.com/jp/ja/pr/women/handbags/mini-bags-for-women/ophidia-gg-super-mini-shoulder-bag-p-795170FAD096241</t>
        </is>
      </c>
      <c r="M31" s="5">
        <f t="array" ref="M31">_xlfn.IFS(J31="NOTFOUND",I31,J31&gt;=I31,J31)</f>
        <v/>
      </c>
    </row>
    <row r="32" ht="18" customHeight="1" s="16">
      <c r="A32" s="5" t="n">
        <v>31</v>
      </c>
      <c r="B32" s="5" t="inlineStr">
        <is>
          <t>GU-2283</t>
        </is>
      </c>
      <c r="D32" s="5" t="inlineStr">
        <is>
          <t>オフィディア  スーパーミニバッグ</t>
        </is>
      </c>
      <c r="E32" s="5" t="inlineStr">
        <is>
          <t>781490 FAD03 8741</t>
        </is>
      </c>
      <c r="F32" s="5" t="inlineStr">
        <is>
          <t>ダスティブルー</t>
        </is>
      </c>
      <c r="G32" s="11" t="inlineStr">
        <is>
          <t>SOLD</t>
        </is>
      </c>
      <c r="H32" s="22" t="inlineStr">
        <is>
          <t>SOLD</t>
        </is>
      </c>
      <c r="I32" s="18" t="n">
        <v>231000</v>
      </c>
      <c r="J32" s="23" t="inlineStr">
        <is>
          <t>NOTFOUND</t>
        </is>
      </c>
      <c r="K32" s="20" t="n">
        <v>0</v>
      </c>
      <c r="L32" s="4" t="inlineStr">
        <is>
          <t>https://www.gucci.com/jp/ja/pr/women/handbags/mini-bags-for-women/ophidia-gg-super-mini-bag-p-781490FAD038741</t>
        </is>
      </c>
      <c r="M32" s="5">
        <f t="array" ref="M32">_xlfn.IFS(J32="NOTFOUND",I32,J32&gt;=I32,J32)</f>
        <v/>
      </c>
    </row>
    <row r="33" ht="18" customHeight="1" s="16">
      <c r="A33" s="5" t="n">
        <v>32</v>
      </c>
      <c r="B33" s="5" t="inlineStr">
        <is>
          <t>GU-2284</t>
        </is>
      </c>
      <c r="D33" s="5" t="inlineStr">
        <is>
          <t>オフィディア スモール ショルダーバッグ</t>
        </is>
      </c>
      <c r="E33" s="5" t="inlineStr">
        <is>
          <t>781402 FAD1P 6241</t>
        </is>
      </c>
      <c r="F33" s="5" t="inlineStr">
        <is>
          <t>ダスティピンク</t>
        </is>
      </c>
      <c r="G33" s="11" t="inlineStr">
        <is>
          <t>SOLD</t>
        </is>
      </c>
      <c r="H33" s="22" t="inlineStr">
        <is>
          <t>SOLD</t>
        </is>
      </c>
      <c r="I33" s="18" t="n">
        <v>297000</v>
      </c>
      <c r="J33" s="23" t="inlineStr">
        <is>
          <t>NOTFOUND</t>
        </is>
      </c>
      <c r="K33" s="20" t="n">
        <v>0</v>
      </c>
      <c r="L33" s="4" t="inlineStr">
        <is>
          <t>https://www.gucci.com/jp/ja/pr/women/handbags/shoulder-bags-for-women/half-moon-bags-for-women/ophidia-gg-small-shoulder-bag-p-781402FAD1P6241</t>
        </is>
      </c>
      <c r="M33" s="5">
        <f t="array" ref="M33">_xlfn.IFS(J33="NOTFOUND",I33,J33&gt;=I33,J33)</f>
        <v/>
      </c>
    </row>
    <row r="34" ht="18" customHeight="1" s="16">
      <c r="A34" s="5" t="n">
        <v>33</v>
      </c>
      <c r="B34" s="5" t="inlineStr">
        <is>
          <t>GU-2285</t>
        </is>
      </c>
      <c r="D34" s="5" t="inlineStr">
        <is>
          <t>ダブルG ミニ トートバッグ</t>
        </is>
      </c>
      <c r="E34" s="5" t="inlineStr">
        <is>
          <t>811716 K9GSN 4075</t>
        </is>
      </c>
      <c r="F34" s="5" t="inlineStr">
        <is>
          <t>ベージュ＆ブルー</t>
        </is>
      </c>
      <c r="G34" s="10" t="inlineStr">
        <is>
          <t>OneSize</t>
        </is>
      </c>
      <c r="H34" s="17" t="inlineStr">
        <is>
          <t>OneSize</t>
        </is>
      </c>
      <c r="I34" s="18" t="n">
        <v>231000</v>
      </c>
      <c r="J34" s="19" t="n">
        <v>253000</v>
      </c>
      <c r="K34" s="20" t="n">
        <v>5</v>
      </c>
      <c r="L34" s="4" t="inlineStr">
        <is>
          <t>https://www.gucci.com/jp/ja/pr/women/handbags/tote-bags-for-women/ophidia-mini-tote-bag-p-811716K9GSN4075</t>
        </is>
      </c>
      <c r="M34" s="5">
        <f t="array" ref="M34">_xlfn.IFS(J34="NOTFOUND",I34,J34&gt;=I34,J34)</f>
        <v/>
      </c>
    </row>
    <row r="35" ht="18" customHeight="1" s="16">
      <c r="A35" s="5" t="n">
        <v>34</v>
      </c>
      <c r="B35" s="5" t="inlineStr">
        <is>
          <t>GU-2286</t>
        </is>
      </c>
      <c r="D35" s="5" t="inlineStr">
        <is>
          <t>オフィディア スモール トートバッグ</t>
        </is>
      </c>
      <c r="E35" s="5" t="inlineStr">
        <is>
          <t>765043 K9GSN 4075</t>
        </is>
      </c>
      <c r="F35" s="5" t="inlineStr">
        <is>
          <t>ベージュ＆ブルー</t>
        </is>
      </c>
      <c r="G35" s="11" t="inlineStr">
        <is>
          <t>SOLD</t>
        </is>
      </c>
      <c r="H35" s="22" t="inlineStr">
        <is>
          <t>SOLD</t>
        </is>
      </c>
      <c r="I35" s="18" t="n">
        <v>231000</v>
      </c>
      <c r="J35" s="23" t="inlineStr">
        <is>
          <t>NOTFOUND</t>
        </is>
      </c>
      <c r="K35" s="20" t="n">
        <v>0</v>
      </c>
      <c r="L35" s="4" t="inlineStr">
        <is>
          <t>https://www.gucci.com/jp/ja/pr/women/handbags/tote-bags-for-women/ophidia-small-tote-bag-p-765043K9GSN4075</t>
        </is>
      </c>
      <c r="M35" s="5">
        <f t="array" ref="M35">_xlfn.IFS(J35="NOTFOUND",I35,J35&gt;=I35,J35)</f>
        <v/>
      </c>
    </row>
    <row r="36" ht="18" customHeight="1" s="16">
      <c r="A36" s="5" t="n">
        <v>35</v>
      </c>
      <c r="B36" s="5" t="inlineStr">
        <is>
          <t>GU-2287</t>
        </is>
      </c>
      <c r="D36" s="5" t="inlineStr">
        <is>
          <t>ダブルG ミニ トートバッグ</t>
        </is>
      </c>
      <c r="E36" s="5" t="inlineStr">
        <is>
          <t>811716 FAA4G 9897</t>
        </is>
      </c>
      <c r="F36" s="5" t="inlineStr">
        <is>
          <t>ベージュ＆ホワイト</t>
        </is>
      </c>
      <c r="G36" s="10" t="inlineStr">
        <is>
          <t>OneSize</t>
        </is>
      </c>
      <c r="H36" s="17" t="inlineStr">
        <is>
          <t>OneSize</t>
        </is>
      </c>
      <c r="I36" s="18" t="n">
        <v>231000</v>
      </c>
      <c r="J36" s="19" t="n">
        <v>253000</v>
      </c>
      <c r="K36" s="20" t="n">
        <v>5</v>
      </c>
      <c r="L36" s="4" t="inlineStr">
        <is>
          <t>https://www.gucci.com/jp/ja/pr/women/handbags/tote-bags-for-women/ophidia-mini-tote-bag-p-811716FAA4G9897</t>
        </is>
      </c>
      <c r="M36" s="5">
        <f t="array" ref="M36">_xlfn.IFS(J36="NOTFOUND",I36,J36&gt;=I36,J36)</f>
        <v/>
      </c>
    </row>
    <row r="37" ht="18" customHeight="1" s="16">
      <c r="A37" s="5" t="n">
        <v>36</v>
      </c>
      <c r="B37" s="5" t="inlineStr">
        <is>
          <t>GU-2288</t>
        </is>
      </c>
      <c r="D37" s="5" t="inlineStr">
        <is>
          <t>オフィディア ミディアム トートバッグ</t>
        </is>
      </c>
      <c r="E37" s="5" t="inlineStr">
        <is>
          <t>778958 FAA4G 9897</t>
        </is>
      </c>
      <c r="F37" s="5" t="inlineStr">
        <is>
          <t>ベージュ＆ホワイト</t>
        </is>
      </c>
      <c r="G37" s="11" t="inlineStr">
        <is>
          <t>SOLD</t>
        </is>
      </c>
      <c r="H37" s="22" t="inlineStr">
        <is>
          <t>SOLD</t>
        </is>
      </c>
      <c r="I37" s="18" t="n">
        <v>247500</v>
      </c>
      <c r="J37" s="23" t="inlineStr">
        <is>
          <t>NOTFOUND</t>
        </is>
      </c>
      <c r="K37" s="20" t="n">
        <v>0</v>
      </c>
      <c r="L37" s="4" t="inlineStr">
        <is>
          <t>https://www.gucci.com/jp/ja/pr/women/handbags/tote-bags-for-women/ophidia-medium-tote-bag-p-778958FAA4G9897</t>
        </is>
      </c>
      <c r="M37" s="5">
        <f t="array" ref="M37">_xlfn.IFS(J37="NOTFOUND",I37,J37&gt;=I37,J37)</f>
        <v/>
      </c>
    </row>
    <row r="38" ht="18" customHeight="1" s="16">
      <c r="A38" s="5" t="n">
        <v>37</v>
      </c>
      <c r="B38" s="5" t="inlineStr">
        <is>
          <t>GU-2289</t>
        </is>
      </c>
      <c r="D38" s="5" t="inlineStr">
        <is>
          <t>ダブルG ミニ トートバッグ</t>
        </is>
      </c>
      <c r="E38" s="5" t="inlineStr">
        <is>
          <t>811716 K9GSG 8358</t>
        </is>
      </c>
      <c r="F38" s="5" t="inlineStr">
        <is>
          <t>ベージュ＆エボニー</t>
        </is>
      </c>
      <c r="G38" s="10" t="inlineStr">
        <is>
          <t>OneSize</t>
        </is>
      </c>
      <c r="H38" s="17" t="inlineStr">
        <is>
          <t>OneSize</t>
        </is>
      </c>
      <c r="I38" s="18" t="n">
        <v>231000</v>
      </c>
      <c r="J38" s="19" t="n">
        <v>253000</v>
      </c>
      <c r="K38" s="20" t="n">
        <v>5</v>
      </c>
      <c r="L38" s="4" t="inlineStr">
        <is>
          <t>https://www.gucci.com/jp/ja/pr/women/handbags/tote-bags-for-women/ophidia-mini-tote-bag-p-811716K9GSG8358</t>
        </is>
      </c>
      <c r="M38" s="5">
        <f t="array" ref="M38">_xlfn.IFS(J38="NOTFOUND",I38,J38&gt;=I38,J38)</f>
        <v/>
      </c>
    </row>
    <row r="39" ht="18" customHeight="1" s="16">
      <c r="A39" s="5" t="n">
        <v>38</v>
      </c>
      <c r="B39" s="5" t="inlineStr">
        <is>
          <t>GU-2290</t>
        </is>
      </c>
      <c r="D39" s="5" t="inlineStr">
        <is>
          <t>オフィディア ミディアム トートバッグ</t>
        </is>
      </c>
      <c r="E39" s="5" t="inlineStr">
        <is>
          <t>778958 K9GSG 8358</t>
        </is>
      </c>
      <c r="F39" s="5" t="inlineStr">
        <is>
          <t>ベージュ＆エボニー</t>
        </is>
      </c>
      <c r="G39" s="11" t="inlineStr">
        <is>
          <t>SOLD</t>
        </is>
      </c>
      <c r="H39" s="22" t="inlineStr">
        <is>
          <t>SOLD</t>
        </is>
      </c>
      <c r="I39" s="18" t="n">
        <v>247500</v>
      </c>
      <c r="J39" s="23" t="inlineStr">
        <is>
          <t>NOTFOUND</t>
        </is>
      </c>
      <c r="K39" s="20" t="n">
        <v>0</v>
      </c>
      <c r="L39" s="4" t="inlineStr">
        <is>
          <t>https://www.gucci.com/jp/ja/pr/women/handbags/tote-bags-for-women/ophidia-medium-tote-bag-p-778958K9GSG8358</t>
        </is>
      </c>
      <c r="M39" s="5">
        <f t="array" ref="M39">_xlfn.IFS(J39="NOTFOUND",I39,J39&gt;=I39,J39)</f>
        <v/>
      </c>
    </row>
    <row r="40" ht="18" customHeight="1" s="16">
      <c r="A40" s="5" t="n">
        <v>39</v>
      </c>
      <c r="B40" s="5" t="inlineStr">
        <is>
          <t>GU-2291</t>
        </is>
      </c>
      <c r="D40" s="5" t="inlineStr">
        <is>
          <t>パドロック スモール ショルダーバッグ</t>
        </is>
      </c>
      <c r="E40" s="5" t="inlineStr">
        <is>
          <t>811705 KHNKG 8534</t>
        </is>
      </c>
      <c r="F40" s="5" t="inlineStr">
        <is>
          <t>ブラウン レザー</t>
        </is>
      </c>
      <c r="G40" s="11" t="inlineStr">
        <is>
          <t>SOLD</t>
        </is>
      </c>
      <c r="H40" s="22" t="inlineStr">
        <is>
          <t>SOLD</t>
        </is>
      </c>
      <c r="I40" s="18" t="n">
        <v>310200</v>
      </c>
      <c r="J40" s="23" t="inlineStr">
        <is>
          <t>NOTFOUND</t>
        </is>
      </c>
      <c r="K40" s="20" t="n">
        <v>0</v>
      </c>
      <c r="L40" s="4" t="inlineStr">
        <is>
          <t>https://www.gucci.com/jp/ja/pr/women/handbags/mini-bags-for-women/padlock-small-shoulder-bag-p-811705KHNKG8534</t>
        </is>
      </c>
      <c r="M40" s="5">
        <f t="array" ref="M40">_xlfn.IFS(J40="NOTFOUND",I40,J40&gt;=I40,J40)</f>
        <v/>
      </c>
    </row>
    <row r="41" ht="18" customHeight="1" s="16">
      <c r="A41" s="5" t="n">
        <v>40</v>
      </c>
      <c r="B41" s="5" t="inlineStr">
        <is>
          <t>GU-2292</t>
        </is>
      </c>
      <c r="D41" s="5" t="inlineStr">
        <is>
          <t>パドロック GG ミディアム ショルダーバッグ</t>
        </is>
      </c>
      <c r="E41" s="5" t="inlineStr">
        <is>
          <t>795113 KHNKG 8534</t>
        </is>
      </c>
      <c r="F41" s="5" t="inlineStr">
        <is>
          <t xml:space="preserve">  -</t>
        </is>
      </c>
      <c r="G41" s="10" t="inlineStr">
        <is>
          <t>OneSize</t>
        </is>
      </c>
      <c r="H41" s="17" t="inlineStr">
        <is>
          <t>OneSize</t>
        </is>
      </c>
      <c r="I41" s="18" t="n">
        <v>349800</v>
      </c>
      <c r="J41" s="19" t="n">
        <v>349800</v>
      </c>
      <c r="K41" s="20" t="n">
        <v>5</v>
      </c>
      <c r="L41" s="4" t="inlineStr">
        <is>
          <t>https://www.gucci.com/jp/ja/pr/women/handbags/shoulder-bags-for-women/chain-bags-for-women/padlock-gg-medium-shoulder-bag-p-795113KHNKG8534</t>
        </is>
      </c>
      <c r="M41" s="5">
        <f t="array" ref="M41">_xlfn.IFS(J41="NOTFOUND",I41,J41&gt;=I41,J41)</f>
        <v/>
      </c>
    </row>
    <row r="42" ht="18" customHeight="1" s="16">
      <c r="A42" s="5" t="n">
        <v>41</v>
      </c>
      <c r="B42" s="5" t="inlineStr">
        <is>
          <t>GU-2293</t>
        </is>
      </c>
      <c r="D42" s="5" t="inlineStr">
        <is>
          <t>パドロック スモール ショルダーバッグ</t>
        </is>
      </c>
      <c r="E42" s="5" t="inlineStr">
        <is>
          <t>811705 KHNKG 9761</t>
        </is>
      </c>
      <c r="F42" s="5" t="inlineStr">
        <is>
          <t>ホワイト レザー</t>
        </is>
      </c>
      <c r="G42" s="11" t="inlineStr">
        <is>
          <t>SOLD</t>
        </is>
      </c>
      <c r="H42" s="22" t="inlineStr">
        <is>
          <t>SOLD</t>
        </is>
      </c>
      <c r="I42" s="18" t="n">
        <v>310200</v>
      </c>
      <c r="J42" s="23" t="inlineStr">
        <is>
          <t>NOTFOUND</t>
        </is>
      </c>
      <c r="K42" s="20" t="n">
        <v>0</v>
      </c>
      <c r="L42" s="4" t="inlineStr">
        <is>
          <t>https://www.gucci.com/jp/ja/pr/women/handbags/mini-bags-for-women/padlock-small-shoulder-bag-p-811705KHNKG9761</t>
        </is>
      </c>
      <c r="M42" s="5">
        <f t="array" ref="M42">_xlfn.IFS(J42="NOTFOUND",I42,J42&gt;=I42,J42)</f>
        <v/>
      </c>
    </row>
    <row r="43" ht="18" customHeight="1" s="16">
      <c r="A43" s="5" t="n">
        <v>42</v>
      </c>
      <c r="B43" s="5" t="inlineStr">
        <is>
          <t>GU-2294</t>
        </is>
      </c>
      <c r="D43" s="5" t="inlineStr">
        <is>
          <t>パドロック GG スモール ショルダーバッグ</t>
        </is>
      </c>
      <c r="E43" s="5" t="inlineStr">
        <is>
          <t>498156 KHNKG 8534</t>
        </is>
      </c>
      <c r="F43" s="5" t="inlineStr">
        <is>
          <t>GGスプリーム キャンバス</t>
        </is>
      </c>
      <c r="G43" s="10" t="inlineStr">
        <is>
          <t>OneSize</t>
        </is>
      </c>
      <c r="H43" s="17" t="inlineStr">
        <is>
          <t>OneSize</t>
        </is>
      </c>
      <c r="I43" s="18" t="n">
        <v>310200</v>
      </c>
      <c r="J43" s="19" t="n">
        <v>330000</v>
      </c>
      <c r="K43" s="20" t="n">
        <v>5</v>
      </c>
      <c r="L43" s="4" t="inlineStr">
        <is>
          <t>https://www.gucci.com/jp/ja/pr/women/handbags/tote-bags-for-women/padlock-small-gg-shoulder-bag-p-498156KHNKG8534</t>
        </is>
      </c>
      <c r="M43" s="5">
        <f t="array" ref="M43">_xlfn.IFS(J43="NOTFOUND",I43,J43&gt;=I43,J43)</f>
        <v/>
      </c>
    </row>
    <row r="44" ht="18" customHeight="1" s="16">
      <c r="A44" s="5" t="n">
        <v>43</v>
      </c>
      <c r="B44" s="5" t="inlineStr">
        <is>
          <t>GU-2295</t>
        </is>
      </c>
      <c r="D44" s="5" t="inlineStr">
        <is>
          <t>パドロック GG スモール ショルダーバッグ</t>
        </is>
      </c>
      <c r="E44" s="5" t="inlineStr">
        <is>
          <t>498156 KHNKG 9769</t>
        </is>
      </c>
      <c r="F44" s="5" t="inlineStr">
        <is>
          <t>GGスプリーム キャンバス</t>
        </is>
      </c>
      <c r="G44" s="11" t="inlineStr">
        <is>
          <t>SOLD</t>
        </is>
      </c>
      <c r="H44" s="22" t="inlineStr">
        <is>
          <t>SOLD</t>
        </is>
      </c>
      <c r="I44" s="18" t="n">
        <v>310200</v>
      </c>
      <c r="J44" s="23" t="inlineStr">
        <is>
          <t>NOTFOUND</t>
        </is>
      </c>
      <c r="K44" s="20" t="n">
        <v>0</v>
      </c>
      <c r="L44" s="4" t="inlineStr">
        <is>
          <t>https://www.gucci.com/jp/ja/pr/women/handbags/tote-bags-for-women/padlock-small-gg-shoulder-bag-p-498156KHNKG9769</t>
        </is>
      </c>
      <c r="M44" s="5">
        <f t="array" ref="M44">_xlfn.IFS(J44="NOTFOUND",I44,J44&gt;=I44,J44)</f>
        <v/>
      </c>
    </row>
    <row r="45" ht="18" customHeight="1" s="16">
      <c r="A45" s="5" t="n">
        <v>44</v>
      </c>
      <c r="B45" s="5" t="inlineStr">
        <is>
          <t>GU-2296</t>
        </is>
      </c>
      <c r="D45" s="5" t="inlineStr">
        <is>
          <t>パドロック GG スモール ショルダーバッグ</t>
        </is>
      </c>
      <c r="E45" s="5" t="inlineStr">
        <is>
          <t>498156 KHNKG 9761</t>
        </is>
      </c>
      <c r="F45" s="5" t="inlineStr">
        <is>
          <t>GGスプリーム</t>
        </is>
      </c>
      <c r="G45" s="11" t="inlineStr">
        <is>
          <t>SOLD</t>
        </is>
      </c>
      <c r="H45" s="22" t="inlineStr">
        <is>
          <t>SOLD</t>
        </is>
      </c>
      <c r="I45" s="18" t="n">
        <v>310200</v>
      </c>
      <c r="J45" s="23" t="inlineStr">
        <is>
          <t>NOTFOUND</t>
        </is>
      </c>
      <c r="K45" s="20" t="n">
        <v>0</v>
      </c>
      <c r="L45" s="4" t="inlineStr">
        <is>
          <t>https://www.gucci.com/jp/ja/pr/women/handbags/tote-bags-for-women/padlock-gg-small-shoulder-bag-p-498156KHNKG9761</t>
        </is>
      </c>
      <c r="M45" s="5">
        <f t="array" ref="M45">_xlfn.IFS(J45="NOTFOUND",I45,J45&gt;=I45,J45)</f>
        <v/>
      </c>
    </row>
    <row r="46" ht="18" customHeight="1" s="16">
      <c r="A46" s="5" t="n">
        <v>45</v>
      </c>
      <c r="B46" s="5" t="inlineStr">
        <is>
          <t>GU-2297</t>
        </is>
      </c>
      <c r="D46" s="5" t="inlineStr">
        <is>
          <t>パドロック GG ミディアム ショルダーバッグ</t>
        </is>
      </c>
      <c r="E46" s="5" t="inlineStr">
        <is>
          <t>479197 KHNKG 9769</t>
        </is>
      </c>
      <c r="F46" s="5" t="inlineStr">
        <is>
          <t xml:space="preserve">  -</t>
        </is>
      </c>
      <c r="G46" s="11" t="inlineStr">
        <is>
          <t>SOLD</t>
        </is>
      </c>
      <c r="H46" s="22" t="inlineStr">
        <is>
          <t>SOLD</t>
        </is>
      </c>
      <c r="I46" s="18" t="n">
        <v>341000</v>
      </c>
      <c r="J46" s="23" t="inlineStr">
        <is>
          <t>NOTFOUND</t>
        </is>
      </c>
      <c r="K46" s="20" t="n">
        <v>0</v>
      </c>
      <c r="L46" s="4" t="inlineStr">
        <is>
          <t>https://www.gucci.com/jp/ja/pr/women/handbags/tote-bags-for-women/padlock-medium-gg-shoulder-bag-p-479197KHNKG9769</t>
        </is>
      </c>
      <c r="M46" s="5">
        <f t="array" ref="M46">_xlfn.IFS(J46="NOTFOUND",I46,J46&gt;=I46,J46)</f>
        <v/>
      </c>
    </row>
    <row r="47" ht="18" customHeight="1" s="16">
      <c r="A47" s="5" t="n">
        <v>46</v>
      </c>
      <c r="B47" s="5" t="inlineStr">
        <is>
          <t>GU-2298</t>
        </is>
      </c>
      <c r="D47" s="5" t="inlineStr">
        <is>
          <t>オフィディア ミニ バケットバッグ</t>
        </is>
      </c>
      <c r="E47" s="5" t="inlineStr">
        <is>
          <t>760199 FADMG 9795</t>
        </is>
      </c>
      <c r="F47" s="5" t="inlineStr">
        <is>
          <t>ベージュ＆ホワイト</t>
        </is>
      </c>
      <c r="G47" s="11" t="inlineStr">
        <is>
          <t>SOLD</t>
        </is>
      </c>
      <c r="H47" s="22" t="inlineStr">
        <is>
          <t>SOLD</t>
        </is>
      </c>
      <c r="I47" s="18" t="n">
        <v>217800</v>
      </c>
      <c r="J47" s="23" t="inlineStr">
        <is>
          <t>NOTFOUND</t>
        </is>
      </c>
      <c r="K47" s="20" t="n">
        <v>0</v>
      </c>
      <c r="L47" s="4" t="inlineStr">
        <is>
          <t>https://www.gucci.com/jp/ja/pr/women/handbags/mini-bags-for-women/ophidia-mini-bucket-bag-p-760199FADMG9795</t>
        </is>
      </c>
      <c r="M47" s="5">
        <f t="array" ref="M47">_xlfn.IFS(J47="NOTFOUND",I47,J47&gt;=I47,J47)</f>
        <v/>
      </c>
    </row>
    <row r="48" ht="18" customHeight="1" s="16">
      <c r="A48" s="5" t="n">
        <v>47</v>
      </c>
      <c r="B48" s="5" t="inlineStr">
        <is>
          <t>GU-2299</t>
        </is>
      </c>
      <c r="D48" s="5" t="inlineStr">
        <is>
          <t>オフィディア ミニ バックパック</t>
        </is>
      </c>
      <c r="E48" s="5" t="inlineStr">
        <is>
          <t>795221 UULAG 9682</t>
        </is>
      </c>
      <c r="F48" s="5" t="inlineStr">
        <is>
          <t>ベージュ＆ホワイト</t>
        </is>
      </c>
      <c r="G48" s="11" t="inlineStr">
        <is>
          <t>SOLD</t>
        </is>
      </c>
      <c r="H48" s="22" t="inlineStr">
        <is>
          <t>SOLD</t>
        </is>
      </c>
      <c r="I48" s="18" t="n">
        <v>349800</v>
      </c>
      <c r="J48" s="23" t="inlineStr">
        <is>
          <t>NOTFOUND</t>
        </is>
      </c>
      <c r="K48" s="20" t="n">
        <v>0</v>
      </c>
      <c r="L48" s="4" t="inlineStr">
        <is>
          <t>https://www.gucci.com/jp/ja/pr/women/handbags/belt-bags-backpacks-for-women/ophidia-mini-backpack-p-795221UULAG9682</t>
        </is>
      </c>
      <c r="M48" s="5">
        <f t="array" ref="M48">_xlfn.IFS(J48="NOTFOUND",I48,J48&gt;=I48,J48)</f>
        <v/>
      </c>
    </row>
    <row r="49" ht="18" customHeight="1" s="16">
      <c r="A49" s="5" t="n">
        <v>48</v>
      </c>
      <c r="B49" s="5" t="inlineStr">
        <is>
          <t>GU-2300</t>
        </is>
      </c>
      <c r="D49" s="5" t="inlineStr">
        <is>
          <t>オフィディア スモール トップハンドルバッグ</t>
        </is>
      </c>
      <c r="E49" s="5" t="inlineStr">
        <is>
          <t>795249 96IWG 8745</t>
        </is>
      </c>
      <c r="F49" s="5" t="inlineStr">
        <is>
          <t xml:space="preserve">  -</t>
        </is>
      </c>
      <c r="G49" s="11" t="inlineStr">
        <is>
          <t>SOLD</t>
        </is>
      </c>
      <c r="H49" s="22" t="inlineStr">
        <is>
          <t>SOLD</t>
        </is>
      </c>
      <c r="I49" s="18" t="n">
        <v>352000</v>
      </c>
      <c r="J49" s="23" t="inlineStr">
        <is>
          <t>NOTFOUND</t>
        </is>
      </c>
      <c r="K49" s="20" t="n">
        <v>0</v>
      </c>
      <c r="L49" s="4" t="inlineStr">
        <is>
          <t>https://www.gucci.com/jp/ja/pr/women/handbags/shoulder-bags-for-women/ophidia-small-top-handle-bag-p-79524996IWG8745</t>
        </is>
      </c>
      <c r="M49" s="5">
        <f t="array" ref="M49">_xlfn.IFS(J49="NOTFOUND",I49,J49&gt;=I49,J49)</f>
        <v/>
      </c>
    </row>
    <row r="50" ht="18" customHeight="1" s="16">
      <c r="A50" s="5" t="n">
        <v>49</v>
      </c>
      <c r="B50" s="5" t="inlineStr">
        <is>
          <t>GU-2301</t>
        </is>
      </c>
      <c r="D50" s="5" t="inlineStr">
        <is>
          <t>オフィディア GG スモール ハンドバッグ</t>
        </is>
      </c>
      <c r="E50" s="5" t="inlineStr">
        <is>
          <t>735132 UULAG 9682</t>
        </is>
      </c>
      <c r="F50" s="5" t="inlineStr">
        <is>
          <t>ベージュ＆ホワイト</t>
        </is>
      </c>
      <c r="G50" s="10" t="inlineStr">
        <is>
          <t>OneSize</t>
        </is>
      </c>
      <c r="H50" s="17" t="inlineStr">
        <is>
          <t>OneSize</t>
        </is>
      </c>
      <c r="I50" s="18" t="n">
        <v>269500</v>
      </c>
      <c r="J50" s="19" t="n">
        <v>286000</v>
      </c>
      <c r="K50" s="20" t="n">
        <v>5</v>
      </c>
      <c r="L50" s="4" t="inlineStr">
        <is>
          <t>https://www.gucci.com/jp/ja/pr/women/handbags/mini-bags-for-women/ophidia-gg-small-handbag-p-735132UULAG9682</t>
        </is>
      </c>
      <c r="M50" s="5">
        <f t="array" ref="M50">_xlfn.IFS(J50="NOTFOUND",I50,J50&gt;=I50,J50)</f>
        <v/>
      </c>
    </row>
    <row r="51" ht="18" customHeight="1" s="16">
      <c r="A51" s="5" t="n">
        <v>50</v>
      </c>
      <c r="B51" s="5" t="inlineStr">
        <is>
          <t>GU-2302</t>
        </is>
      </c>
      <c r="D51" s="5" t="inlineStr">
        <is>
          <t>オフィディア スモール ショルダーバッグ</t>
        </is>
      </c>
      <c r="E51" s="5" t="inlineStr">
        <is>
          <t>781402 96IWG 8745</t>
        </is>
      </c>
      <c r="F51" s="5" t="inlineStr">
        <is>
          <t>ベージュ＆エボニー</t>
        </is>
      </c>
      <c r="G51" s="10" t="inlineStr">
        <is>
          <t>OneSize</t>
        </is>
      </c>
      <c r="H51" s="17" t="inlineStr">
        <is>
          <t>OneSize</t>
        </is>
      </c>
      <c r="I51" s="18" t="n">
        <v>297000</v>
      </c>
      <c r="J51" s="19" t="n">
        <v>297000</v>
      </c>
      <c r="K51" s="20" t="n">
        <v>5</v>
      </c>
      <c r="L51" s="4" t="inlineStr">
        <is>
          <t>https://www.gucci.com/jp/ja/pr/women/handbags/shoulder-bags-for-women/half-moon-bags-for-women/ophidia-gg-small-shoulder-bag-p-78140296IWG8745</t>
        </is>
      </c>
      <c r="M51" s="5">
        <f t="array" ref="M51">_xlfn.IFS(J51="NOTFOUND",I51,J51&gt;=I51,J51)</f>
        <v/>
      </c>
    </row>
    <row r="52" ht="18" customHeight="1" s="16">
      <c r="A52" s="5" t="n">
        <v>51</v>
      </c>
      <c r="B52" s="5" t="inlineStr">
        <is>
          <t>GU-2303</t>
        </is>
      </c>
      <c r="D52" s="5" t="inlineStr">
        <is>
          <t>オフィディア スモール ハンドバッグ</t>
        </is>
      </c>
      <c r="E52" s="5" t="inlineStr">
        <is>
          <t>735145 UULBG 9683</t>
        </is>
      </c>
      <c r="F52" s="5" t="inlineStr">
        <is>
          <t>ベージュ＆ホワイト</t>
        </is>
      </c>
      <c r="G52" s="10" t="inlineStr">
        <is>
          <t>OneSize</t>
        </is>
      </c>
      <c r="H52" s="17" t="inlineStr">
        <is>
          <t>OneSize</t>
        </is>
      </c>
      <c r="I52" s="18" t="n">
        <v>181500</v>
      </c>
      <c r="J52" s="19" t="n">
        <v>200200</v>
      </c>
      <c r="K52" s="20" t="n">
        <v>5</v>
      </c>
      <c r="L52" s="4" t="inlineStr">
        <is>
          <t>https://www.gucci.com/jp/ja/pr/women/handbags/shoulder-bags-for-women/ophidia-small-handbag-p-735145UULBG9683</t>
        </is>
      </c>
      <c r="M52" s="5">
        <f t="array" ref="M52">_xlfn.IFS(J52="NOTFOUND",I52,J52&gt;=I52,J52)</f>
        <v/>
      </c>
    </row>
    <row r="53" ht="18" customHeight="1" s="16">
      <c r="A53" s="5" t="n">
        <v>52</v>
      </c>
      <c r="B53" s="5" t="inlineStr">
        <is>
          <t>GU-2304</t>
        </is>
      </c>
      <c r="D53" s="5" t="inlineStr">
        <is>
          <t>オフィディア GG ミディアム ショルダーバッグ</t>
        </is>
      </c>
      <c r="E53" s="5" t="inlineStr">
        <is>
          <t>781392 96IWG 8745</t>
        </is>
      </c>
      <c r="F53" s="5" t="inlineStr">
        <is>
          <t xml:space="preserve">  -</t>
        </is>
      </c>
      <c r="G53" s="10" t="inlineStr">
        <is>
          <t>OneSize</t>
        </is>
      </c>
      <c r="H53" s="17" t="inlineStr">
        <is>
          <t>OneSize</t>
        </is>
      </c>
      <c r="I53" s="18" t="n">
        <v>332200</v>
      </c>
      <c r="J53" s="19" t="n">
        <v>352000</v>
      </c>
      <c r="K53" s="20" t="n">
        <v>5</v>
      </c>
      <c r="L53" s="4" t="inlineStr">
        <is>
          <t>https://www.gucci.com/jp/ja/pr/women/handbags/shoulder-bags-for-women/half-moon-bags-for-women/ophidia-gg-medium-shoulder-bag-p-78139296IWG8745</t>
        </is>
      </c>
      <c r="M53" s="5">
        <f t="array" ref="M53">_xlfn.IFS(J53="NOTFOUND",I53,J53&gt;=I53,J53)</f>
        <v/>
      </c>
    </row>
    <row r="54" ht="18" customHeight="1" s="16">
      <c r="A54" s="5" t="n">
        <v>53</v>
      </c>
      <c r="B54" s="5" t="inlineStr">
        <is>
          <t>GU-2305</t>
        </is>
      </c>
      <c r="D54" s="5" t="inlineStr">
        <is>
          <t>ダイアナ ミニ トートバッグ</t>
        </is>
      </c>
      <c r="E54" s="5" t="inlineStr">
        <is>
          <t>702732 U3ZDT 3670</t>
        </is>
      </c>
      <c r="F54" s="5" t="inlineStr">
        <is>
          <t>グリーン レザー</t>
        </is>
      </c>
      <c r="G54" s="10" t="inlineStr">
        <is>
          <t>OneSize</t>
        </is>
      </c>
      <c r="H54" s="17" t="inlineStr">
        <is>
          <t>OneSize</t>
        </is>
      </c>
      <c r="I54" s="18" t="n">
        <v>473000</v>
      </c>
      <c r="J54" s="19" t="n">
        <v>506000</v>
      </c>
      <c r="K54" s="20" t="n">
        <v>5</v>
      </c>
      <c r="L54" s="4" t="inlineStr">
        <is>
          <t>https://www.gucci.com/jp/ja/pr/women/handbags/shoulder-bags-for-women/gucci-diana-mini-tote-bag-p-702732U3ZDT3670</t>
        </is>
      </c>
      <c r="M54" s="5">
        <f t="array" ref="M54">_xlfn.IFS(J54="NOTFOUND",I54,J54&gt;=I54,J54)</f>
        <v/>
      </c>
    </row>
    <row r="55" ht="18" customHeight="1" s="16">
      <c r="A55" s="5" t="n">
        <v>54</v>
      </c>
      <c r="B55" s="5" t="inlineStr">
        <is>
          <t>GU-2306</t>
        </is>
      </c>
      <c r="D55" s="5" t="inlineStr">
        <is>
          <t>ダイアナ ミニ トートバッグ</t>
        </is>
      </c>
      <c r="E55" s="5" t="inlineStr">
        <is>
          <t>702732 U3ZDT 1073</t>
        </is>
      </c>
      <c r="F55" s="5" t="inlineStr">
        <is>
          <t>ブラック レザー</t>
        </is>
      </c>
      <c r="G55" s="10" t="inlineStr">
        <is>
          <t>OneSize</t>
        </is>
      </c>
      <c r="H55" s="17" t="inlineStr">
        <is>
          <t>OneSize</t>
        </is>
      </c>
      <c r="I55" s="18" t="n">
        <v>473000</v>
      </c>
      <c r="J55" s="19" t="n">
        <v>506000</v>
      </c>
      <c r="K55" s="20" t="n">
        <v>5</v>
      </c>
      <c r="L55" s="4" t="inlineStr">
        <is>
          <t>https://www.gucci.com/jp/ja/pr/women/handbags/shoulder-bags-for-women/gucci-diana-mini-tote-bag-p-702732U3ZDT1073</t>
        </is>
      </c>
      <c r="M55" s="5">
        <f t="array" ref="M55">_xlfn.IFS(J55="NOTFOUND",I55,J55&gt;=I55,J55)</f>
        <v/>
      </c>
    </row>
    <row r="56" ht="18" customHeight="1" s="16">
      <c r="A56" s="5" t="n">
        <v>55</v>
      </c>
      <c r="B56" s="5" t="inlineStr">
        <is>
          <t>GU-2307</t>
        </is>
      </c>
      <c r="D56" s="5" t="inlineStr">
        <is>
          <t>ダイアナ ミニ トートバッグ</t>
        </is>
      </c>
      <c r="E56" s="5" t="inlineStr">
        <is>
          <t>702732 U3ZDT 2549</t>
        </is>
      </c>
      <c r="F56" s="5" t="inlineStr">
        <is>
          <t>ブラウン レザー</t>
        </is>
      </c>
      <c r="G56" s="10" t="inlineStr">
        <is>
          <t>OneSize</t>
        </is>
      </c>
      <c r="H56" s="17" t="inlineStr">
        <is>
          <t>OneSize</t>
        </is>
      </c>
      <c r="I56" s="18" t="n">
        <v>473000</v>
      </c>
      <c r="J56" s="19" t="n">
        <v>506000</v>
      </c>
      <c r="K56" s="20" t="n">
        <v>5</v>
      </c>
      <c r="L56" s="4" t="inlineStr">
        <is>
          <t>https://www.gucci.com/jp/ja/pr/women/handbags/shoulder-bags-for-women/gucci-diana-mini-tote-bag-p-702732U3ZDT2549</t>
        </is>
      </c>
      <c r="M56" s="5">
        <f t="array" ref="M56">_xlfn.IFS(J56="NOTFOUND",I56,J56&gt;=I56,J56)</f>
        <v/>
      </c>
    </row>
    <row r="57" ht="18" customHeight="1" s="16">
      <c r="A57" s="5" t="n">
        <v>56</v>
      </c>
      <c r="B57" s="5" t="inlineStr">
        <is>
          <t>GU-2308</t>
        </is>
      </c>
      <c r="D57" s="5" t="inlineStr">
        <is>
          <t>ダイアナ スモール トートバッグ</t>
        </is>
      </c>
      <c r="E57" s="5" t="inlineStr">
        <is>
          <t>702721 AAA5Y 1060</t>
        </is>
      </c>
      <c r="F57" s="5" t="inlineStr">
        <is>
          <t>ブラック レザー</t>
        </is>
      </c>
      <c r="G57" s="11" t="inlineStr">
        <is>
          <t>SOLD</t>
        </is>
      </c>
      <c r="H57" s="22" t="inlineStr">
        <is>
          <t>SOLD</t>
        </is>
      </c>
      <c r="I57" s="18" t="n">
        <v>572000</v>
      </c>
      <c r="J57" s="19" t="n">
        <v>605000</v>
      </c>
      <c r="K57" s="20" t="n">
        <v>0</v>
      </c>
      <c r="L57" s="4" t="inlineStr">
        <is>
          <t>https://www.gucci.com/jp/ja/pr/women/handbags/shoulder-bags-for-women/gucci-diana-small-tote-bag-p-702721AAA5Y1060</t>
        </is>
      </c>
      <c r="M57" s="5">
        <f t="array" ref="M57">_xlfn.IFS(J57="NOTFOUND",I57,J57&gt;=I57,J57)</f>
        <v/>
      </c>
    </row>
    <row r="58" ht="18" customHeight="1" s="16">
      <c r="A58" s="5" t="n">
        <v>57</v>
      </c>
      <c r="B58" s="5" t="inlineStr">
        <is>
          <t>GU-2309</t>
        </is>
      </c>
      <c r="D58" s="5" t="inlineStr">
        <is>
          <t>ダイアナ スモール ショルダーバッグ</t>
        </is>
      </c>
      <c r="E58" s="5" t="inlineStr">
        <is>
          <t>746251 UAAAY 2548</t>
        </is>
      </c>
      <c r="F58" s="5" t="inlineStr">
        <is>
          <t>ブラウン レザー</t>
        </is>
      </c>
      <c r="G58" s="10" t="inlineStr">
        <is>
          <t>OneSize</t>
        </is>
      </c>
      <c r="H58" s="17" t="inlineStr">
        <is>
          <t>OneSize</t>
        </is>
      </c>
      <c r="I58" s="18" t="n">
        <v>346500</v>
      </c>
      <c r="J58" s="19" t="n">
        <v>346500</v>
      </c>
      <c r="K58" s="20" t="n">
        <v>5</v>
      </c>
      <c r="L58" s="4" t="inlineStr">
        <is>
          <t>https://www.gucci.com/jp/ja/pr/women/handbags/mini-bags-for-women/gucci-diana-small-shoulder-bag-p-746251UAAAY2548</t>
        </is>
      </c>
      <c r="M58" s="5">
        <f t="array" ref="M58">_xlfn.IFS(J58="NOTFOUND",I58,J58&gt;=I58,J58)</f>
        <v/>
      </c>
    </row>
    <row r="59" ht="18" customHeight="1" s="16">
      <c r="A59" s="5" t="n">
        <v>58</v>
      </c>
      <c r="B59" s="5" t="inlineStr">
        <is>
          <t>GU-2310</t>
        </is>
      </c>
      <c r="D59" s="5" t="inlineStr">
        <is>
          <t>ダイアナ スモール ショルダーバッグ</t>
        </is>
      </c>
      <c r="E59" s="5" t="inlineStr">
        <is>
          <t>746251 UAAAY 1092</t>
        </is>
      </c>
      <c r="F59" s="5" t="inlineStr">
        <is>
          <t>ブラック レザー</t>
        </is>
      </c>
      <c r="G59" s="10" t="inlineStr">
        <is>
          <t>OneSize</t>
        </is>
      </c>
      <c r="H59" s="17" t="inlineStr">
        <is>
          <t>OneSize</t>
        </is>
      </c>
      <c r="I59" s="18" t="n">
        <v>346500</v>
      </c>
      <c r="J59" s="19" t="n">
        <v>346500</v>
      </c>
      <c r="K59" s="20" t="n">
        <v>5</v>
      </c>
      <c r="L59" s="4" t="inlineStr">
        <is>
          <t>https://www.gucci.com/jp/ja/pr/women/handbags/mini-bags-for-women/gucci-diana-small-shoulder-bag-p-746251UAAAY1092</t>
        </is>
      </c>
      <c r="M59" s="5">
        <f t="array" ref="M59">_xlfn.IFS(J59="NOTFOUND",I59,J59&gt;=I59,J59)</f>
        <v/>
      </c>
    </row>
    <row r="60" ht="18" customHeight="1" s="16">
      <c r="A60" s="5" t="n">
        <v>59</v>
      </c>
      <c r="B60" s="5" t="inlineStr">
        <is>
          <t>GU-2311</t>
        </is>
      </c>
      <c r="D60" s="5" t="inlineStr">
        <is>
          <t>フック クロージャー付き スモール トートバッグ</t>
        </is>
      </c>
      <c r="E60" s="5" t="inlineStr">
        <is>
          <t>795349 AZB0G 1523</t>
        </is>
      </c>
      <c r="F60" s="5" t="inlineStr">
        <is>
          <t>ベージュ レザー</t>
        </is>
      </c>
      <c r="G60" s="10" t="inlineStr">
        <is>
          <t>OneSize</t>
        </is>
      </c>
      <c r="H60" s="17" t="inlineStr">
        <is>
          <t>OneSize</t>
        </is>
      </c>
      <c r="I60" s="18" t="n">
        <v>517000</v>
      </c>
      <c r="J60" s="19" t="n">
        <v>517000</v>
      </c>
      <c r="K60" s="20" t="n">
        <v>5</v>
      </c>
      <c r="L60" s="4" t="inlineStr">
        <is>
          <t>https://www.gucci.com/jp/ja/pr/women/handbags/tote-bags-for-women/small-tote-bag-with-hook-closure-p-795349AZB0G1523</t>
        </is>
      </c>
      <c r="M60" s="5">
        <f t="array" ref="M60">_xlfn.IFS(J60="NOTFOUND",I60,J60&gt;=I60,J60)</f>
        <v/>
      </c>
    </row>
    <row r="61" ht="18" customHeight="1" s="16">
      <c r="A61" s="5" t="n">
        <v>60</v>
      </c>
      <c r="B61" s="5" t="inlineStr">
        <is>
          <t>GU-2312</t>
        </is>
      </c>
      <c r="D61" s="5" t="inlineStr">
        <is>
          <t>フック クロージャー付き スモール トートバッグ</t>
        </is>
      </c>
      <c r="E61" s="5" t="inlineStr">
        <is>
          <t>795349 AZB0G 1000</t>
        </is>
      </c>
      <c r="F61" s="5" t="inlineStr">
        <is>
          <t>ブラック レザー</t>
        </is>
      </c>
      <c r="G61" s="10" t="inlineStr">
        <is>
          <t>OneSize</t>
        </is>
      </c>
      <c r="H61" s="17" t="inlineStr">
        <is>
          <t>OneSize</t>
        </is>
      </c>
      <c r="I61" s="18" t="n">
        <v>517000</v>
      </c>
      <c r="J61" s="19" t="n">
        <v>517000</v>
      </c>
      <c r="K61" s="20" t="n">
        <v>5</v>
      </c>
      <c r="L61" s="4" t="inlineStr">
        <is>
          <t>https://www.gucci.com/jp/ja/pr/women/handbags/tote-bags-for-women/small-tote-bag-with-hook-closure-p-795349AZB0G1000</t>
        </is>
      </c>
      <c r="M61" s="5">
        <f t="array" ref="M61">_xlfn.IFS(J61="NOTFOUND",I61,J61&gt;=I61,J61)</f>
        <v/>
      </c>
    </row>
    <row r="62" ht="18" customHeight="1" s="16">
      <c r="A62" s="5" t="n">
        <v>61</v>
      </c>
      <c r="B62" s="5" t="inlineStr">
        <is>
          <t>GU-2313</t>
        </is>
      </c>
      <c r="D62" s="5" t="inlineStr">
        <is>
          <t>フック クロージャー付き ミディアム トートバッグ</t>
        </is>
      </c>
      <c r="E62" s="5" t="inlineStr">
        <is>
          <t>795282 AZB0G 6207</t>
        </is>
      </c>
      <c r="F62" s="5" t="inlineStr">
        <is>
          <t>グッチ ロッソ アンコーラ レザー</t>
        </is>
      </c>
      <c r="G62" s="11" t="inlineStr">
        <is>
          <t>SOLD</t>
        </is>
      </c>
      <c r="H62" s="22" t="inlineStr">
        <is>
          <t>SOLD</t>
        </is>
      </c>
      <c r="I62" s="18" t="n">
        <v>693000</v>
      </c>
      <c r="J62" s="23" t="inlineStr">
        <is>
          <t>NOTFOUND</t>
        </is>
      </c>
      <c r="K62" s="20" t="n">
        <v>0</v>
      </c>
      <c r="L62" s="4" t="inlineStr">
        <is>
          <t>https://www.gucci.com/jp/ja/pr/women/handbags/tote-bags-for-women/medium-tote-bag-with-hook-closure-p-795282AZB0G6207</t>
        </is>
      </c>
      <c r="M62" s="5">
        <f t="array" ref="M62">_xlfn.IFS(J62="NOTFOUND",I62,J62&gt;=I62,J62)</f>
        <v/>
      </c>
    </row>
    <row r="63" ht="18" customHeight="1" s="16">
      <c r="A63" s="5" t="n">
        <v>62</v>
      </c>
      <c r="B63" s="5" t="inlineStr">
        <is>
          <t>GU-2314</t>
        </is>
      </c>
      <c r="D63" s="5" t="inlineStr">
        <is>
          <t>フック クロージャー付き ミディアム トートバッグ</t>
        </is>
      </c>
      <c r="E63" s="5" t="inlineStr">
        <is>
          <t>795282 AZB0G 1000</t>
        </is>
      </c>
      <c r="F63" s="5" t="inlineStr">
        <is>
          <t>ブラック レザー</t>
        </is>
      </c>
      <c r="G63" s="11" t="inlineStr">
        <is>
          <t>SOLD</t>
        </is>
      </c>
      <c r="H63" s="22" t="inlineStr">
        <is>
          <t>SOLD</t>
        </is>
      </c>
      <c r="I63" s="18" t="n">
        <v>693000</v>
      </c>
      <c r="J63" s="23" t="inlineStr">
        <is>
          <t>NOTFOUND</t>
        </is>
      </c>
      <c r="K63" s="20" t="n">
        <v>0</v>
      </c>
      <c r="L63" s="4" t="inlineStr">
        <is>
          <t>https://www.gucci.com/jp/ja/pr/women/handbags/tote-bags-for-women/medium-tote-bag-with-hook-closure-p-795282AZB0G1000</t>
        </is>
      </c>
      <c r="M63" s="5">
        <f t="array" ref="M63">_xlfn.IFS(J63="NOTFOUND",I63,J63&gt;=I63,J63)</f>
        <v/>
      </c>
    </row>
    <row r="64" ht="18" customHeight="1" s="16">
      <c r="A64" s="5" t="n">
        <v>63</v>
      </c>
      <c r="B64" s="5" t="inlineStr">
        <is>
          <t>GU-2315</t>
        </is>
      </c>
      <c r="D64" s="5" t="inlineStr">
        <is>
          <t>GGマーモント スモール ショルダーバッグ</t>
        </is>
      </c>
      <c r="E64" s="5" t="inlineStr">
        <is>
          <t>798715 AADPJ 1000</t>
        </is>
      </c>
      <c r="F64" s="5" t="inlineStr">
        <is>
          <t xml:space="preserve">  -</t>
        </is>
      </c>
      <c r="G64" s="11" t="inlineStr">
        <is>
          <t>SOLD</t>
        </is>
      </c>
      <c r="H64" s="22" t="inlineStr">
        <is>
          <t>SOLD</t>
        </is>
      </c>
      <c r="I64" s="18" t="n">
        <v>313500</v>
      </c>
      <c r="J64" s="23" t="inlineStr">
        <is>
          <t>NOTFOUND</t>
        </is>
      </c>
      <c r="K64" s="20" t="n">
        <v>0</v>
      </c>
      <c r="L64" s="4" t="inlineStr">
        <is>
          <t>https://www.gucci.com/jp/ja/pr/women/handbags/shoulder-bags-for-women/camera-bags-for-women/gg-marmont-small-shoulder-bag-p-798715AADPJ1000</t>
        </is>
      </c>
      <c r="M64" s="5">
        <f t="array" ref="M64">_xlfn.IFS(J64="NOTFOUND",I64,J64&gt;=I64,J64)</f>
        <v/>
      </c>
    </row>
    <row r="65" ht="18" customHeight="1" s="16">
      <c r="A65" s="5" t="n">
        <v>64</v>
      </c>
      <c r="B65" s="5" t="inlineStr">
        <is>
          <t>GU-2316</t>
        </is>
      </c>
      <c r="D65" s="5" t="inlineStr">
        <is>
          <t>GGマーモント スモール マルチポケットバッグ</t>
        </is>
      </c>
      <c r="E65" s="5" t="inlineStr">
        <is>
          <t>795228 AADPJ 1000</t>
        </is>
      </c>
      <c r="F65" s="5" t="inlineStr">
        <is>
          <t>ブラック レザー</t>
        </is>
      </c>
      <c r="G65" s="11" t="inlineStr">
        <is>
          <t>SOLD</t>
        </is>
      </c>
      <c r="H65" s="22" t="inlineStr">
        <is>
          <t>SOLD</t>
        </is>
      </c>
      <c r="I65" s="18" t="n">
        <v>572000</v>
      </c>
      <c r="J65" s="23" t="inlineStr">
        <is>
          <t>NOTFOUND</t>
        </is>
      </c>
      <c r="K65" s="20" t="n">
        <v>0</v>
      </c>
      <c r="L65" s="4" t="inlineStr">
        <is>
          <t>https://www.gucci.com/jp/ja/pr/women/handbags/shoulder-bags-for-women/chain-bags-for-women/gg-marmont-small-multi-pocket-bag-p-795228AADPJ1000</t>
        </is>
      </c>
      <c r="M65" s="5">
        <f t="array" ref="M65">_xlfn.IFS(J65="NOTFOUND",I65,J65&gt;=I65,J65)</f>
        <v/>
      </c>
    </row>
    <row r="66" ht="18" customHeight="1" s="16">
      <c r="A66" s="5" t="n">
        <v>65</v>
      </c>
      <c r="B66" s="5" t="inlineStr">
        <is>
          <t>GU-2317</t>
        </is>
      </c>
      <c r="D66" s="5" t="inlineStr">
        <is>
          <t>GGマーモント スモール トップハンドルバッグ</t>
        </is>
      </c>
      <c r="E66" s="5" t="inlineStr">
        <is>
          <t>795199 AABZB 1000</t>
        </is>
      </c>
      <c r="F66" s="5" t="inlineStr">
        <is>
          <t>ブラック レザー</t>
        </is>
      </c>
      <c r="G66" s="11" t="inlineStr">
        <is>
          <t>SOLD</t>
        </is>
      </c>
      <c r="H66" s="22" t="inlineStr">
        <is>
          <t>SOLD</t>
        </is>
      </c>
      <c r="I66" s="18" t="n">
        <v>308000</v>
      </c>
      <c r="J66" s="23" t="inlineStr">
        <is>
          <t>NOTFOUND</t>
        </is>
      </c>
      <c r="K66" s="20" t="n">
        <v>0</v>
      </c>
      <c r="L66" s="4" t="inlineStr">
        <is>
          <t>https://www.gucci.com/jp/ja/pr/women/handbags/shoulder-bags-for-women/camera-bags-for-women/gg-marmont-small-top-handle-bag-p-795199AABZB1000</t>
        </is>
      </c>
      <c r="M66" s="5">
        <f t="array" ref="M66">_xlfn.IFS(J66="NOTFOUND",I66,J66&gt;=I66,J66)</f>
        <v/>
      </c>
    </row>
    <row r="67" ht="18" customHeight="1" s="16">
      <c r="A67" s="5" t="n">
        <v>66</v>
      </c>
      <c r="B67" s="5" t="inlineStr">
        <is>
          <t>GU-2318</t>
        </is>
      </c>
      <c r="D67" s="5" t="inlineStr">
        <is>
          <t>GGマーモント スモール トートバッグ</t>
        </is>
      </c>
      <c r="E67" s="5" t="inlineStr">
        <is>
          <t>779727 AABZB 9022</t>
        </is>
      </c>
      <c r="F67" s="5" t="inlineStr">
        <is>
          <t>ホワイト レザー</t>
        </is>
      </c>
      <c r="G67" s="11" t="inlineStr">
        <is>
          <t>SOLD</t>
        </is>
      </c>
      <c r="H67" s="22" t="inlineStr">
        <is>
          <t>SOLD</t>
        </is>
      </c>
      <c r="I67" s="18" t="n">
        <v>363000</v>
      </c>
      <c r="J67" s="23" t="inlineStr">
        <is>
          <t>NOTFOUND</t>
        </is>
      </c>
      <c r="K67" s="20" t="n">
        <v>0</v>
      </c>
      <c r="L67" s="4" t="inlineStr">
        <is>
          <t>https://www.gucci.com/jp/ja/pr/women/handbags/tote-bags-for-women/gg-marmont-small-tote-p-779727AABZB9022</t>
        </is>
      </c>
      <c r="M67" s="5">
        <f t="array" ref="M67">_xlfn.IFS(J67="NOTFOUND",I67,J67&gt;=I67,J67)</f>
        <v/>
      </c>
    </row>
    <row r="68" ht="18" customHeight="1" s="16">
      <c r="A68" s="5" t="n">
        <v>67</v>
      </c>
      <c r="B68" s="5" t="inlineStr">
        <is>
          <t>GU-2319</t>
        </is>
      </c>
      <c r="D68" s="5" t="inlineStr">
        <is>
          <t>GGマーモント スモール トートバッグ</t>
        </is>
      </c>
      <c r="E68" s="5" t="inlineStr">
        <is>
          <t>779727 AADK4 1000</t>
        </is>
      </c>
      <c r="F68" s="5" t="inlineStr">
        <is>
          <t>ブラック レザー</t>
        </is>
      </c>
      <c r="G68" s="11" t="inlineStr">
        <is>
          <t>SOLD</t>
        </is>
      </c>
      <c r="H68" s="22" t="inlineStr">
        <is>
          <t>SOLD</t>
        </is>
      </c>
      <c r="I68" s="18" t="n">
        <v>363000</v>
      </c>
      <c r="J68" s="23" t="inlineStr">
        <is>
          <t>NOTFOUND</t>
        </is>
      </c>
      <c r="K68" s="20" t="n">
        <v>0</v>
      </c>
      <c r="L68" s="4" t="inlineStr">
        <is>
          <t>https://www.gucci.com/jp/ja/pr/women/handbags/tote-bags-for-women/gg-marmont-small-tote-p-779727AADK41000</t>
        </is>
      </c>
      <c r="M68" s="5">
        <f t="array" ref="M68">_xlfn.IFS(J68="NOTFOUND",I68,J68&gt;=I68,J68)</f>
        <v/>
      </c>
    </row>
    <row r="69" ht="18" customHeight="1" s="16">
      <c r="A69" s="5" t="n">
        <v>68</v>
      </c>
      <c r="B69" s="5" t="inlineStr">
        <is>
          <t>GU-2320</t>
        </is>
      </c>
      <c r="D69" s="5" t="inlineStr">
        <is>
          <t>GGマーモント キルティング ミニ トートバッグ</t>
        </is>
      </c>
      <c r="E69" s="5" t="inlineStr">
        <is>
          <t>739682 AABZC 9022</t>
        </is>
      </c>
      <c r="F69" s="5" t="inlineStr">
        <is>
          <t>ホワイト レザー</t>
        </is>
      </c>
      <c r="G69" s="11" t="inlineStr">
        <is>
          <t>SOLD</t>
        </is>
      </c>
      <c r="H69" s="22" t="inlineStr">
        <is>
          <t>SOLD</t>
        </is>
      </c>
      <c r="I69" s="18" t="n">
        <v>286000</v>
      </c>
      <c r="J69" s="23" t="inlineStr">
        <is>
          <t>NOTFOUND</t>
        </is>
      </c>
      <c r="K69" s="20" t="n">
        <v>0</v>
      </c>
      <c r="L69" s="4" t="inlineStr">
        <is>
          <t>https://www.gucci.com/jp/ja/pr/women/handbags/mini-bags-for-women/gg-marmont-mini-shoulder-bag-p-739682AABZC9022</t>
        </is>
      </c>
      <c r="M69" s="5">
        <f t="array" ref="M69">_xlfn.IFS(J69="NOTFOUND",I69,J69&gt;=I69,J69)</f>
        <v/>
      </c>
    </row>
    <row r="70" ht="18" customHeight="1" s="16">
      <c r="A70" s="5" t="n">
        <v>69</v>
      </c>
      <c r="B70" s="5" t="inlineStr">
        <is>
          <t>GU-2321</t>
        </is>
      </c>
      <c r="D70" s="5" t="inlineStr">
        <is>
          <t>GGマーモント ミニ ショルダーバッグ</t>
        </is>
      </c>
      <c r="E70" s="5" t="inlineStr">
        <is>
          <t>739682 AABZC 1712</t>
        </is>
      </c>
      <c r="F70" s="5" t="inlineStr">
        <is>
          <t>ライトグレー レザー</t>
        </is>
      </c>
      <c r="G70" s="11" t="inlineStr">
        <is>
          <t>SOLD</t>
        </is>
      </c>
      <c r="H70" s="22" t="inlineStr">
        <is>
          <t>SOLD</t>
        </is>
      </c>
      <c r="I70" s="18" t="n">
        <v>286000</v>
      </c>
      <c r="J70" s="23" t="inlineStr">
        <is>
          <t>NOTFOUND</t>
        </is>
      </c>
      <c r="K70" s="20" t="n">
        <v>0</v>
      </c>
      <c r="L70" s="4" t="inlineStr">
        <is>
          <t>https://www.gucci.com/jp/ja/pr/women/handbags/mini-bags-for-women/gg-marmont-mini-shoulder-bag-p-739682AABZC1712</t>
        </is>
      </c>
      <c r="M70" s="5">
        <f t="array" ref="M70">_xlfn.IFS(J70="NOTFOUND",I70,J70&gt;=I70,J70)</f>
        <v/>
      </c>
    </row>
    <row r="71" ht="18" customHeight="1" s="16">
      <c r="A71" s="5" t="n">
        <v>70</v>
      </c>
      <c r="B71" s="5" t="inlineStr">
        <is>
          <t>GU-2322</t>
        </is>
      </c>
      <c r="D71" s="5" t="inlineStr">
        <is>
          <t>GGマーモント キルティング ミニ トートバッグ</t>
        </is>
      </c>
      <c r="E71" s="5" t="inlineStr">
        <is>
          <t>739682 AABZC 1000</t>
        </is>
      </c>
      <c r="F71" s="5" t="inlineStr">
        <is>
          <t>ブラック レザー</t>
        </is>
      </c>
      <c r="G71" s="11" t="inlineStr">
        <is>
          <t>SOLD</t>
        </is>
      </c>
      <c r="H71" s="22" t="inlineStr">
        <is>
          <t>SOLD</t>
        </is>
      </c>
      <c r="I71" s="18" t="n">
        <v>286000</v>
      </c>
      <c r="J71" s="23" t="inlineStr">
        <is>
          <t>NOTFOUND</t>
        </is>
      </c>
      <c r="K71" s="20" t="n">
        <v>0</v>
      </c>
      <c r="L71" s="4" t="inlineStr">
        <is>
          <t>https://www.gucci.com/jp/ja/pr/women/handbags/mini-bags-for-women/gg-marmont-mini-shoulder-bag-p-739682AABZC1000</t>
        </is>
      </c>
      <c r="M71" s="5">
        <f t="array" ref="M71">_xlfn.IFS(J71="NOTFOUND",I71,J71&gt;=I71,J71)</f>
        <v/>
      </c>
    </row>
    <row r="72" ht="18" customHeight="1" s="16">
      <c r="A72" s="5" t="n">
        <v>71</v>
      </c>
      <c r="B72" s="5" t="inlineStr">
        <is>
          <t>GU-2323</t>
        </is>
      </c>
      <c r="D72" s="5" t="inlineStr">
        <is>
          <t>GGマーモント ミニ トップハンドルバッグ</t>
        </is>
      </c>
      <c r="E72" s="5" t="inlineStr">
        <is>
          <t>547260 DTDIT 1000</t>
        </is>
      </c>
      <c r="F72" s="5" t="inlineStr">
        <is>
          <t xml:space="preserve">  -</t>
        </is>
      </c>
      <c r="G72" s="10" t="inlineStr">
        <is>
          <t>OneSize</t>
        </is>
      </c>
      <c r="H72" s="17" t="inlineStr">
        <is>
          <t>OneSize</t>
        </is>
      </c>
      <c r="I72" s="18" t="n">
        <v>335500</v>
      </c>
      <c r="J72" s="19" t="n">
        <v>379500</v>
      </c>
      <c r="K72" s="20" t="n">
        <v>5</v>
      </c>
      <c r="L72" s="4" t="inlineStr">
        <is>
          <t>https://www.gucci.com/jp/ja/pr/women/handbags/mini-bags-for-women/gg-marmont-mini-top-handle-bag-p-547260DTDIT1000</t>
        </is>
      </c>
      <c r="M72" s="5">
        <f t="array" ref="M72">_xlfn.IFS(J72="NOTFOUND",I72,J72&gt;=I72,J72)</f>
        <v/>
      </c>
    </row>
    <row r="73" ht="18" customHeight="1" s="16">
      <c r="A73" s="5" t="n">
        <v>72</v>
      </c>
      <c r="B73" s="5" t="inlineStr">
        <is>
          <t>GU-2324</t>
        </is>
      </c>
      <c r="D73" s="5" t="inlineStr">
        <is>
          <t>GGマーモント キルティング スモール ショルダーバッグ</t>
        </is>
      </c>
      <c r="E73" s="5" t="inlineStr">
        <is>
          <t>447632 DTD1T 1000</t>
        </is>
      </c>
      <c r="F73" s="5" t="inlineStr">
        <is>
          <t>ブラック レザー</t>
        </is>
      </c>
      <c r="G73" s="10" t="inlineStr">
        <is>
          <t>OneSize</t>
        </is>
      </c>
      <c r="H73" s="17" t="inlineStr">
        <is>
          <t>OneSize</t>
        </is>
      </c>
      <c r="I73" s="18" t="n">
        <v>227700</v>
      </c>
      <c r="J73" s="19" t="n">
        <v>264000</v>
      </c>
      <c r="K73" s="20" t="n">
        <v>5</v>
      </c>
      <c r="L73" s="4" t="inlineStr">
        <is>
          <t>https://www.gucci.com/jp/ja/pr/women/handbags/crossbody-bags-for-women/gg-marmont-small-shoulder-bag-p-447632DTD1T1000</t>
        </is>
      </c>
      <c r="M73" s="5">
        <f t="array" ref="M73">_xlfn.IFS(J73="NOTFOUND",I73,J73&gt;=I73,J73)</f>
        <v/>
      </c>
    </row>
    <row r="74" ht="18" customHeight="1" s="16">
      <c r="A74" s="5" t="n">
        <v>73</v>
      </c>
      <c r="B74" s="5" t="inlineStr">
        <is>
          <t>GU-2325</t>
        </is>
      </c>
      <c r="D74" s="5" t="inlineStr">
        <is>
          <t>GGマーモント スモール ショルダーバッグ</t>
        </is>
      </c>
      <c r="E74" s="5" t="inlineStr">
        <is>
          <t>447632 DTD1T 9022</t>
        </is>
      </c>
      <c r="F74" s="5" t="inlineStr">
        <is>
          <t>ホワイトレザー</t>
        </is>
      </c>
      <c r="G74" s="10" t="inlineStr">
        <is>
          <t>OneSize</t>
        </is>
      </c>
      <c r="H74" s="17" t="inlineStr">
        <is>
          <t>OneSize</t>
        </is>
      </c>
      <c r="I74" s="18" t="n">
        <v>227700</v>
      </c>
      <c r="J74" s="19" t="n">
        <v>264000</v>
      </c>
      <c r="K74" s="20" t="n">
        <v>5</v>
      </c>
      <c r="L74" s="4" t="inlineStr">
        <is>
          <t>https://www.gucci.com/jp/ja/pr/women/handbags/crossbody-bags-for-women/gg-marmont-small-shoulder-bag-p-447632DTD1T9022</t>
        </is>
      </c>
      <c r="M74" s="5">
        <f t="array" ref="M74">_xlfn.IFS(J74="NOTFOUND",I74,J74&gt;=I74,J74)</f>
        <v/>
      </c>
    </row>
    <row r="75" ht="18" customHeight="1" s="16">
      <c r="A75" s="5" t="n">
        <v>74</v>
      </c>
      <c r="B75" s="5" t="inlineStr">
        <is>
          <t>GU-2326</t>
        </is>
      </c>
      <c r="D75" s="5" t="inlineStr">
        <is>
          <t>GGマーモント キルティング スモール ショルダーバッグ</t>
        </is>
      </c>
      <c r="E75" s="5" t="inlineStr">
        <is>
          <t>447632 DTD1T 5729</t>
        </is>
      </c>
      <c r="F75" s="5" t="inlineStr">
        <is>
          <t>ベージュレザー</t>
        </is>
      </c>
      <c r="G75" s="11" t="inlineStr">
        <is>
          <t>SOLD</t>
        </is>
      </c>
      <c r="H75" s="22" t="inlineStr">
        <is>
          <t>SOLD</t>
        </is>
      </c>
      <c r="I75" s="18" t="n">
        <v>227700</v>
      </c>
      <c r="J75" s="23" t="inlineStr">
        <is>
          <t>NOTFOUND</t>
        </is>
      </c>
      <c r="K75" s="20" t="n">
        <v>0</v>
      </c>
      <c r="L75" s="4" t="inlineStr">
        <is>
          <t>https://www.gucci.com/jp/ja/pr/women/handbags/crossbody-bags-for-women/gg-marmont-small-shoulder-bag-p-447632DTD1T5729</t>
        </is>
      </c>
      <c r="M75" s="5">
        <f t="array" ref="M75">_xlfn.IFS(J75="NOTFOUND",I75,J75&gt;=I75,J75)</f>
        <v/>
      </c>
    </row>
    <row r="76" ht="18" customHeight="1" s="16">
      <c r="A76" s="5" t="n">
        <v>75</v>
      </c>
      <c r="B76" s="5" t="inlineStr">
        <is>
          <t>GU-2327</t>
        </is>
      </c>
      <c r="D76" s="5" t="inlineStr">
        <is>
          <t>GGマーモント スモール ショルダーバッグ</t>
        </is>
      </c>
      <c r="E76" s="5" t="inlineStr">
        <is>
          <t>447632 AABZB 3401</t>
        </is>
      </c>
      <c r="F76" s="5" t="inlineStr">
        <is>
          <t>ペールグリーン レザー</t>
        </is>
      </c>
      <c r="G76" s="11" t="inlineStr">
        <is>
          <t>SOLD</t>
        </is>
      </c>
      <c r="H76" s="22" t="inlineStr">
        <is>
          <t>SOLD</t>
        </is>
      </c>
      <c r="I76" s="18" t="n">
        <v>227700</v>
      </c>
      <c r="J76" s="23" t="inlineStr">
        <is>
          <t>NOTFOUND</t>
        </is>
      </c>
      <c r="K76" s="20" t="n">
        <v>0</v>
      </c>
      <c r="L76" s="4" t="inlineStr">
        <is>
          <t>https://www.gucci.com/jp/ja/pr/women/handbags/shoulder-bags-for-women/camera-bags-for-women/gg-marmont-small-shoulder-bag-p-447632AABZB3401</t>
        </is>
      </c>
      <c r="M76" s="5">
        <f t="array" ref="M76">_xlfn.IFS(J76="NOTFOUND",I76,J76&gt;=I76,J76)</f>
        <v/>
      </c>
    </row>
    <row r="77" ht="18" customHeight="1" s="16">
      <c r="A77" s="5" t="n">
        <v>76</v>
      </c>
      <c r="B77" s="5" t="inlineStr">
        <is>
          <t>GU-2328</t>
        </is>
      </c>
      <c r="D77" s="5" t="inlineStr">
        <is>
          <t>GGマーモント キルティング ミニバッグ</t>
        </is>
      </c>
      <c r="E77" s="5" t="inlineStr">
        <is>
          <t>446744 AABZC 1712</t>
        </is>
      </c>
      <c r="F77" s="5" t="inlineStr">
        <is>
          <t>ライトグレー レザー</t>
        </is>
      </c>
      <c r="G77" s="10" t="inlineStr">
        <is>
          <t>OneSize</t>
        </is>
      </c>
      <c r="H77" s="17" t="inlineStr">
        <is>
          <t>OneSize</t>
        </is>
      </c>
      <c r="I77" s="18" t="n">
        <v>302500</v>
      </c>
      <c r="J77" s="19" t="n">
        <v>346500</v>
      </c>
      <c r="K77" s="20" t="n">
        <v>5</v>
      </c>
      <c r="L77" s="4" t="inlineStr">
        <is>
          <t>https://www.gucci.com/jp/ja/pr/women/handbags/mini-bags-for-women/gg-marmont-matelasse-mini-bag-p-446744AABZC1712</t>
        </is>
      </c>
      <c r="M77" s="5">
        <f t="array" ref="M77">_xlfn.IFS(J77="NOTFOUND",I77,J77&gt;=I77,J77)</f>
        <v/>
      </c>
    </row>
    <row r="78" ht="18" customHeight="1" s="16">
      <c r="A78" s="5" t="n">
        <v>77</v>
      </c>
      <c r="B78" s="5" t="inlineStr">
        <is>
          <t>GU-2329</t>
        </is>
      </c>
      <c r="D78" s="5" t="inlineStr">
        <is>
          <t>GGマーモント キルティング ミニバッグ</t>
        </is>
      </c>
      <c r="E78" s="5" t="inlineStr">
        <is>
          <t>446744 AABZC 3401</t>
        </is>
      </c>
      <c r="F78" s="5" t="inlineStr">
        <is>
          <t>ペールグリーン レザー</t>
        </is>
      </c>
      <c r="G78" s="11" t="inlineStr">
        <is>
          <t>SOLD</t>
        </is>
      </c>
      <c r="H78" s="22" t="inlineStr">
        <is>
          <t>SOLD</t>
        </is>
      </c>
      <c r="I78" s="18" t="n">
        <v>302500</v>
      </c>
      <c r="J78" s="23" t="inlineStr">
        <is>
          <t>NOTFOUND</t>
        </is>
      </c>
      <c r="K78" s="20" t="n">
        <v>0</v>
      </c>
      <c r="L78" s="4" t="inlineStr">
        <is>
          <t>https://www.gucci.com/jp/ja/pr/women/handbags/mini-bags-for-women/gg-marmont-matelasse-mini-bag-p-446744AABZC3401</t>
        </is>
      </c>
      <c r="M78" s="5">
        <f t="array" ref="M78">_xlfn.IFS(J78="NOTFOUND",I78,J78&gt;=I78,J78)</f>
        <v/>
      </c>
    </row>
    <row r="79" ht="18" customHeight="1" s="16">
      <c r="A79" s="5" t="n">
        <v>78</v>
      </c>
      <c r="B79" s="5" t="inlineStr">
        <is>
          <t>GU-2330</t>
        </is>
      </c>
      <c r="D79" s="5" t="inlineStr">
        <is>
          <t>GGマーモント キルティング ミニショルダー</t>
        </is>
      </c>
      <c r="E79" s="5" t="inlineStr">
        <is>
          <t>446744 DTDIT 9022</t>
        </is>
      </c>
      <c r="F79" s="5" t="inlineStr">
        <is>
          <t>ホワイト レザー</t>
        </is>
      </c>
      <c r="G79" s="11" t="inlineStr">
        <is>
          <t>SOLD</t>
        </is>
      </c>
      <c r="H79" s="22" t="inlineStr">
        <is>
          <t>SOLD</t>
        </is>
      </c>
      <c r="I79" s="18" t="n">
        <v>302500</v>
      </c>
      <c r="J79" s="23" t="inlineStr">
        <is>
          <t>NOTFOUND</t>
        </is>
      </c>
      <c r="K79" s="20" t="n">
        <v>0</v>
      </c>
      <c r="L79" s="4" t="inlineStr">
        <is>
          <t>https://www.gucci.com/jp/ja/pr/women/handbags/mini-bags-for-women/gg-marmont-matelasse-mini-bag-p-446744DTDIT9022</t>
        </is>
      </c>
      <c r="M79" s="5">
        <f t="array" ref="M79">_xlfn.IFS(J79="NOTFOUND",I79,J79&gt;=I79,J79)</f>
        <v/>
      </c>
    </row>
    <row r="80" ht="18" customHeight="1" s="16">
      <c r="A80" s="5" t="n">
        <v>79</v>
      </c>
      <c r="B80" s="5" t="inlineStr">
        <is>
          <t>GU-2331</t>
        </is>
      </c>
      <c r="D80" s="5" t="inlineStr">
        <is>
          <t>GGマーモント キルティング スモール ショルダーバッグ</t>
        </is>
      </c>
      <c r="E80" s="5" t="inlineStr">
        <is>
          <t>443497 DTDIT 9022</t>
        </is>
      </c>
      <c r="F80" s="5" t="inlineStr">
        <is>
          <t>ホワイト レザー</t>
        </is>
      </c>
      <c r="G80" s="11" t="inlineStr">
        <is>
          <t>SOLD</t>
        </is>
      </c>
      <c r="H80" s="22" t="inlineStr">
        <is>
          <t>SOLD</t>
        </is>
      </c>
      <c r="I80" s="18" t="n">
        <v>324500</v>
      </c>
      <c r="J80" s="23" t="inlineStr">
        <is>
          <t>NOTFOUND</t>
        </is>
      </c>
      <c r="K80" s="20" t="n">
        <v>0</v>
      </c>
      <c r="L80" s="4" t="inlineStr">
        <is>
          <t>https://www.gucci.com/jp/ja/pr/women/handbags/shoulder-bags-for-women/chain-bags-for-women/gg-marmont-small-shoulder-bag-p-443497DTDIT9022</t>
        </is>
      </c>
      <c r="M80" s="5">
        <f t="array" ref="M80">_xlfn.IFS(J80="NOTFOUND",I80,J80&gt;=I80,J80)</f>
        <v/>
      </c>
    </row>
    <row r="81" ht="18" customHeight="1" s="16">
      <c r="A81" s="5" t="n">
        <v>80</v>
      </c>
      <c r="B81" s="5" t="inlineStr">
        <is>
          <t>GU-2332</t>
        </is>
      </c>
      <c r="D81" s="5" t="inlineStr">
        <is>
          <t>GGマーモント キルティング ショルダーバッグ</t>
        </is>
      </c>
      <c r="E81" s="5" t="inlineStr">
        <is>
          <t>443497 DTDIT 5729</t>
        </is>
      </c>
      <c r="F81" s="5" t="inlineStr">
        <is>
          <t>ダスティピンク レザー</t>
        </is>
      </c>
      <c r="G81" s="11" t="inlineStr">
        <is>
          <t>SOLD</t>
        </is>
      </c>
      <c r="H81" s="22" t="inlineStr">
        <is>
          <t>SOLD</t>
        </is>
      </c>
      <c r="I81" s="18" t="n">
        <v>324500</v>
      </c>
      <c r="J81" s="23" t="inlineStr">
        <is>
          <t>NOTFOUND</t>
        </is>
      </c>
      <c r="K81" s="20" t="n">
        <v>0</v>
      </c>
      <c r="L81" s="4" t="inlineStr">
        <is>
          <t>https://www.gucci.com/jp/ja/pr/women/handbags/shoulder-bags-for-women/chain-bags-for-women/gg-marmont-small-shoulder-bag-p-443497DTDIT5729</t>
        </is>
      </c>
      <c r="M81" s="5">
        <f t="array" ref="M81">_xlfn.IFS(J81="NOTFOUND",I81,J81&gt;=I81,J81)</f>
        <v/>
      </c>
    </row>
    <row r="82" ht="18" customHeight="1" s="16">
      <c r="A82" s="5" t="n">
        <v>81</v>
      </c>
      <c r="B82" s="5" t="inlineStr">
        <is>
          <t>GU-2333</t>
        </is>
      </c>
      <c r="D82" s="5" t="inlineStr">
        <is>
          <t>GGマーモント キルティング スモール ショルダーバッグ</t>
        </is>
      </c>
      <c r="E82" s="5" t="inlineStr">
        <is>
          <t>443497 DTDIT 1000</t>
        </is>
      </c>
      <c r="F82" s="5" t="inlineStr">
        <is>
          <t>ブラック レザー</t>
        </is>
      </c>
      <c r="G82" s="11" t="inlineStr">
        <is>
          <t>SOLD</t>
        </is>
      </c>
      <c r="H82" s="22" t="inlineStr">
        <is>
          <t>SOLD</t>
        </is>
      </c>
      <c r="I82" s="18" t="n">
        <v>324500</v>
      </c>
      <c r="J82" s="23" t="inlineStr">
        <is>
          <t>NOTFOUND</t>
        </is>
      </c>
      <c r="K82" s="20" t="n">
        <v>0</v>
      </c>
      <c r="L82" s="4" t="inlineStr">
        <is>
          <t>https://www.gucci.com/jp/ja/pr/women/handbags/shoulder-bags-for-women/chain-bags-for-women/gg-marmont-small-shoulder-bag-p-443497DTDIT1000</t>
        </is>
      </c>
      <c r="M82" s="5">
        <f t="array" ref="M82">_xlfn.IFS(J82="NOTFOUND",I82,J82&gt;=I82,J82)</f>
        <v/>
      </c>
    </row>
    <row r="83" ht="18" customHeight="1" s="16">
      <c r="A83" s="5" t="n">
        <v>82</v>
      </c>
      <c r="B83" s="5" t="inlineStr">
        <is>
          <t>GU-2334</t>
        </is>
      </c>
      <c r="D83" s="5" t="inlineStr">
        <is>
          <t>GGマーモント スーパーミニバッグ</t>
        </is>
      </c>
      <c r="E83" s="5" t="inlineStr">
        <is>
          <t>772759 CAO0G 9511</t>
        </is>
      </c>
      <c r="F83" s="5" t="inlineStr">
        <is>
          <t>ベージュ レザー</t>
        </is>
      </c>
      <c r="G83" s="11" t="inlineStr">
        <is>
          <t>SOLD</t>
        </is>
      </c>
      <c r="H83" s="22" t="inlineStr">
        <is>
          <t>SOLD</t>
        </is>
      </c>
      <c r="I83" s="18" t="n">
        <v>144100</v>
      </c>
      <c r="J83" s="19" t="n">
        <v>150700</v>
      </c>
      <c r="K83" s="20" t="n">
        <v>0</v>
      </c>
      <c r="L83" s="4" t="inlineStr">
        <is>
          <t>https://www.gucci.com/jp/ja/pr/women/handbags/mini-bags-for-women/gg-marmont-super-mini-shoulder-bag-p-772759CAO0G9511</t>
        </is>
      </c>
      <c r="M83" s="5">
        <f t="array" ref="M83">_xlfn.IFS(J83="NOTFOUND",I83,J83&gt;=I83,J83)</f>
        <v/>
      </c>
    </row>
    <row r="84" ht="18" customHeight="1" s="16">
      <c r="A84" s="5" t="n">
        <v>83</v>
      </c>
      <c r="B84" s="5" t="inlineStr">
        <is>
          <t>GU-2335</t>
        </is>
      </c>
      <c r="D84" s="5" t="inlineStr">
        <is>
          <t>GGマーモント スーパーミニバッグ</t>
        </is>
      </c>
      <c r="E84" s="5" t="inlineStr">
        <is>
          <t>772759 CAO0G 1000</t>
        </is>
      </c>
      <c r="F84" s="5" t="inlineStr">
        <is>
          <t>ブラック レザー</t>
        </is>
      </c>
      <c r="G84" s="10" t="inlineStr">
        <is>
          <t>OneSize</t>
        </is>
      </c>
      <c r="H84" s="17" t="inlineStr">
        <is>
          <t>OneSize</t>
        </is>
      </c>
      <c r="I84" s="18" t="n">
        <v>144100</v>
      </c>
      <c r="J84" s="19" t="n">
        <v>150700</v>
      </c>
      <c r="K84" s="20" t="n">
        <v>5</v>
      </c>
      <c r="L84" s="4" t="inlineStr">
        <is>
          <t>https://www.gucci.com/jp/ja/pr/women/handbags/mini-bags-for-women/gg-marmont-super-mini-shoulder-bag-p-772759CAO0G1000</t>
        </is>
      </c>
      <c r="M84" s="5">
        <f t="array" ref="M84">_xlfn.IFS(J84="NOTFOUND",I84,J84&gt;=I84,J84)</f>
        <v/>
      </c>
    </row>
    <row r="85" ht="18" customHeight="1" s="16">
      <c r="A85" s="5" t="n">
        <v>84</v>
      </c>
      <c r="B85" s="5" t="inlineStr">
        <is>
          <t>GU-2336</t>
        </is>
      </c>
      <c r="D85" s="5" t="inlineStr">
        <is>
          <t>GGマーモント ミニバッグ</t>
        </is>
      </c>
      <c r="E85" s="5" t="inlineStr">
        <is>
          <t>751526 AACCE 9053</t>
        </is>
      </c>
      <c r="F85" s="5" t="inlineStr">
        <is>
          <t>ホワイト レザー</t>
        </is>
      </c>
      <c r="G85" s="11" t="inlineStr">
        <is>
          <t>SOLD</t>
        </is>
      </c>
      <c r="H85" s="22" t="inlineStr">
        <is>
          <t>SOLD</t>
        </is>
      </c>
      <c r="I85" s="18" t="n">
        <v>275000</v>
      </c>
      <c r="J85" s="23" t="inlineStr">
        <is>
          <t>NOTFOUND</t>
        </is>
      </c>
      <c r="K85" s="20" t="n">
        <v>0</v>
      </c>
      <c r="L85" s="4" t="inlineStr">
        <is>
          <t>https://www.gucci.com/jp/ja/pr/women/handbags/mini-bags-for-women/gg-marmont-mini-bag-p-751526AACCE9053</t>
        </is>
      </c>
      <c r="M85" s="5">
        <f t="array" ref="M85">_xlfn.IFS(J85="NOTFOUND",I85,J85&gt;=I85,J85)</f>
        <v/>
      </c>
    </row>
    <row r="86" ht="18" customHeight="1" s="16">
      <c r="A86" s="5" t="n">
        <v>85</v>
      </c>
      <c r="B86" s="5" t="inlineStr">
        <is>
          <t>GU-2337</t>
        </is>
      </c>
      <c r="D86" s="5" t="inlineStr">
        <is>
          <t>GGマーモント ミニバッグ</t>
        </is>
      </c>
      <c r="E86" s="5" t="inlineStr">
        <is>
          <t>751526 AACCE 1742</t>
        </is>
      </c>
      <c r="F86" s="5" t="inlineStr">
        <is>
          <t>ライトグレー レザー</t>
        </is>
      </c>
      <c r="G86" s="11" t="inlineStr">
        <is>
          <t>SOLD</t>
        </is>
      </c>
      <c r="H86" s="22" t="inlineStr">
        <is>
          <t>SOLD</t>
        </is>
      </c>
      <c r="I86" s="18" t="n">
        <v>275000</v>
      </c>
      <c r="J86" s="23" t="inlineStr">
        <is>
          <t>NOTFOUND</t>
        </is>
      </c>
      <c r="K86" s="20" t="n">
        <v>0</v>
      </c>
      <c r="L86" s="4" t="inlineStr">
        <is>
          <t>https://www.gucci.com/jp/ja/pr/women/handbags/mini-bags-for-women/gg-marmont-mini-bag-p-751526AACCE1742</t>
        </is>
      </c>
      <c r="M86" s="5">
        <f t="array" ref="M86">_xlfn.IFS(J86="NOTFOUND",I86,J86&gt;=I86,J86)</f>
        <v/>
      </c>
    </row>
    <row r="87" ht="18" customHeight="1" s="16">
      <c r="A87" s="5" t="n">
        <v>86</v>
      </c>
      <c r="B87" s="5" t="inlineStr">
        <is>
          <t>GU-2338</t>
        </is>
      </c>
      <c r="D87" s="5" t="inlineStr">
        <is>
          <t>GGマーモント ミニ バッグ</t>
        </is>
      </c>
      <c r="E87" s="5" t="inlineStr">
        <is>
          <t>598597 DTDCT 1000</t>
        </is>
      </c>
      <c r="F87" s="5" t="inlineStr">
        <is>
          <t xml:space="preserve">  -</t>
        </is>
      </c>
      <c r="G87" s="11" t="inlineStr">
        <is>
          <t>SOLD</t>
        </is>
      </c>
      <c r="H87" s="22" t="inlineStr">
        <is>
          <t>SOLD</t>
        </is>
      </c>
      <c r="I87" s="18" t="n">
        <v>137500</v>
      </c>
      <c r="J87" s="23" t="inlineStr">
        <is>
          <t>NOTFOUND</t>
        </is>
      </c>
      <c r="K87" s="20" t="n">
        <v>0</v>
      </c>
      <c r="L87" s="4" t="inlineStr">
        <is>
          <t>https://www.gucci.com/jp/ja/pr/women/handbags/mini-bags-for-women/gg-marmont-mini-bag-p-598597DTDCT1000</t>
        </is>
      </c>
      <c r="M87" s="5">
        <f t="array" ref="M87">_xlfn.IFS(J87="NOTFOUND",I87,J87&gt;=I87,J87)</f>
        <v/>
      </c>
    </row>
    <row r="88" ht="18" customHeight="1" s="16">
      <c r="A88" s="5" t="n">
        <v>87</v>
      </c>
      <c r="B88" s="5" t="inlineStr">
        <is>
          <t>GU-2339</t>
        </is>
      </c>
      <c r="D88" s="5" t="inlineStr">
        <is>
          <t>GGマーモント ミニ バケットバッグ</t>
        </is>
      </c>
      <c r="E88" s="5" t="inlineStr">
        <is>
          <t>575163 DTDRT 1000</t>
        </is>
      </c>
      <c r="F88" s="5" t="inlineStr">
        <is>
          <t xml:space="preserve">  -</t>
        </is>
      </c>
      <c r="G88" s="11" t="inlineStr">
        <is>
          <t>SOLD</t>
        </is>
      </c>
      <c r="H88" s="22" t="inlineStr">
        <is>
          <t>SOLD</t>
        </is>
      </c>
      <c r="I88" s="18" t="n">
        <v>162800</v>
      </c>
      <c r="J88" s="23" t="inlineStr">
        <is>
          <t>NOTFOUND</t>
        </is>
      </c>
      <c r="K88" s="20" t="n">
        <v>0</v>
      </c>
      <c r="L88" s="4" t="inlineStr">
        <is>
          <t>https://www.gucci.com/jp/ja/pr/women/handbags/mini-bags-for-women/gg-marmont-mini-bucket-bag-p-575163DTDRT1000</t>
        </is>
      </c>
      <c r="M88" s="5">
        <f t="array" ref="M88">_xlfn.IFS(J88="NOTFOUND",I88,J88&gt;=I88,J88)</f>
        <v/>
      </c>
    </row>
    <row r="89" ht="18" customHeight="1" s="16">
      <c r="A89" s="5" t="n">
        <v>88</v>
      </c>
      <c r="B89" s="5" t="inlineStr">
        <is>
          <t>GU-2340</t>
        </is>
      </c>
      <c r="D89" s="5" t="inlineStr">
        <is>
          <t>GGマーモント オンライン限定スーパーミニバッグ</t>
        </is>
      </c>
      <c r="E89" s="5" t="inlineStr">
        <is>
          <t>476433 AADU2 4322</t>
        </is>
      </c>
      <c r="F89" s="5" t="inlineStr">
        <is>
          <t>ライトブルー パテントレザー</t>
        </is>
      </c>
      <c r="G89" s="11" t="inlineStr">
        <is>
          <t>SOLD</t>
        </is>
      </c>
      <c r="H89" s="22" t="inlineStr">
        <is>
          <t>SOLD</t>
        </is>
      </c>
      <c r="I89" s="18" t="n">
        <v>291500</v>
      </c>
      <c r="J89" s="23" t="inlineStr">
        <is>
          <t>NOTFOUND</t>
        </is>
      </c>
      <c r="K89" s="20" t="n">
        <v>0</v>
      </c>
      <c r="L89" s="4" t="inlineStr">
        <is>
          <t>https://www.gucci.com/jp/ja/pr/women/handbags/mini-bags-for-women/gg-marmont-super-mini-bag-p-476433AADU24322</t>
        </is>
      </c>
      <c r="M89" s="5">
        <f t="array" ref="M89">_xlfn.IFS(J89="NOTFOUND",I89,J89&gt;=I89,J89)</f>
        <v/>
      </c>
    </row>
    <row r="90" ht="18" customHeight="1" s="16">
      <c r="A90" s="5" t="n">
        <v>89</v>
      </c>
      <c r="B90" s="5" t="inlineStr">
        <is>
          <t>GU-2341</t>
        </is>
      </c>
      <c r="D90" s="5" t="inlineStr">
        <is>
          <t>GGマーモント キルティング レザー スーパーミニバッグ</t>
        </is>
      </c>
      <c r="E90" s="5" t="inlineStr">
        <is>
          <t>476433 DTDCT 9022</t>
        </is>
      </c>
      <c r="F90" s="5" t="inlineStr">
        <is>
          <t>ホワイト シェブロン レザー</t>
        </is>
      </c>
      <c r="G90" s="11" t="inlineStr">
        <is>
          <t>SOLD</t>
        </is>
      </c>
      <c r="H90" s="22" t="inlineStr">
        <is>
          <t>SOLD</t>
        </is>
      </c>
      <c r="I90" s="18" t="n">
        <v>176000</v>
      </c>
      <c r="J90" s="23" t="inlineStr">
        <is>
          <t>NOTFOUND</t>
        </is>
      </c>
      <c r="K90" s="20" t="n">
        <v>0</v>
      </c>
      <c r="L90" s="4" t="inlineStr">
        <is>
          <t>https://www.gucci.com/jp/ja/pr/women/handbags/mini-bags-for-women/gg-marmont-leather-super-mini-bag-p-476433DTDCT9022</t>
        </is>
      </c>
      <c r="M90" s="5">
        <f t="array" ref="M90">_xlfn.IFS(J90="NOTFOUND",I90,J90&gt;=I90,J90)</f>
        <v/>
      </c>
    </row>
    <row r="91" ht="18" customHeight="1" s="16">
      <c r="A91" s="5" t="n">
        <v>90</v>
      </c>
      <c r="B91" s="5" t="inlineStr">
        <is>
          <t>GU-2342</t>
        </is>
      </c>
      <c r="D91" s="5" t="inlineStr">
        <is>
          <t>GGマーモント キルティングレザー スーパーミニバッグ</t>
        </is>
      </c>
      <c r="E91" s="5" t="inlineStr">
        <is>
          <t>476433 DTDCT 5729</t>
        </is>
      </c>
      <c r="F91" s="5" t="inlineStr">
        <is>
          <t>ベージュ シェブロン レザー</t>
        </is>
      </c>
      <c r="G91" s="10" t="inlineStr">
        <is>
          <t>OneSize</t>
        </is>
      </c>
      <c r="H91" s="17" t="inlineStr">
        <is>
          <t>OneSize</t>
        </is>
      </c>
      <c r="I91" s="18" t="n">
        <v>176000</v>
      </c>
      <c r="J91" s="19" t="n">
        <v>192500</v>
      </c>
      <c r="K91" s="20" t="n">
        <v>5</v>
      </c>
      <c r="L91" s="4" t="inlineStr">
        <is>
          <t>https://www.gucci.com/jp/ja/pr/women/handbags/mini-bags-for-women/gg-marmont-leather-super-mini-bag-p-476433DTDCT5729</t>
        </is>
      </c>
      <c r="M91" s="5">
        <f t="array" ref="M91">_xlfn.IFS(J91="NOTFOUND",I91,J91&gt;=I91,J91)</f>
        <v/>
      </c>
    </row>
    <row r="92" ht="18" customHeight="1" s="16">
      <c r="A92" s="5" t="n">
        <v>91</v>
      </c>
      <c r="B92" s="5" t="inlineStr">
        <is>
          <t>GU-2343</t>
        </is>
      </c>
      <c r="D92" s="5" t="inlineStr">
        <is>
          <t>GGマーモント スーパーミニバッグ</t>
        </is>
      </c>
      <c r="E92" s="5" t="inlineStr">
        <is>
          <t>476433 DTDHT 1712</t>
        </is>
      </c>
      <c r="F92" s="5" t="inlineStr">
        <is>
          <t>ライトグレー レザー</t>
        </is>
      </c>
      <c r="G92" s="11" t="inlineStr">
        <is>
          <t>SOLD</t>
        </is>
      </c>
      <c r="H92" s="22" t="inlineStr">
        <is>
          <t>SOLD</t>
        </is>
      </c>
      <c r="I92" s="18" t="n">
        <v>176000</v>
      </c>
      <c r="J92" s="23" t="inlineStr">
        <is>
          <t>NOTFOUND</t>
        </is>
      </c>
      <c r="K92" s="20" t="n">
        <v>0</v>
      </c>
      <c r="L92" s="4" t="inlineStr">
        <is>
          <t>https://www.gucci.com/jp/ja/pr/women/handbags/mini-bags-for-women/gg-marmont-super-mini-bag-p-476433DTDHT1712</t>
        </is>
      </c>
      <c r="M92" s="5">
        <f t="array" ref="M92">_xlfn.IFS(J92="NOTFOUND",I92,J92&gt;=I92,J92)</f>
        <v/>
      </c>
    </row>
    <row r="93" ht="18" customHeight="1" s="16">
      <c r="A93" s="5" t="n">
        <v>92</v>
      </c>
      <c r="B93" s="5" t="inlineStr">
        <is>
          <t>GU-2344</t>
        </is>
      </c>
      <c r="D93" s="5" t="inlineStr">
        <is>
          <t>GGマーモント スーパーミニバッグ</t>
        </is>
      </c>
      <c r="E93" s="5" t="inlineStr">
        <is>
          <t>476433 DTDHV 6207</t>
        </is>
      </c>
      <c r="F93" s="5" t="inlineStr">
        <is>
          <t>ロッソ アンコーラ レッド レザー</t>
        </is>
      </c>
      <c r="G93" s="11" t="inlineStr">
        <is>
          <t>SOLD</t>
        </is>
      </c>
      <c r="H93" s="22" t="inlineStr">
        <is>
          <t>SOLD</t>
        </is>
      </c>
      <c r="I93" s="18" t="n">
        <v>176000</v>
      </c>
      <c r="J93" s="23" t="inlineStr">
        <is>
          <t>NOTFOUND</t>
        </is>
      </c>
      <c r="K93" s="20" t="n">
        <v>0</v>
      </c>
      <c r="L93" s="4" t="inlineStr">
        <is>
          <t>https://www.gucci.com/jp/ja/pr/women/handbags/mini-bags-for-women/gg-marmont-super-mini-bag-p-476433DTDHV6207</t>
        </is>
      </c>
      <c r="M93" s="5">
        <f t="array" ref="M93">_xlfn.IFS(J93="NOTFOUND",I93,J93&gt;=I93,J93)</f>
        <v/>
      </c>
    </row>
    <row r="94" ht="18" customHeight="1" s="16">
      <c r="A94" s="5" t="n">
        <v>93</v>
      </c>
      <c r="B94" s="5" t="inlineStr">
        <is>
          <t>GU-2345</t>
        </is>
      </c>
      <c r="D94" s="5" t="inlineStr">
        <is>
          <t>アフロディーテ スモール ショルダーバッグ</t>
        </is>
      </c>
      <c r="E94" s="5" t="inlineStr">
        <is>
          <t>731817 AAA9F 1712</t>
        </is>
      </c>
      <c r="F94" s="5" t="inlineStr">
        <is>
          <t>ライトベージュ レザー</t>
        </is>
      </c>
      <c r="G94" s="11" t="inlineStr">
        <is>
          <t>SOLD</t>
        </is>
      </c>
      <c r="H94" s="22" t="inlineStr">
        <is>
          <t>SOLD</t>
        </is>
      </c>
      <c r="I94" s="18" t="n">
        <v>286000</v>
      </c>
      <c r="J94" s="23" t="inlineStr">
        <is>
          <t>NOTFOUND</t>
        </is>
      </c>
      <c r="K94" s="20" t="n">
        <v>0</v>
      </c>
      <c r="L94" s="4" t="inlineStr">
        <is>
          <t>https://www.gucci.com/jp/ja/pr/women/handbags/mini-bags-for-women/aphrodite-small-shoulder-bag-p-731817AAA9F1712</t>
        </is>
      </c>
      <c r="M94" s="5">
        <f t="array" ref="M94">_xlfn.IFS(J94="NOTFOUND",I94,J94&gt;=I94,J94)</f>
        <v/>
      </c>
    </row>
    <row r="95" ht="18" customHeight="1" s="16">
      <c r="A95" s="5" t="n">
        <v>94</v>
      </c>
      <c r="B95" s="5" t="inlineStr">
        <is>
          <t>GU-2346</t>
        </is>
      </c>
      <c r="D95" s="5" t="inlineStr">
        <is>
          <t>アフロディーテ  スモール ショルダーバッグ</t>
        </is>
      </c>
      <c r="E95" s="5" t="inlineStr">
        <is>
          <t>731817 AAA9F 1000</t>
        </is>
      </c>
      <c r="F95" s="5" t="inlineStr">
        <is>
          <t>ブラック レザー</t>
        </is>
      </c>
      <c r="G95" s="11" t="inlineStr">
        <is>
          <t>SOLD</t>
        </is>
      </c>
      <c r="H95" s="22" t="inlineStr">
        <is>
          <t>SOLD</t>
        </is>
      </c>
      <c r="I95" s="18" t="n">
        <v>286000</v>
      </c>
      <c r="J95" s="23" t="inlineStr">
        <is>
          <t>NOTFOUND</t>
        </is>
      </c>
      <c r="K95" s="20" t="n">
        <v>0</v>
      </c>
      <c r="L95" s="4" t="inlineStr">
        <is>
          <t>https://www.gucci.com/jp/ja/pr/women/handbags/mini-bags-for-women/aphrodite-small-shoulder-bag-p-731817AAA9F1000</t>
        </is>
      </c>
      <c r="M95" s="5">
        <f t="array" ref="M95">_xlfn.IFS(J95="NOTFOUND",I95,J95&gt;=I95,J95)</f>
        <v/>
      </c>
    </row>
    <row r="96" ht="18" customHeight="1" s="16">
      <c r="A96" s="5" t="n">
        <v>95</v>
      </c>
      <c r="B96" s="5" t="inlineStr">
        <is>
          <t>GU-2347</t>
        </is>
      </c>
      <c r="D96" s="5" t="inlineStr">
        <is>
          <t>アフロディーテ  スモール ショルダーバッグ</t>
        </is>
      </c>
      <c r="E96" s="5" t="inlineStr">
        <is>
          <t>731817 AABE9 9022</t>
        </is>
      </c>
      <c r="F96" s="5" t="inlineStr">
        <is>
          <t>ホワイト レザー</t>
        </is>
      </c>
      <c r="G96" s="11" t="inlineStr">
        <is>
          <t>SOLD</t>
        </is>
      </c>
      <c r="H96" s="22" t="inlineStr">
        <is>
          <t>SOLD</t>
        </is>
      </c>
      <c r="I96" s="18" t="n">
        <v>286000</v>
      </c>
      <c r="J96" s="23" t="inlineStr">
        <is>
          <t>NOTFOUND</t>
        </is>
      </c>
      <c r="K96" s="20" t="n">
        <v>0</v>
      </c>
      <c r="L96" s="4" t="inlineStr">
        <is>
          <t>https://www.gucci.com/jp/ja/pr/women/handbags/mini-bags-for-women/aphrodite-small-shoulder-bag-p-731817AABE99022</t>
        </is>
      </c>
      <c r="M96" s="5">
        <f t="array" ref="M96">_xlfn.IFS(J96="NOTFOUND",I96,J96&gt;=I96,J96)</f>
        <v/>
      </c>
    </row>
    <row r="97" ht="18" customHeight="1" s="16">
      <c r="A97" s="5" t="n">
        <v>96</v>
      </c>
      <c r="B97" s="5" t="inlineStr">
        <is>
          <t>GU-2348</t>
        </is>
      </c>
      <c r="D97" s="5" t="inlineStr">
        <is>
          <t>アフロディーテ  ラージ ショルダーバッグ</t>
        </is>
      </c>
      <c r="E97" s="5" t="inlineStr">
        <is>
          <t>726322 AAA9F 1000</t>
        </is>
      </c>
      <c r="F97" s="5" t="inlineStr">
        <is>
          <t xml:space="preserve">  -</t>
        </is>
      </c>
      <c r="G97" s="11" t="inlineStr">
        <is>
          <t>SOLD</t>
        </is>
      </c>
      <c r="H97" s="22" t="inlineStr">
        <is>
          <t>SOLD</t>
        </is>
      </c>
      <c r="I97" s="18" t="n">
        <v>346500</v>
      </c>
      <c r="J97" s="23" t="inlineStr">
        <is>
          <t>NOTFOUND</t>
        </is>
      </c>
      <c r="K97" s="20" t="n">
        <v>0</v>
      </c>
      <c r="L97" s="4" t="inlineStr">
        <is>
          <t>https://www.gucci.com/jp/ja/pr/women/handbags/shoulder-bags-for-women/half-moon-bags-for-women/aphrodite-large-shoulder-bag-p-726322AAA9F1000</t>
        </is>
      </c>
      <c r="M97" s="5">
        <f t="array" ref="M97">_xlfn.IFS(J97="NOTFOUND",I97,J97&gt;=I97,J97)</f>
        <v/>
      </c>
    </row>
    <row r="98" ht="18" customHeight="1" s="16">
      <c r="A98" s="5" t="n">
        <v>97</v>
      </c>
      <c r="B98" s="5" t="inlineStr">
        <is>
          <t>GU-2349</t>
        </is>
      </c>
      <c r="D98" s="5" t="inlineStr">
        <is>
          <t>アフロディーテ ミディアム ショルダーバッグ</t>
        </is>
      </c>
      <c r="E98" s="5" t="inlineStr">
        <is>
          <t>726274 AAA9F 1712</t>
        </is>
      </c>
      <c r="F98" s="5" t="inlineStr">
        <is>
          <t>ライトベージュ レザー</t>
        </is>
      </c>
      <c r="G98" s="11" t="inlineStr">
        <is>
          <t>SOLD</t>
        </is>
      </c>
      <c r="H98" s="22" t="inlineStr">
        <is>
          <t>SOLD</t>
        </is>
      </c>
      <c r="I98" s="18" t="n">
        <v>330000</v>
      </c>
      <c r="J98" s="23" t="inlineStr">
        <is>
          <t>NOTFOUND</t>
        </is>
      </c>
      <c r="K98" s="20" t="n">
        <v>0</v>
      </c>
      <c r="L98" s="4" t="inlineStr">
        <is>
          <t>https://www.gucci.com/jp/ja/pr/women/handbags/shoulder-bags-for-women/half-moon-bags-for-women/aphrodite-medium-shoulder-bag-p-726274AAA9F1712</t>
        </is>
      </c>
      <c r="M98" s="5">
        <f t="array" ref="M98">_xlfn.IFS(J98="NOTFOUND",I98,J98&gt;=I98,J98)</f>
        <v/>
      </c>
    </row>
    <row r="99" ht="18" customHeight="1" s="16">
      <c r="A99" s="5" t="n">
        <v>98</v>
      </c>
      <c r="B99" s="5" t="inlineStr">
        <is>
          <t>GU-2350</t>
        </is>
      </c>
      <c r="D99" s="5" t="inlineStr">
        <is>
          <t>アフロディーテ  ミディアム ショルダーバッグ</t>
        </is>
      </c>
      <c r="E99" s="5" t="inlineStr">
        <is>
          <t>726274 AAA9F 1000</t>
        </is>
      </c>
      <c r="F99" s="5" t="inlineStr">
        <is>
          <t>ブラック レザー</t>
        </is>
      </c>
      <c r="G99" s="11" t="inlineStr">
        <is>
          <t>SOLD</t>
        </is>
      </c>
      <c r="H99" s="22" t="inlineStr">
        <is>
          <t>SOLD</t>
        </is>
      </c>
      <c r="I99" s="18" t="n">
        <v>330000</v>
      </c>
      <c r="J99" s="23" t="inlineStr">
        <is>
          <t>NOTFOUND</t>
        </is>
      </c>
      <c r="K99" s="20" t="n">
        <v>0</v>
      </c>
      <c r="L99" s="4" t="inlineStr">
        <is>
          <t>https://www.gucci.com/jp/ja/pr/women/handbags/bestsellers/aphrodite-medium-shoulder-bag-p-726274AAA9F1000</t>
        </is>
      </c>
      <c r="M99" s="5">
        <f t="array" ref="M99">_xlfn.IFS(J99="NOTFOUND",I99,J99&gt;=I99,J99)</f>
        <v/>
      </c>
    </row>
    <row r="100" ht="18" customHeight="1" s="16">
      <c r="A100" s="5" t="n">
        <v>99</v>
      </c>
      <c r="B100" s="5" t="inlineStr">
        <is>
          <t>GU-2351</t>
        </is>
      </c>
      <c r="D100" s="5" t="inlineStr">
        <is>
          <t>アフロディーテ ミディアム ショルダーバッグ</t>
        </is>
      </c>
      <c r="E100" s="5" t="inlineStr">
        <is>
          <t>726274 AABE9 9022</t>
        </is>
      </c>
      <c r="F100" s="5" t="inlineStr">
        <is>
          <t>ホワイト レザー</t>
        </is>
      </c>
      <c r="G100" s="11" t="inlineStr">
        <is>
          <t>SOLD</t>
        </is>
      </c>
      <c r="H100" s="22" t="inlineStr">
        <is>
          <t>SOLD</t>
        </is>
      </c>
      <c r="I100" s="18" t="n">
        <v>330000</v>
      </c>
      <c r="J100" s="23" t="inlineStr">
        <is>
          <t>NOTFOUND</t>
        </is>
      </c>
      <c r="K100" s="20" t="n">
        <v>0</v>
      </c>
      <c r="L100" s="4" t="inlineStr">
        <is>
          <t>https://www.gucci.com/jp/ja/pr/women/handbags/bestsellers/aphrodite-medium-shoulder-bag-p-726274AABE99022</t>
        </is>
      </c>
      <c r="M100" s="5">
        <f t="array" ref="M100">_xlfn.IFS(J100="NOTFOUND",I100,J100&gt;=I100,J100)</f>
        <v/>
      </c>
    </row>
    <row r="101" ht="18" customHeight="1" s="16">
      <c r="A101" s="5" t="n">
        <v>100</v>
      </c>
      <c r="B101" s="5" t="inlineStr">
        <is>
          <t>GU-2352</t>
        </is>
      </c>
      <c r="D101" s="5" t="inlineStr">
        <is>
          <t>ジャッキー 1961 ミディアム ショルダーバッグ</t>
        </is>
      </c>
      <c r="E101" s="5" t="inlineStr">
        <is>
          <t>810229 AAD5V 1060</t>
        </is>
      </c>
      <c r="F101" s="5" t="inlineStr">
        <is>
          <t xml:space="preserve">  -</t>
        </is>
      </c>
      <c r="G101" s="10" t="inlineStr">
        <is>
          <t>OneSize</t>
        </is>
      </c>
      <c r="H101" s="17" t="inlineStr">
        <is>
          <t>OneSize</t>
        </is>
      </c>
      <c r="I101" s="18" t="n">
        <v>528000</v>
      </c>
      <c r="J101" s="19" t="n">
        <v>583000</v>
      </c>
      <c r="K101" s="20" t="n">
        <v>5</v>
      </c>
      <c r="L101" s="4" t="inlineStr">
        <is>
          <t>https://www.gucci.com/jp/ja/pr/women/handbags/shoulder-bags-for-women/half-moon-bags-for-women/gucci-jackie-1961-medium-shoulder-bag-p-810229AAD5V1060</t>
        </is>
      </c>
      <c r="M101" s="5">
        <f t="array" ref="M101">_xlfn.IFS(J101="NOTFOUND",I101,J101&gt;=I101,J101)</f>
        <v/>
      </c>
    </row>
    <row r="102" ht="18" customHeight="1" s="16">
      <c r="A102" s="5" t="n">
        <v>101</v>
      </c>
      <c r="B102" s="5" t="inlineStr">
        <is>
          <t>GU-2353</t>
        </is>
      </c>
      <c r="D102" s="5" t="inlineStr">
        <is>
          <t>フック クロージャー付き スモール トートバッグ</t>
        </is>
      </c>
      <c r="E102" s="5" t="inlineStr">
        <is>
          <t>795349 AZB0G 6207</t>
        </is>
      </c>
      <c r="F102" s="5" t="inlineStr">
        <is>
          <t>グッチ ロッソ アンコーラ レザー</t>
        </is>
      </c>
      <c r="G102" s="10" t="inlineStr">
        <is>
          <t>OneSize</t>
        </is>
      </c>
      <c r="H102" s="17" t="inlineStr">
        <is>
          <t>OneSize</t>
        </is>
      </c>
      <c r="I102" s="18" t="n">
        <v>517000</v>
      </c>
      <c r="J102" s="19" t="n">
        <v>517000</v>
      </c>
      <c r="K102" s="20" t="n">
        <v>5</v>
      </c>
      <c r="L102" s="4" t="inlineStr">
        <is>
          <t>https://www.gucci.com/jp/ja/pr/women/handbags/tote-bags-for-women/small-tote-bag-with-hook-closure-p-795349AZB0G6207</t>
        </is>
      </c>
      <c r="M102" s="5">
        <f t="array" ref="M102">_xlfn.IFS(J102="NOTFOUND",I102,J102&gt;=I102,J102)</f>
        <v/>
      </c>
    </row>
    <row r="103" ht="18" customHeight="1" s="16">
      <c r="A103" s="5" t="n">
        <v>102</v>
      </c>
      <c r="B103" s="5" t="inlineStr">
        <is>
          <t>GU-2354</t>
        </is>
      </c>
      <c r="D103" s="5" t="inlineStr">
        <is>
          <t>フック クロージャー付き ミディアム トートバッグ</t>
        </is>
      </c>
      <c r="E103" s="5" t="inlineStr">
        <is>
          <t>795282 AZB0G 1523</t>
        </is>
      </c>
      <c r="F103" s="5" t="inlineStr">
        <is>
          <t>ベージュ レザー</t>
        </is>
      </c>
      <c r="G103" s="11" t="inlineStr">
        <is>
          <t>SOLD</t>
        </is>
      </c>
      <c r="H103" s="22" t="inlineStr">
        <is>
          <t>SOLD</t>
        </is>
      </c>
      <c r="I103" s="18" t="n">
        <v>693000</v>
      </c>
      <c r="J103" s="23" t="inlineStr">
        <is>
          <t>NOTFOUND</t>
        </is>
      </c>
      <c r="K103" s="20" t="n">
        <v>0</v>
      </c>
      <c r="L103" s="4" t="inlineStr">
        <is>
          <t>https://www.gucci.com/jp/ja/pr/women/handbags/tote-bags-for-women/medium-tote-bag-with-hook-closure-p-795282AZB0G1523</t>
        </is>
      </c>
      <c r="M103" s="5">
        <f t="array" ref="M103">_xlfn.IFS(J103="NOTFOUND",I103,J103&gt;=I103,J103)</f>
        <v/>
      </c>
    </row>
    <row r="104" ht="18" customHeight="1" s="16">
      <c r="A104" s="5" t="n">
        <v>103</v>
      </c>
      <c r="B104" s="5" t="inlineStr">
        <is>
          <t>GU-2355</t>
        </is>
      </c>
      <c r="D104" s="5" t="inlineStr">
        <is>
          <t>GGマーモント ミニバッグ</t>
        </is>
      </c>
      <c r="E104" s="5" t="inlineStr">
        <is>
          <t>751526 AACCE 1061</t>
        </is>
      </c>
      <c r="F104" s="5" t="inlineStr">
        <is>
          <t>ブラック レザー</t>
        </is>
      </c>
      <c r="G104" s="10" t="inlineStr">
        <is>
          <t>OneSize</t>
        </is>
      </c>
      <c r="H104" s="17" t="inlineStr">
        <is>
          <t>OneSize</t>
        </is>
      </c>
      <c r="I104" s="18" t="n">
        <v>275000</v>
      </c>
      <c r="J104" s="19" t="n">
        <v>286000</v>
      </c>
      <c r="K104" s="20" t="n">
        <v>5</v>
      </c>
      <c r="L104" s="4" t="inlineStr">
        <is>
          <t>https://www.gucci.com/jp/ja/pr/women/handbags/mini-bags-for-women/gg-marmont-mini-bag-p-751526AACCE1061</t>
        </is>
      </c>
      <c r="M104" s="5">
        <f t="array" ref="M104">_xlfn.IFS(J104="NOTFOUND",I104,J104&gt;=I104,J104)</f>
        <v/>
      </c>
    </row>
    <row r="105" ht="18" customHeight="1" s="16">
      <c r="A105" s="5" t="n">
        <v>104</v>
      </c>
      <c r="B105" s="5" t="inlineStr">
        <is>
          <t>GU-2356</t>
        </is>
      </c>
      <c r="D105" s="5" t="inlineStr">
        <is>
          <t>GGマーモント キルティングレザー スーパーミニバッグ</t>
        </is>
      </c>
      <c r="E105" s="5" t="inlineStr">
        <is>
          <t>476433 DTDCT 1000</t>
        </is>
      </c>
      <c r="F105" s="5" t="inlineStr">
        <is>
          <t>ブラック シェブロン レザー</t>
        </is>
      </c>
      <c r="G105" s="11" t="inlineStr">
        <is>
          <t>SOLD</t>
        </is>
      </c>
      <c r="H105" s="22" t="inlineStr">
        <is>
          <t>SOLD</t>
        </is>
      </c>
      <c r="I105" s="18" t="n">
        <v>176000</v>
      </c>
      <c r="J105" s="23" t="inlineStr">
        <is>
          <t>NOTFOUND</t>
        </is>
      </c>
      <c r="K105" s="20" t="n">
        <v>0</v>
      </c>
      <c r="L105" s="4" t="inlineStr">
        <is>
          <t>https://www.gucci.com/jp/ja/pr/women/handbags/mini-bags-for-women/gg-marmont-super-mini-bag-p-476433DTDCT1000</t>
        </is>
      </c>
      <c r="M105" s="5">
        <f t="array" ref="M105">_xlfn.IFS(J105="NOTFOUND",I105,J105&gt;=I105,J105)</f>
        <v/>
      </c>
    </row>
    <row r="106" ht="18" customHeight="1" s="16">
      <c r="A106" s="5" t="n">
        <v>105</v>
      </c>
      <c r="B106" s="5" t="inlineStr">
        <is>
          <t>GU-2357</t>
        </is>
      </c>
      <c r="D106" s="5" t="inlineStr">
        <is>
          <t>オフィディア ミディアム トップハンドルバッグ</t>
        </is>
      </c>
      <c r="E106" s="5" t="inlineStr">
        <is>
          <t>795258 96IWG 8745</t>
        </is>
      </c>
      <c r="F106" s="5" t="inlineStr">
        <is>
          <t xml:space="preserve">  -</t>
        </is>
      </c>
      <c r="G106" s="11" t="inlineStr">
        <is>
          <t>SOLD</t>
        </is>
      </c>
      <c r="H106" s="22" t="inlineStr">
        <is>
          <t>SOLD</t>
        </is>
      </c>
      <c r="I106" s="18" t="n">
        <v>385000</v>
      </c>
      <c r="J106" s="23" t="inlineStr">
        <is>
          <t>NOTFOUND</t>
        </is>
      </c>
      <c r="K106" s="20" t="n">
        <v>0</v>
      </c>
      <c r="L106" s="4" t="inlineStr">
        <is>
          <t>https://www.gucci.com/jp/ja/pr/women/handbags/shoulder-bags-for-women/ophidia-medium-top-handle-bag-p-79525896IWG8745</t>
        </is>
      </c>
      <c r="M106" s="5">
        <f t="array" ref="M106">_xlfn.IFS(J106="NOTFOUND",I106,J106&gt;=I106,J106)</f>
        <v/>
      </c>
    </row>
    <row r="107" ht="18" customHeight="1" s="16">
      <c r="A107" s="5" t="n">
        <v>106</v>
      </c>
      <c r="B107" s="5" t="inlineStr">
        <is>
          <t>GU-2358</t>
        </is>
      </c>
      <c r="D107" s="5" t="inlineStr">
        <is>
          <t>オフィディア ミニ バックパック</t>
        </is>
      </c>
      <c r="E107" s="5" t="inlineStr">
        <is>
          <t>795221 96IWG 8745</t>
        </is>
      </c>
      <c r="F107" s="5" t="inlineStr">
        <is>
          <t>ベージュ＆エボニー</t>
        </is>
      </c>
      <c r="G107" s="11" t="inlineStr">
        <is>
          <t>SOLD</t>
        </is>
      </c>
      <c r="H107" s="22" t="inlineStr">
        <is>
          <t>SOLD</t>
        </is>
      </c>
      <c r="I107" s="18" t="n">
        <v>349800</v>
      </c>
      <c r="J107" s="23" t="inlineStr">
        <is>
          <t>NOTFOUND</t>
        </is>
      </c>
      <c r="K107" s="20" t="n">
        <v>0</v>
      </c>
      <c r="L107" s="4" t="inlineStr">
        <is>
          <t>https://www.gucci.com/jp/ja/pr/women/handbags/belt-bags-backpacks-for-women/ophidia-mini-backpack-p-79522196IWG8745</t>
        </is>
      </c>
      <c r="M107" s="5">
        <f t="array" ref="M107">_xlfn.IFS(J107="NOTFOUND",I107,J107&gt;=I107,J107)</f>
        <v/>
      </c>
    </row>
    <row r="108" ht="18" customHeight="1" s="16">
      <c r="A108" s="5" t="n">
        <v>107</v>
      </c>
      <c r="B108" s="5" t="inlineStr">
        <is>
          <t>GU-2359</t>
        </is>
      </c>
      <c r="D108" s="5" t="inlineStr">
        <is>
          <t>ミニ ショルダーバッグ</t>
        </is>
      </c>
      <c r="E108" s="5" t="inlineStr">
        <is>
          <t>795208 96IWG 8745</t>
        </is>
      </c>
      <c r="F108" s="5" t="inlineStr">
        <is>
          <t xml:space="preserve">  -</t>
        </is>
      </c>
      <c r="G108" s="11" t="inlineStr">
        <is>
          <t>SOLD</t>
        </is>
      </c>
      <c r="H108" s="22" t="inlineStr">
        <is>
          <t>SOLD</t>
        </is>
      </c>
      <c r="I108" s="18" t="n">
        <v>308000</v>
      </c>
      <c r="J108" s="23" t="inlineStr">
        <is>
          <t>NOTFOUND</t>
        </is>
      </c>
      <c r="K108" s="20" t="n">
        <v>0</v>
      </c>
      <c r="L108" s="4" t="inlineStr">
        <is>
          <t>https://www.gucci.com/jp/ja/pr/women/handbags/mini-bags-for-women/ophidia-mini-shoulder-bag-p-79520896IWG8745</t>
        </is>
      </c>
      <c r="M108" s="5">
        <f t="array" ref="M108">_xlfn.IFS(J108="NOTFOUND",I108,J108&gt;=I108,J108)</f>
        <v/>
      </c>
    </row>
    <row r="109" ht="18" customHeight="1" s="16">
      <c r="A109" s="5" t="n">
        <v>108</v>
      </c>
      <c r="B109" s="5" t="inlineStr">
        <is>
          <t>GU-2360</t>
        </is>
      </c>
      <c r="D109" s="5" t="inlineStr">
        <is>
          <t>オフィディア GG スモール バックパック</t>
        </is>
      </c>
      <c r="E109" s="5" t="inlineStr">
        <is>
          <t>792114 FADMF 9794</t>
        </is>
      </c>
      <c r="F109" s="5" t="inlineStr">
        <is>
          <t>ベージュ＆エボニー</t>
        </is>
      </c>
      <c r="G109" s="10" t="inlineStr">
        <is>
          <t>OneSize</t>
        </is>
      </c>
      <c r="H109" s="17" t="inlineStr">
        <is>
          <t>OneSize</t>
        </is>
      </c>
      <c r="I109" s="18" t="n">
        <v>308000</v>
      </c>
      <c r="J109" s="19" t="n">
        <v>308000</v>
      </c>
      <c r="K109" s="20" t="n">
        <v>5</v>
      </c>
      <c r="L109" s="4" t="inlineStr">
        <is>
          <t>https://www.gucci.com/jp/ja/pr/men/bags-for-men/backpacks-for-men/ophidia-small-gg-backpack-p-792114FADMF9794</t>
        </is>
      </c>
      <c r="M109" s="5">
        <f t="array" ref="M109">_xlfn.IFS(J109="NOTFOUND",I109,J109&gt;=I109,J109)</f>
        <v/>
      </c>
    </row>
    <row r="110" ht="18" customHeight="1" s="16">
      <c r="A110" s="5" t="n">
        <v>109</v>
      </c>
      <c r="B110" s="5" t="inlineStr">
        <is>
          <t>GU-2361</t>
        </is>
      </c>
      <c r="D110" s="5" t="inlineStr">
        <is>
          <t>GGデニム ミニ ショルダーバッグ</t>
        </is>
      </c>
      <c r="E110" s="5" t="inlineStr">
        <is>
          <t>781397 96IWG 8745</t>
        </is>
      </c>
      <c r="F110" s="5" t="inlineStr">
        <is>
          <t xml:space="preserve">  -</t>
        </is>
      </c>
      <c r="G110" s="11" t="inlineStr">
        <is>
          <t>SOLD</t>
        </is>
      </c>
      <c r="H110" s="22" t="inlineStr">
        <is>
          <t>SOLD</t>
        </is>
      </c>
      <c r="I110" s="18" t="n">
        <v>308000</v>
      </c>
      <c r="J110" s="23" t="inlineStr">
        <is>
          <t>NOTFOUND</t>
        </is>
      </c>
      <c r="K110" s="20" t="n">
        <v>0</v>
      </c>
      <c r="L110" s="4" t="inlineStr">
        <is>
          <t>https://www.gucci.com/jp/ja/pr/women/handbags/shoulder-bags-for-women/chain-bags-for-women/ophidia-gg-mini-shoulder-bag-p-78139796IWG8745</t>
        </is>
      </c>
      <c r="M110" s="5">
        <f t="array" ref="M110">_xlfn.IFS(J110="NOTFOUND",I110,J110&gt;=I110,J110)</f>
        <v/>
      </c>
    </row>
    <row r="111" ht="18" customHeight="1" s="16">
      <c r="A111" s="5" t="n">
        <v>110</v>
      </c>
      <c r="B111" s="5" t="inlineStr">
        <is>
          <t>GU-2362</t>
        </is>
      </c>
      <c r="D111" s="5" t="inlineStr">
        <is>
          <t>オフィディア GG バックパック</t>
        </is>
      </c>
      <c r="E111" s="5" t="inlineStr">
        <is>
          <t>779901 FABYY 9744</t>
        </is>
      </c>
      <c r="F111" s="5" t="inlineStr">
        <is>
          <t xml:space="preserve">  -</t>
        </is>
      </c>
      <c r="G111" s="11" t="inlineStr">
        <is>
          <t>SOLD</t>
        </is>
      </c>
      <c r="H111" s="22" t="inlineStr">
        <is>
          <t>SOLD</t>
        </is>
      </c>
      <c r="I111" s="18" t="n">
        <v>341000</v>
      </c>
      <c r="J111" s="23" t="inlineStr">
        <is>
          <t>NOTFOUND</t>
        </is>
      </c>
      <c r="K111" s="20" t="n">
        <v>0</v>
      </c>
      <c r="L111" s="4" t="inlineStr">
        <is>
          <t>https://www.gucci.com/jp/ja/pr/men/bags-for-men/backpacks-for-men/ophidia-gg-backpack-p-779901FABYY9744</t>
        </is>
      </c>
      <c r="M111" s="5">
        <f t="array" ref="M111">_xlfn.IFS(J111="NOTFOUND",I111,J111&gt;=I111,J111)</f>
        <v/>
      </c>
    </row>
    <row r="112" ht="18" customHeight="1" s="16">
      <c r="A112" s="5" t="n">
        <v>111</v>
      </c>
      <c r="B112" s="5" t="inlineStr">
        <is>
          <t>GU-2363</t>
        </is>
      </c>
      <c r="D112" s="5" t="inlineStr">
        <is>
          <t>オフィディア GG ミニ ショルダーバッグ</t>
        </is>
      </c>
      <c r="E112" s="5" t="inlineStr">
        <is>
          <t>772239 FACUJ 8745</t>
        </is>
      </c>
      <c r="F112" s="5" t="inlineStr">
        <is>
          <t>ベージュ＆エボニー</t>
        </is>
      </c>
      <c r="G112" s="10" t="inlineStr">
        <is>
          <t>OneSize</t>
        </is>
      </c>
      <c r="H112" s="17" t="inlineStr">
        <is>
          <t>OneSize</t>
        </is>
      </c>
      <c r="I112" s="18" t="n">
        <v>253000</v>
      </c>
      <c r="J112" s="19" t="n">
        <v>264000</v>
      </c>
      <c r="K112" s="20" t="n">
        <v>5</v>
      </c>
      <c r="L112" s="4" t="inlineStr">
        <is>
          <t>https://www.gucci.com/jp/ja/pr/women/handbags/shoulder-bags-for-women/ophidia-gg-mini-shoulder-bag-p-772239FACUJ8745</t>
        </is>
      </c>
      <c r="M112" s="5">
        <f t="array" ref="M112">_xlfn.IFS(J112="NOTFOUND",I112,J112&gt;=I112,J112)</f>
        <v/>
      </c>
    </row>
    <row r="113" ht="18" customHeight="1" s="16">
      <c r="A113" s="5" t="n">
        <v>112</v>
      </c>
      <c r="B113" s="5" t="inlineStr">
        <is>
          <t>GU-2364</t>
        </is>
      </c>
      <c r="D113" s="5" t="inlineStr">
        <is>
          <t>オフィディア ミニ トップハンドルバッグ</t>
        </is>
      </c>
      <c r="E113" s="5" t="inlineStr">
        <is>
          <t>772216 96IWG 8745</t>
        </is>
      </c>
      <c r="F113" s="5" t="inlineStr">
        <is>
          <t xml:space="preserve">ベージュ＆エボニー </t>
        </is>
      </c>
      <c r="G113" s="11" t="inlineStr">
        <is>
          <t>SOLD</t>
        </is>
      </c>
      <c r="H113" s="22" t="inlineStr">
        <is>
          <t>SOLD</t>
        </is>
      </c>
      <c r="I113" s="18" t="n">
        <v>291500</v>
      </c>
      <c r="J113" s="23" t="inlineStr">
        <is>
          <t>NOTFOUND</t>
        </is>
      </c>
      <c r="K113" s="20" t="n">
        <v>0</v>
      </c>
      <c r="L113" s="4" t="inlineStr">
        <is>
          <t>https://www.gucci.com/jp/ja/pr/women/handbags/shoulder-bags-for-women/ophidia-gg-mini-top-handle-bag-p-77221696IWG8745</t>
        </is>
      </c>
      <c r="M113" s="5">
        <f t="array" ref="M113">_xlfn.IFS(J113="NOTFOUND",I113,J113&gt;=I113,J113)</f>
        <v/>
      </c>
    </row>
    <row r="114" ht="18" customHeight="1" s="16">
      <c r="A114" s="5" t="n">
        <v>113</v>
      </c>
      <c r="B114" s="5" t="inlineStr">
        <is>
          <t>GU-2365</t>
        </is>
      </c>
      <c r="D114" s="5" t="inlineStr">
        <is>
          <t>オフィディア GG ミニ トップハンドルバッグ</t>
        </is>
      </c>
      <c r="E114" s="5" t="inlineStr">
        <is>
          <t>772157 96IWG 8745</t>
        </is>
      </c>
      <c r="F114" s="5" t="inlineStr">
        <is>
          <t>ベージュ＆エボニー</t>
        </is>
      </c>
      <c r="G114" s="11" t="inlineStr">
        <is>
          <t>SOLD</t>
        </is>
      </c>
      <c r="H114" s="22" t="inlineStr">
        <is>
          <t>SOLD</t>
        </is>
      </c>
      <c r="I114" s="18" t="n">
        <v>269500</v>
      </c>
      <c r="J114" s="23" t="inlineStr">
        <is>
          <t>NOTFOUND</t>
        </is>
      </c>
      <c r="K114" s="20" t="n">
        <v>0</v>
      </c>
      <c r="L114" s="4" t="inlineStr">
        <is>
          <t>https://www.gucci.com/jp/ja/pr/women/handbags/shoulder-bags-for-women/ophidia-gg-mini-top-handle-bag-p-77215796IWG8745</t>
        </is>
      </c>
      <c r="M114" s="5">
        <f t="array" ref="M114">_xlfn.IFS(J114="NOTFOUND",I114,J114&gt;=I114,J114)</f>
        <v/>
      </c>
    </row>
    <row r="115" ht="18" customHeight="1" s="16">
      <c r="A115" s="5" t="n">
        <v>114</v>
      </c>
      <c r="B115" s="5" t="inlineStr">
        <is>
          <t>GU-2366</t>
        </is>
      </c>
      <c r="D115" s="5" t="inlineStr">
        <is>
          <t>オフィディア ミディアム トップハンドルバッグ</t>
        </is>
      </c>
      <c r="E115" s="5" t="inlineStr">
        <is>
          <t>772065 96IWG 8745</t>
        </is>
      </c>
      <c r="F115" s="5" t="inlineStr">
        <is>
          <t xml:space="preserve">  -</t>
        </is>
      </c>
      <c r="G115" s="10" t="inlineStr">
        <is>
          <t>OneSize</t>
        </is>
      </c>
      <c r="H115" s="17" t="inlineStr">
        <is>
          <t>OneSize</t>
        </is>
      </c>
      <c r="I115" s="18" t="n">
        <v>280500</v>
      </c>
      <c r="J115" s="19" t="n">
        <v>297000</v>
      </c>
      <c r="K115" s="20" t="n">
        <v>5</v>
      </c>
      <c r="L115" s="4" t="inlineStr">
        <is>
          <t>https://www.gucci.com/jp/ja/pr/women/handbags/crossbody-bags-for-women/ophidia-gg-medium-top-handle-bag-p-77206596IWG8745</t>
        </is>
      </c>
      <c r="M115" s="5">
        <f t="array" ref="M115">_xlfn.IFS(J115="NOTFOUND",I115,J115&gt;=I115,J115)</f>
        <v/>
      </c>
    </row>
    <row r="116" ht="18" customHeight="1" s="16">
      <c r="A116" s="5" t="n">
        <v>115</v>
      </c>
      <c r="B116" s="5" t="inlineStr">
        <is>
          <t>GU-2367</t>
        </is>
      </c>
      <c r="D116" s="5" t="inlineStr">
        <is>
          <t>オフィディア スモール トップハンドルバッグ</t>
        </is>
      </c>
      <c r="E116" s="5" t="inlineStr">
        <is>
          <t>772061 96IWG 8745</t>
        </is>
      </c>
      <c r="F116" s="5" t="inlineStr">
        <is>
          <t xml:space="preserve">ベージュ＆エボニー </t>
        </is>
      </c>
      <c r="G116" s="10" t="inlineStr">
        <is>
          <t>OneSize</t>
        </is>
      </c>
      <c r="H116" s="17" t="inlineStr">
        <is>
          <t>OneSize</t>
        </is>
      </c>
      <c r="I116" s="18" t="n">
        <v>269500</v>
      </c>
      <c r="J116" s="19" t="n">
        <v>280500</v>
      </c>
      <c r="K116" s="20" t="n">
        <v>5</v>
      </c>
      <c r="L116" s="4" t="inlineStr">
        <is>
          <t>https://www.gucci.com/jp/ja/pr/women/handbags/crossbody-bags-for-women/ophidia-gg-small-top-handle-bag-p-77206196IWG8745</t>
        </is>
      </c>
      <c r="M116" s="5">
        <f t="array" ref="M116">_xlfn.IFS(J116="NOTFOUND",I116,J116&gt;=I116,J116)</f>
        <v/>
      </c>
    </row>
    <row r="117" ht="18" customHeight="1" s="16">
      <c r="A117" s="5" t="n">
        <v>116</v>
      </c>
      <c r="B117" s="5" t="inlineStr">
        <is>
          <t>GU-2368</t>
        </is>
      </c>
      <c r="D117" s="5" t="inlineStr">
        <is>
          <t>オフィディア ミニ トップハンドルバッグ</t>
        </is>
      </c>
      <c r="E117" s="5" t="inlineStr">
        <is>
          <t>772053 96IWG 8745</t>
        </is>
      </c>
      <c r="F117" s="5" t="inlineStr">
        <is>
          <t xml:space="preserve">ベージュ＆エボニー </t>
        </is>
      </c>
      <c r="G117" s="10" t="inlineStr">
        <is>
          <t>OneSize</t>
        </is>
      </c>
      <c r="H117" s="17" t="inlineStr">
        <is>
          <t>OneSize</t>
        </is>
      </c>
      <c r="I117" s="18" t="n">
        <v>255200</v>
      </c>
      <c r="J117" s="19" t="n">
        <v>264000</v>
      </c>
      <c r="K117" s="20" t="n">
        <v>5</v>
      </c>
      <c r="L117" s="4" t="inlineStr">
        <is>
          <t>https://www.gucci.com/jp/ja/pr/women/handbags/crossbody-bags-for-women/ophidia-gg-mini-top-handle-bag-p-77205396IWG8745</t>
        </is>
      </c>
      <c r="M117" s="5">
        <f t="array" ref="M117">_xlfn.IFS(J117="NOTFOUND",I117,J117&gt;=I117,J117)</f>
        <v/>
      </c>
    </row>
    <row r="118" ht="18" customHeight="1" s="16">
      <c r="A118" s="5" t="n">
        <v>117</v>
      </c>
      <c r="B118" s="5" t="inlineStr">
        <is>
          <t>GU-2369</t>
        </is>
      </c>
      <c r="D118" s="5" t="inlineStr">
        <is>
          <t>オフィディア スモール トートバッグ</t>
        </is>
      </c>
      <c r="E118" s="5" t="inlineStr">
        <is>
          <t>765043 K9GSG 8358</t>
        </is>
      </c>
      <c r="F118" s="5" t="inlineStr">
        <is>
          <t>ベージュ＆エボニー</t>
        </is>
      </c>
      <c r="G118" s="10" t="inlineStr">
        <is>
          <t>OneSize</t>
        </is>
      </c>
      <c r="H118" s="17" t="inlineStr">
        <is>
          <t>OneSize</t>
        </is>
      </c>
      <c r="I118" s="18" t="n">
        <v>231000</v>
      </c>
      <c r="J118" s="19" t="n">
        <v>253000</v>
      </c>
      <c r="K118" s="20" t="n">
        <v>5</v>
      </c>
      <c r="L118" s="4" t="inlineStr">
        <is>
          <t>https://www.gucci.com/jp/ja/pr/women/handbags/tote-bags-for-women/ophidia-small-tote-bag-p-765043K9GSG8358</t>
        </is>
      </c>
      <c r="M118" s="5">
        <f t="array" ref="M118">_xlfn.IFS(J118="NOTFOUND",I118,J118&gt;=I118,J118)</f>
        <v/>
      </c>
    </row>
    <row r="119" ht="18" customHeight="1" s="16">
      <c r="A119" s="5" t="n">
        <v>118</v>
      </c>
      <c r="B119" s="5" t="inlineStr">
        <is>
          <t>GU-2370</t>
        </is>
      </c>
      <c r="D119" s="5" t="inlineStr">
        <is>
          <t>オフィディア ミディアム メッセンジャーバッグ</t>
        </is>
      </c>
      <c r="E119" s="5" t="inlineStr">
        <is>
          <t>761741 FACJQ 9741</t>
        </is>
      </c>
      <c r="F119" s="5" t="inlineStr">
        <is>
          <t>ベージュ＆エボニー</t>
        </is>
      </c>
      <c r="G119" s="10" t="inlineStr">
        <is>
          <t>OneSize</t>
        </is>
      </c>
      <c r="H119" s="17" t="inlineStr">
        <is>
          <t>OneSize</t>
        </is>
      </c>
      <c r="I119" s="18" t="n">
        <v>280500</v>
      </c>
      <c r="J119" s="19" t="n">
        <v>291500</v>
      </c>
      <c r="K119" s="20" t="n">
        <v>5</v>
      </c>
      <c r="L119" s="4" t="inlineStr">
        <is>
          <t>https://www.gucci.com/jp/ja/pr/men/bags-for-men/messenger-crossbody-bags-for-men/ophidia-medium-messenger-bag-p-761741FACJQ9741</t>
        </is>
      </c>
      <c r="M119" s="5">
        <f t="array" ref="M119">_xlfn.IFS(J119="NOTFOUND",I119,J119&gt;=I119,J119)</f>
        <v/>
      </c>
    </row>
    <row r="120" ht="18" customHeight="1" s="16">
      <c r="A120" s="5" t="n">
        <v>119</v>
      </c>
      <c r="B120" s="5" t="inlineStr">
        <is>
          <t>GU-2371</t>
        </is>
      </c>
      <c r="D120" s="5" t="inlineStr">
        <is>
          <t>オフィディア ミディアム トートバッグ</t>
        </is>
      </c>
      <c r="E120" s="5" t="inlineStr">
        <is>
          <t>739729 K9GSG 8358</t>
        </is>
      </c>
      <c r="F120" s="5" t="inlineStr">
        <is>
          <t xml:space="preserve">  -</t>
        </is>
      </c>
      <c r="G120" s="11" t="inlineStr">
        <is>
          <t>SOLD</t>
        </is>
      </c>
      <c r="H120" s="22" t="inlineStr">
        <is>
          <t>SOLD</t>
        </is>
      </c>
      <c r="I120" s="18" t="n">
        <v>280500</v>
      </c>
      <c r="J120" s="23" t="inlineStr">
        <is>
          <t>NOTFOUND</t>
        </is>
      </c>
      <c r="K120" s="20" t="n">
        <v>0</v>
      </c>
      <c r="L120" s="4" t="inlineStr">
        <is>
          <t>https://www.gucci.com/jp/ja/pr/women/handbags/tote-bags-for-women/ophidia-large-tote-bag-p-739729K9GSG8358</t>
        </is>
      </c>
      <c r="M120" s="5">
        <f t="array" ref="M120">_xlfn.IFS(J120="NOTFOUND",I120,J120&gt;=I120,J120)</f>
        <v/>
      </c>
    </row>
    <row r="121" ht="18" customHeight="1" s="16">
      <c r="A121" s="5" t="n">
        <v>120</v>
      </c>
      <c r="B121" s="5" t="inlineStr">
        <is>
          <t>GU-2372</t>
        </is>
      </c>
      <c r="D121" s="5" t="inlineStr">
        <is>
          <t>オフィディア スモール ハンドバッグ</t>
        </is>
      </c>
      <c r="E121" s="5" t="inlineStr">
        <is>
          <t>735145 KAAAD 8358</t>
        </is>
      </c>
      <c r="F121" s="5" t="inlineStr">
        <is>
          <t>ベージュ＆エボニー</t>
        </is>
      </c>
      <c r="G121" s="10" t="inlineStr">
        <is>
          <t>OneSize</t>
        </is>
      </c>
      <c r="H121" s="17" t="inlineStr">
        <is>
          <t>OneSize</t>
        </is>
      </c>
      <c r="I121" s="18" t="n">
        <v>181500</v>
      </c>
      <c r="J121" s="19" t="n">
        <v>200200</v>
      </c>
      <c r="K121" s="20" t="n">
        <v>5</v>
      </c>
      <c r="L121" s="4" t="inlineStr">
        <is>
          <t>https://www.gucci.com/jp/ja/pr/women/handbags/shoulder-bags-for-women/ophidia-gg-small-handbag-p-735145KAAAD8358</t>
        </is>
      </c>
      <c r="M121" s="5">
        <f t="array" ref="M121">_xlfn.IFS(J121="NOTFOUND",I121,J121&gt;=I121,J121)</f>
        <v/>
      </c>
    </row>
    <row r="122" ht="18" customHeight="1" s="16">
      <c r="A122" s="5" t="n">
        <v>121</v>
      </c>
      <c r="B122" s="5" t="inlineStr">
        <is>
          <t>GU-2373</t>
        </is>
      </c>
      <c r="D122" s="5" t="inlineStr">
        <is>
          <t>オフィディア スモール ハンドバッグ</t>
        </is>
      </c>
      <c r="E122" s="5" t="inlineStr">
        <is>
          <t>735132 FABLE 9442</t>
        </is>
      </c>
      <c r="F122" s="5" t="inlineStr">
        <is>
          <t>ベージュ＆エボニー</t>
        </is>
      </c>
      <c r="G122" s="10" t="inlineStr">
        <is>
          <t>OneSize</t>
        </is>
      </c>
      <c r="H122" s="17" t="inlineStr">
        <is>
          <t>OneSize</t>
        </is>
      </c>
      <c r="I122" s="18" t="n">
        <v>269500</v>
      </c>
      <c r="J122" s="19" t="n">
        <v>286000</v>
      </c>
      <c r="K122" s="20" t="n">
        <v>5</v>
      </c>
      <c r="L122" s="4" t="inlineStr">
        <is>
          <t>https://www.gucci.com/jp/ja/pr/women/handbags/mini-bags-for-women/ophidia-gg-small-handbag-p-735132FABLE9442</t>
        </is>
      </c>
      <c r="M122" s="5">
        <f t="array" ref="M122">_xlfn.IFS(J122="NOTFOUND",I122,J122&gt;=I122,J122)</f>
        <v/>
      </c>
    </row>
    <row r="123" ht="18" customHeight="1" s="16">
      <c r="A123" s="5" t="n">
        <v>122</v>
      </c>
      <c r="B123" s="5" t="inlineStr">
        <is>
          <t>GU-2374</t>
        </is>
      </c>
      <c r="D123" s="5" t="inlineStr">
        <is>
          <t>オフィディア GG スモール ショルダーバッグ</t>
        </is>
      </c>
      <c r="E123" s="5" t="inlineStr">
        <is>
          <t>722117 FAAX3 9789</t>
        </is>
      </c>
      <c r="F123" s="5" t="inlineStr">
        <is>
          <t xml:space="preserve">  -</t>
        </is>
      </c>
      <c r="G123" s="10" t="inlineStr">
        <is>
          <t>OneSize</t>
        </is>
      </c>
      <c r="H123" s="17" t="inlineStr">
        <is>
          <t>OneSize</t>
        </is>
      </c>
      <c r="I123" s="18" t="n">
        <v>308000</v>
      </c>
      <c r="J123" s="19" t="n">
        <v>330000</v>
      </c>
      <c r="K123" s="20" t="n">
        <v>5</v>
      </c>
      <c r="L123" s="4" t="inlineStr">
        <is>
          <t>https://www.gucci.com/jp/ja/pr/women/handbags/shoulder-bags-for-women/ophidia-gg-small-shoulder-bag-p-722117FAAX39789</t>
        </is>
      </c>
      <c r="M123" s="5">
        <f t="array" ref="M123">_xlfn.IFS(J123="NOTFOUND",I123,J123&gt;=I123,J123)</f>
        <v/>
      </c>
    </row>
    <row r="124" ht="18" customHeight="1" s="16">
      <c r="A124" s="5" t="n">
        <v>123</v>
      </c>
      <c r="B124" s="5" t="inlineStr">
        <is>
          <t>GU-2375</t>
        </is>
      </c>
      <c r="D124" s="5" t="inlineStr">
        <is>
          <t>オフィディア GG ミニ ショルダーバッグ</t>
        </is>
      </c>
      <c r="E124" s="5" t="inlineStr">
        <is>
          <t>696180 96IWG 8745</t>
        </is>
      </c>
      <c r="F124" s="5" t="inlineStr">
        <is>
          <t xml:space="preserve">  -</t>
        </is>
      </c>
      <c r="G124" s="10" t="inlineStr">
        <is>
          <t>OneSize</t>
        </is>
      </c>
      <c r="H124" s="17" t="inlineStr">
        <is>
          <t>OneSize</t>
        </is>
      </c>
      <c r="I124" s="18" t="n">
        <v>291500</v>
      </c>
      <c r="J124" s="19" t="n">
        <v>297000</v>
      </c>
      <c r="K124" s="20" t="n">
        <v>5</v>
      </c>
      <c r="L124" s="4" t="inlineStr">
        <is>
          <t>https://www.gucci.com/jp/ja/pr/women/handbags/mini-bags-for-women/ophidia-gg-mini-shoulder-bag-p-69618096IWG8745</t>
        </is>
      </c>
      <c r="M124" s="5">
        <f t="array" ref="M124">_xlfn.IFS(J124="NOTFOUND",I124,J124&gt;=I124,J124)</f>
        <v/>
      </c>
    </row>
    <row r="125" ht="18" customHeight="1" s="16">
      <c r="A125" s="5" t="n">
        <v>124</v>
      </c>
      <c r="B125" s="5" t="inlineStr">
        <is>
          <t>GU-2376</t>
        </is>
      </c>
      <c r="D125" s="5" t="inlineStr">
        <is>
          <t>オフィディア ウェブ ストライプ付き スモール トップハンドルバッグ</t>
        </is>
      </c>
      <c r="E125" s="5" t="inlineStr">
        <is>
          <t>651055 96IWX 8745</t>
        </is>
      </c>
      <c r="F125" s="5" t="inlineStr">
        <is>
          <t xml:space="preserve">  -</t>
        </is>
      </c>
      <c r="G125" s="10" t="inlineStr">
        <is>
          <t>OneSize</t>
        </is>
      </c>
      <c r="H125" s="17" t="inlineStr">
        <is>
          <t>OneSize</t>
        </is>
      </c>
      <c r="I125" s="18" t="n">
        <v>390500</v>
      </c>
      <c r="J125" s="19" t="n">
        <v>429000</v>
      </c>
      <c r="K125" s="20" t="n">
        <v>5</v>
      </c>
      <c r="L125" s="4" t="inlineStr">
        <is>
          <t>https://www.gucci.com/jp/ja/pr/women/handbags/top-handle-bags-for-women/ophidia-gg-small-top-handle-bag-p-65105596IWX8745</t>
        </is>
      </c>
      <c r="M125" s="5">
        <f t="array" ref="M125">_xlfn.IFS(J125="NOTFOUND",I125,J125&gt;=I125,J125)</f>
        <v/>
      </c>
    </row>
    <row r="126" ht="18" customHeight="1" s="16">
      <c r="A126" s="5" t="n">
        <v>125</v>
      </c>
      <c r="B126" s="5" t="inlineStr">
        <is>
          <t>GU-2377</t>
        </is>
      </c>
      <c r="D126" s="5" t="inlineStr">
        <is>
          <t>オフィディア GG ミディアム トートバッグ</t>
        </is>
      </c>
      <c r="E126" s="5" t="inlineStr">
        <is>
          <t>631685 96IWB 8745</t>
        </is>
      </c>
      <c r="F126" s="5" t="inlineStr">
        <is>
          <t>GGスプリーム</t>
        </is>
      </c>
      <c r="G126" s="10" t="inlineStr">
        <is>
          <t>OneSize</t>
        </is>
      </c>
      <c r="H126" s="17" t="inlineStr">
        <is>
          <t>OneSize</t>
        </is>
      </c>
      <c r="I126" s="18" t="n">
        <v>247500</v>
      </c>
      <c r="J126" s="19" t="n">
        <v>269500</v>
      </c>
      <c r="K126" s="20" t="n">
        <v>5</v>
      </c>
      <c r="L126" s="4" t="inlineStr">
        <is>
          <t>https://www.gucci.com/jp/ja/pr/women/handbags/tote-bags-for-women/ophidia-gg-medium-tote-p-63168596IWB8745</t>
        </is>
      </c>
      <c r="M126" s="5">
        <f t="array" ref="M126">_xlfn.IFS(J126="NOTFOUND",I126,J126&gt;=I126,J126)</f>
        <v/>
      </c>
    </row>
    <row r="127" ht="18" customHeight="1" s="16">
      <c r="A127" s="5" t="n">
        <v>126</v>
      </c>
      <c r="B127" s="5" t="inlineStr">
        <is>
          <t>GU-2378</t>
        </is>
      </c>
      <c r="D127" s="5" t="inlineStr">
        <is>
          <t>オフィディア GG スモール バケットバッグ</t>
        </is>
      </c>
      <c r="E127" s="5" t="inlineStr">
        <is>
          <t>550621 96I3B 8745</t>
        </is>
      </c>
      <c r="F127" s="5" t="inlineStr">
        <is>
          <t xml:space="preserve">  -</t>
        </is>
      </c>
      <c r="G127" s="11" t="inlineStr">
        <is>
          <t>SOLD</t>
        </is>
      </c>
      <c r="H127" s="22" t="inlineStr">
        <is>
          <t>SOLD</t>
        </is>
      </c>
      <c r="I127" s="18" t="n">
        <v>266200</v>
      </c>
      <c r="J127" s="23" t="inlineStr">
        <is>
          <t>NOTFOUND</t>
        </is>
      </c>
      <c r="K127" s="20" t="n">
        <v>0</v>
      </c>
      <c r="L127" s="4" t="inlineStr">
        <is>
          <t>https://www.gucci.com/jp/ja/pr/women/handbags/shoulder-bags-for-women/ophidia-gg-small-bucket-bag-p-55062196I3B8745</t>
        </is>
      </c>
      <c r="M127" s="5">
        <f t="array" ref="M127">_xlfn.IFS(J127="NOTFOUND",I127,J127&gt;=I127,J127)</f>
        <v/>
      </c>
    </row>
    <row r="128" ht="18" customHeight="1" s="16">
      <c r="A128" s="5" t="n">
        <v>127</v>
      </c>
      <c r="B128" s="5" t="inlineStr">
        <is>
          <t>GU-2379</t>
        </is>
      </c>
      <c r="D128" s="5" t="inlineStr">
        <is>
          <t>オフィディア GG ミニ ラウンド ショルダーバッグ</t>
        </is>
      </c>
      <c r="E128" s="5" t="inlineStr">
        <is>
          <t>550618 96I3B 8745</t>
        </is>
      </c>
      <c r="F128" s="5" t="inlineStr">
        <is>
          <t xml:space="preserve">  -</t>
        </is>
      </c>
      <c r="G128" s="11" t="inlineStr">
        <is>
          <t>SOLD</t>
        </is>
      </c>
      <c r="H128" s="22" t="inlineStr">
        <is>
          <t>SOLD</t>
        </is>
      </c>
      <c r="I128" s="18" t="n">
        <v>231000</v>
      </c>
      <c r="J128" s="23" t="inlineStr">
        <is>
          <t>NOTFOUND</t>
        </is>
      </c>
      <c r="K128" s="20" t="n">
        <v>0</v>
      </c>
      <c r="L128" s="4" t="inlineStr">
        <is>
          <t>https://www.gucci.com/jp/ja/pr/women/handbags/mini-bags-for-women/ophidia-gg-mini-round-shoulder-bag-p-55061896I3B8745</t>
        </is>
      </c>
      <c r="M128" s="5">
        <f t="array" ref="M128">_xlfn.IFS(J128="NOTFOUND",I128,J128&gt;=I128,J128)</f>
        <v/>
      </c>
    </row>
    <row r="129" ht="18" customHeight="1" s="16">
      <c r="A129" s="5" t="n">
        <v>128</v>
      </c>
      <c r="B129" s="5" t="inlineStr">
        <is>
          <t>GU-2380</t>
        </is>
      </c>
      <c r="D129" s="5" t="inlineStr">
        <is>
          <t>オフィディア GG スモール トートバッグ</t>
        </is>
      </c>
      <c r="E129" s="5" t="inlineStr">
        <is>
          <t>547551 K05NB 8745</t>
        </is>
      </c>
      <c r="F129" s="5" t="inlineStr">
        <is>
          <t>ベージュ/エボニー</t>
        </is>
      </c>
      <c r="G129" s="10" t="inlineStr">
        <is>
          <t>OneSize</t>
        </is>
      </c>
      <c r="H129" s="17" t="inlineStr">
        <is>
          <t>OneSize</t>
        </is>
      </c>
      <c r="I129" s="18" t="n">
        <v>288200</v>
      </c>
      <c r="J129" s="19" t="n">
        <v>313500</v>
      </c>
      <c r="K129" s="20" t="n">
        <v>5</v>
      </c>
      <c r="L129" s="4" t="inlineStr">
        <is>
          <t>https://www.gucci.com/jp/ja/pr/women/handbags/tote-bags-for-women/ophidia-gg-small-tote-bag-p-547551K05NB8745</t>
        </is>
      </c>
      <c r="M129" s="5">
        <f t="array" ref="M129">_xlfn.IFS(J129="NOTFOUND",I129,J129&gt;=I129,J129)</f>
        <v/>
      </c>
    </row>
    <row r="130" ht="18" customHeight="1" s="16">
      <c r="A130" s="5" t="n">
        <v>129</v>
      </c>
      <c r="B130" s="5" t="inlineStr">
        <is>
          <t>GU-2381</t>
        </is>
      </c>
      <c r="D130" s="5" t="inlineStr">
        <is>
          <t>オフィディア GG ミディアム トートバッグ</t>
        </is>
      </c>
      <c r="E130" s="5" t="inlineStr">
        <is>
          <t>524537 K05NB 8745</t>
        </is>
      </c>
      <c r="F130" s="5" t="inlineStr">
        <is>
          <t xml:space="preserve">  -</t>
        </is>
      </c>
      <c r="G130" s="10" t="inlineStr">
        <is>
          <t>OneSize</t>
        </is>
      </c>
      <c r="H130" s="22" t="inlineStr">
        <is>
          <t>SOLD</t>
        </is>
      </c>
      <c r="I130" s="18" t="n">
        <v>302500</v>
      </c>
      <c r="J130" s="19" t="n">
        <v>330000</v>
      </c>
      <c r="K130" s="20" t="n">
        <v>0</v>
      </c>
      <c r="L130" s="4" t="inlineStr">
        <is>
          <t>https://www.gucci.com/jp/ja/pr/women/handbags/tote-bags-for-women/ophidia-gg-medium-tote-bag-p-524537K05NB8745</t>
        </is>
      </c>
      <c r="M130" s="5">
        <f t="array" ref="M130">_xlfn.IFS(J130="NOTFOUND",I130,J130&gt;=I130,J130)</f>
        <v/>
      </c>
    </row>
    <row r="131" ht="18" customHeight="1" s="16">
      <c r="A131" s="5" t="n">
        <v>130</v>
      </c>
      <c r="B131" s="5" t="inlineStr">
        <is>
          <t>GU-2382</t>
        </is>
      </c>
      <c r="D131" s="5" t="inlineStr">
        <is>
          <t>オフィディア GG スモール ショルダーバッグ</t>
        </is>
      </c>
      <c r="E131" s="5" t="inlineStr">
        <is>
          <t>503877 K05NG 8745</t>
        </is>
      </c>
      <c r="F131" s="5" t="inlineStr">
        <is>
          <t xml:space="preserve">  -</t>
        </is>
      </c>
      <c r="G131" s="10" t="inlineStr">
        <is>
          <t>OneSize</t>
        </is>
      </c>
      <c r="H131" s="17" t="inlineStr">
        <is>
          <t>OneSize</t>
        </is>
      </c>
      <c r="I131" s="18" t="n">
        <v>280500</v>
      </c>
      <c r="J131" s="19" t="n">
        <v>297000</v>
      </c>
      <c r="K131" s="20" t="n">
        <v>5</v>
      </c>
      <c r="L131" s="4" t="inlineStr">
        <is>
          <t>https://www.gucci.com/jp/ja/pr/women/handbags/shoulder-bags-for-women/chain-bags-for-women/ophidia-gg-small-shoulder-bag-p-503877K05NG8745</t>
        </is>
      </c>
      <c r="M131" s="5">
        <f t="array" ref="M131">_xlfn.IFS(J131="NOTFOUND",I131,J131&gt;=I131,J131)</f>
        <v/>
      </c>
    </row>
    <row r="132" ht="18" customHeight="1" s="16">
      <c r="A132" s="5" t="n">
        <v>131</v>
      </c>
      <c r="B132" s="5" t="inlineStr">
        <is>
          <t>GU-2383</t>
        </is>
      </c>
      <c r="D132" s="5" t="inlineStr">
        <is>
          <t>オフィディア GG ショルダーバッグ</t>
        </is>
      </c>
      <c r="E132" s="5" t="inlineStr">
        <is>
          <t>499621 K05NG 8745</t>
        </is>
      </c>
      <c r="F132" s="5" t="inlineStr">
        <is>
          <t>GGスプリーム キャンバス</t>
        </is>
      </c>
      <c r="G132" s="10" t="inlineStr">
        <is>
          <t>OneSize</t>
        </is>
      </c>
      <c r="H132" s="17" t="inlineStr">
        <is>
          <t>OneSize</t>
        </is>
      </c>
      <c r="I132" s="18" t="n">
        <v>231000</v>
      </c>
      <c r="J132" s="19" t="n">
        <v>253000</v>
      </c>
      <c r="K132" s="20" t="n">
        <v>5</v>
      </c>
      <c r="L132" s="4" t="inlineStr">
        <is>
          <t>https://www.gucci.com/jp/ja/pr/women/handbags/crossbody-bags-for-women/ophidia-gg-small-shoulder-bag-p-499621K05NG8745</t>
        </is>
      </c>
      <c r="M132" s="5">
        <f t="array" ref="M132">_xlfn.IFS(J132="NOTFOUND",I132,J132&gt;=I132,J132)</f>
        <v/>
      </c>
    </row>
    <row r="133" ht="18" customHeight="1" s="16">
      <c r="A133" s="5" t="n">
        <v>132</v>
      </c>
      <c r="B133" s="5" t="inlineStr">
        <is>
          <t>GU-2384</t>
        </is>
      </c>
      <c r="D133" s="5" t="inlineStr">
        <is>
          <t>オフィディア スーパーミニ ショルダーバッグ</t>
        </is>
      </c>
      <c r="E133" s="5" t="inlineStr">
        <is>
          <t>795170 96IWG 8745</t>
        </is>
      </c>
      <c r="F133" s="5" t="inlineStr">
        <is>
          <t>ベージュ＆エボニー</t>
        </is>
      </c>
      <c r="G133" s="11" t="inlineStr">
        <is>
          <t>SOLD</t>
        </is>
      </c>
      <c r="H133" s="22" t="inlineStr">
        <is>
          <t>SOLD</t>
        </is>
      </c>
      <c r="I133" s="18" t="n">
        <v>198000</v>
      </c>
      <c r="J133" s="23" t="inlineStr">
        <is>
          <t>NOTFOUND</t>
        </is>
      </c>
      <c r="K133" s="20" t="n">
        <v>0</v>
      </c>
      <c r="L133" s="4" t="inlineStr">
        <is>
          <t>https://www.gucci.com/jp/ja/pr/women/handbags/mini-bags-for-women/ophidia-super-mini-shoulder-bag-p-79517096IWG8745</t>
        </is>
      </c>
      <c r="M133" s="5">
        <f t="array" ref="M133">_xlfn.IFS(J133="NOTFOUND",I133,J133&gt;=I133,J133)</f>
        <v/>
      </c>
    </row>
    <row r="134" ht="18" customHeight="1" s="16">
      <c r="A134" s="5" t="n">
        <v>133</v>
      </c>
      <c r="B134" s="5" t="inlineStr">
        <is>
          <t>GU-2385</t>
        </is>
      </c>
      <c r="D134" s="5" t="inlineStr">
        <is>
          <t>オフィディア  スーパーミニバッグ</t>
        </is>
      </c>
      <c r="E134" s="5" t="inlineStr">
        <is>
          <t>772317 96IWG 8745</t>
        </is>
      </c>
      <c r="F134" s="5" t="inlineStr">
        <is>
          <t xml:space="preserve">  -</t>
        </is>
      </c>
      <c r="G134" s="11" t="inlineStr">
        <is>
          <t>SOLD</t>
        </is>
      </c>
      <c r="H134" s="22" t="inlineStr">
        <is>
          <t>SOLD</t>
        </is>
      </c>
      <c r="I134" s="18" t="n">
        <v>236500</v>
      </c>
      <c r="J134" s="23" t="inlineStr">
        <is>
          <t>NOTFOUND</t>
        </is>
      </c>
      <c r="K134" s="20" t="n">
        <v>0</v>
      </c>
      <c r="L134" s="4" t="inlineStr">
        <is>
          <t>https://www.gucci.com/jp/ja/pr/women/handbags/mini-bags-for-women/ophidia-gg-super-mini-bag-p-77231796IWG8745</t>
        </is>
      </c>
      <c r="M134" s="5">
        <f t="array" ref="M134">_xlfn.IFS(J134="NOTFOUND",I134,J134&gt;=I134,J134)</f>
        <v/>
      </c>
    </row>
    <row r="135" ht="18" customHeight="1" s="16">
      <c r="A135" s="5" t="n">
        <v>134</v>
      </c>
      <c r="B135" s="5" t="inlineStr">
        <is>
          <t>GU-2386</t>
        </is>
      </c>
      <c r="D135" s="5" t="inlineStr">
        <is>
          <t>オフィディア ミニ バケットバッグ</t>
        </is>
      </c>
      <c r="E135" s="5" t="inlineStr">
        <is>
          <t>760199 9AAD9 8341</t>
        </is>
      </c>
      <c r="F135" s="5" t="inlineStr">
        <is>
          <t>ベージュ＆エボニー</t>
        </is>
      </c>
      <c r="G135" s="10" t="inlineStr">
        <is>
          <t>OneSize</t>
        </is>
      </c>
      <c r="H135" s="17" t="inlineStr">
        <is>
          <t>OneSize</t>
        </is>
      </c>
      <c r="I135" s="18" t="n">
        <v>217800</v>
      </c>
      <c r="J135" s="19" t="n">
        <v>217800</v>
      </c>
      <c r="K135" s="20" t="n">
        <v>5</v>
      </c>
      <c r="L135" s="4" t="inlineStr">
        <is>
          <t>https://www.gucci.com/jp/ja/pr/women/handbags/mini-bags-for-women/ophidia-mini-bucket-bag-p-7601999AAD98341</t>
        </is>
      </c>
      <c r="M135" s="5">
        <f t="array" ref="M135">_xlfn.IFS(J135="NOTFOUND",I135,J135&gt;=I135,J135)</f>
        <v/>
      </c>
    </row>
    <row r="136" ht="18" customHeight="1" s="16">
      <c r="A136" s="5" t="n">
        <v>135</v>
      </c>
      <c r="B136" s="5" t="inlineStr">
        <is>
          <t>GU-2387</t>
        </is>
      </c>
      <c r="D136" s="5" t="inlineStr">
        <is>
          <t>オフィディア ミニ ショルダーバッグ</t>
        </is>
      </c>
      <c r="E136" s="5" t="inlineStr">
        <is>
          <t>757309 96IWG 8745</t>
        </is>
      </c>
      <c r="F136" s="5" t="inlineStr">
        <is>
          <t xml:space="preserve">  -</t>
        </is>
      </c>
      <c r="G136" s="10" t="inlineStr">
        <is>
          <t>OneSize</t>
        </is>
      </c>
      <c r="H136" s="17" t="inlineStr">
        <is>
          <t>OneSize</t>
        </is>
      </c>
      <c r="I136" s="18" t="n">
        <v>165000</v>
      </c>
      <c r="J136" s="19" t="n">
        <v>173800</v>
      </c>
      <c r="K136" s="20" t="n">
        <v>5</v>
      </c>
      <c r="L136" s="4" t="inlineStr">
        <is>
          <t>https://www.gucci.com/jp/ja/pr/women/handbags/shoulder-bags-for-women/ophidia-mini-gg-shoulder-bag-p-75730996IWG8745</t>
        </is>
      </c>
      <c r="M136" s="5">
        <f t="array" ref="M136">_xlfn.IFS(J136="NOTFOUND",I136,J136&gt;=I136,J136)</f>
        <v/>
      </c>
    </row>
    <row r="137" ht="18" customHeight="1" s="16">
      <c r="A137" s="5" t="n">
        <v>136</v>
      </c>
      <c r="B137" s="5" t="inlineStr">
        <is>
          <t>GU-2388</t>
        </is>
      </c>
      <c r="D137" s="5" t="inlineStr">
        <is>
          <t>オフィディア GG ミニ バケットバッグ</t>
        </is>
      </c>
      <c r="E137" s="5" t="inlineStr">
        <is>
          <t>550620 96I3B 8745</t>
        </is>
      </c>
      <c r="F137" s="5" t="inlineStr">
        <is>
          <t xml:space="preserve">  -</t>
        </is>
      </c>
      <c r="G137" s="11" t="inlineStr">
        <is>
          <t>SOLD</t>
        </is>
      </c>
      <c r="H137" s="22" t="inlineStr">
        <is>
          <t>SOLD</t>
        </is>
      </c>
      <c r="I137" s="18" t="n">
        <v>225500</v>
      </c>
      <c r="J137" s="23" t="inlineStr">
        <is>
          <t>NOTFOUND</t>
        </is>
      </c>
      <c r="K137" s="20" t="n">
        <v>0</v>
      </c>
      <c r="L137" s="4" t="inlineStr">
        <is>
          <t>https://www.gucci.com/jp/ja/pr/women/handbags/shoulder-bags-for-women/ophidia-gg-mini-bucket-bag-p-55062096I3B8745</t>
        </is>
      </c>
      <c r="M137" s="5">
        <f t="array" ref="M137">_xlfn.IFS(J137="NOTFOUND",I137,J137&gt;=I137,J137)</f>
        <v/>
      </c>
    </row>
    <row r="138" ht="18" customHeight="1" s="16">
      <c r="A138" s="5" t="n">
        <v>137</v>
      </c>
      <c r="B138" s="5" t="inlineStr">
        <is>
          <t>GU-2389</t>
        </is>
      </c>
      <c r="D138" s="5" t="inlineStr">
        <is>
          <t>オフィディア スモール ショルダーバッグ</t>
        </is>
      </c>
      <c r="E138" s="5" t="inlineStr">
        <is>
          <t>781402 UULAG 9682</t>
        </is>
      </c>
      <c r="F138" s="5" t="inlineStr">
        <is>
          <t>ベージュ＆ホワイト</t>
        </is>
      </c>
      <c r="G138" s="11" t="inlineStr">
        <is>
          <t>SOLD</t>
        </is>
      </c>
      <c r="H138" s="22" t="inlineStr">
        <is>
          <t>SOLD</t>
        </is>
      </c>
      <c r="I138" s="18" t="n">
        <v>297000</v>
      </c>
      <c r="J138" s="23" t="inlineStr">
        <is>
          <t>NOTFOUND</t>
        </is>
      </c>
      <c r="K138" s="20" t="n">
        <v>0</v>
      </c>
      <c r="L138" s="4" t="inlineStr">
        <is>
          <t>https://www.gucci.com/jp/ja/pr/women/handbags/shoulder-bags-for-women/half-moon-bags-for-women/ophidia-gg-small-shoulder-bag-p-781402UULAG9682</t>
        </is>
      </c>
      <c r="M138" s="5">
        <f t="array" ref="M138">_xlfn.IFS(J138="NOTFOUND",I138,J138&gt;=I138,J138)</f>
        <v/>
      </c>
    </row>
    <row r="139" ht="18" customHeight="1" s="16">
      <c r="A139" s="5" t="n">
        <v>138</v>
      </c>
      <c r="B139" s="5" t="inlineStr">
        <is>
          <t>GU-2390</t>
        </is>
      </c>
      <c r="D139" s="5" t="inlineStr">
        <is>
          <t>オフィディア ミニ トップハンドルバッグ</t>
        </is>
      </c>
      <c r="E139" s="5" t="inlineStr">
        <is>
          <t>772053 UULAG 9682</t>
        </is>
      </c>
      <c r="F139" s="5" t="inlineStr">
        <is>
          <t>ベージュ＆ホワイト キャンバス</t>
        </is>
      </c>
      <c r="G139" s="10" t="inlineStr">
        <is>
          <t>OneSize</t>
        </is>
      </c>
      <c r="H139" s="17" t="inlineStr">
        <is>
          <t>OneSize</t>
        </is>
      </c>
      <c r="I139" s="18" t="n">
        <v>255200</v>
      </c>
      <c r="J139" s="19" t="n">
        <v>264000</v>
      </c>
      <c r="K139" s="20" t="n">
        <v>5</v>
      </c>
      <c r="L139" s="4" t="inlineStr">
        <is>
          <t>https://www.gucci.com/jp/ja/pr/women/handbags/crossbody-bags-for-women/ophidia-gg-mini-top-handle-bag-p-772053UULAG9682</t>
        </is>
      </c>
      <c r="M139" s="5">
        <f t="array" ref="M139">_xlfn.IFS(J139="NOTFOUND",I139,J139&gt;=I139,J139)</f>
        <v/>
      </c>
    </row>
    <row r="140" ht="18" customHeight="1" s="16">
      <c r="A140" s="5" t="n">
        <v>139</v>
      </c>
      <c r="B140" s="5" t="inlineStr">
        <is>
          <t>GU-2391</t>
        </is>
      </c>
      <c r="D140" s="5" t="inlineStr">
        <is>
          <t>オフィディア スモール トートバッグ</t>
        </is>
      </c>
      <c r="E140" s="5" t="inlineStr">
        <is>
          <t>765043 FAA4G 9897</t>
        </is>
      </c>
      <c r="F140" s="5" t="inlineStr">
        <is>
          <t>ベージュ＆ホワイト</t>
        </is>
      </c>
      <c r="G140" s="10" t="inlineStr">
        <is>
          <t>OneSize</t>
        </is>
      </c>
      <c r="H140" s="17" t="inlineStr">
        <is>
          <t>OneSize</t>
        </is>
      </c>
      <c r="I140" s="18" t="n">
        <v>231000</v>
      </c>
      <c r="J140" s="19" t="n">
        <v>253000</v>
      </c>
      <c r="K140" s="20" t="n">
        <v>5</v>
      </c>
      <c r="L140" s="4" t="inlineStr">
        <is>
          <t>https://www.gucci.com/jp/ja/pr/women/handbags/tote-bags-for-women/ophidia-small-tote-bag-p-765043FAA4G9897</t>
        </is>
      </c>
      <c r="M140" s="5">
        <f t="array" ref="M140">_xlfn.IFS(J140="NOTFOUND",I140,J140&gt;=I140,J140)</f>
        <v/>
      </c>
    </row>
    <row r="141" ht="18" customHeight="1" s="16">
      <c r="A141" s="5" t="n">
        <v>140</v>
      </c>
      <c r="B141" s="5" t="inlineStr">
        <is>
          <t>GU-2392</t>
        </is>
      </c>
      <c r="D141" s="5" t="inlineStr">
        <is>
          <t>オフィディア スモール トートバッグ</t>
        </is>
      </c>
      <c r="E141" s="5" t="inlineStr">
        <is>
          <t>726762 FABKZ 9893</t>
        </is>
      </c>
      <c r="F141" s="5" t="inlineStr">
        <is>
          <t xml:space="preserve">  -</t>
        </is>
      </c>
      <c r="G141" s="11" t="inlineStr">
        <is>
          <t>SOLD</t>
        </is>
      </c>
      <c r="H141" s="22" t="inlineStr">
        <is>
          <t>SOLD</t>
        </is>
      </c>
      <c r="I141" s="18" t="n">
        <v>206800</v>
      </c>
      <c r="J141" s="23" t="inlineStr">
        <is>
          <t>NOTFOUND</t>
        </is>
      </c>
      <c r="K141" s="20" t="n">
        <v>0</v>
      </c>
      <c r="L141" s="4" t="inlineStr">
        <is>
          <t>https://www.gucci.com/jp/ja/pr/women/handbags/tote-bags-for-women/ophidia-small-tote-bag-p-726762FABKZ9893</t>
        </is>
      </c>
      <c r="M141" s="5">
        <f t="array" ref="M141">_xlfn.IFS(J141="NOTFOUND",I141,J141&gt;=I141,J141)</f>
        <v/>
      </c>
    </row>
    <row r="142" ht="18" customHeight="1" s="16">
      <c r="A142" s="5" t="n">
        <v>141</v>
      </c>
      <c r="B142" s="5" t="inlineStr">
        <is>
          <t>GU-2393</t>
        </is>
      </c>
      <c r="D142" s="5" t="inlineStr">
        <is>
          <t>オフィディア ラージ トートバッグ</t>
        </is>
      </c>
      <c r="E142" s="5" t="inlineStr">
        <is>
          <t>726755 FABKZ 9893</t>
        </is>
      </c>
      <c r="F142" s="5" t="inlineStr">
        <is>
          <t>ベージュ＆ホワイト</t>
        </is>
      </c>
      <c r="G142" s="11" t="inlineStr">
        <is>
          <t>SOLD</t>
        </is>
      </c>
      <c r="H142" s="22" t="inlineStr">
        <is>
          <t>SOLD</t>
        </is>
      </c>
      <c r="I142" s="18" t="n">
        <v>247500</v>
      </c>
      <c r="J142" s="23" t="inlineStr">
        <is>
          <t>NOTFOUND</t>
        </is>
      </c>
      <c r="K142" s="20" t="n">
        <v>0</v>
      </c>
      <c r="L142" s="4" t="inlineStr">
        <is>
          <t>https://www.gucci.com/jp/ja/pr/women/handbags/tote-bags-for-women/ophidia-large-tote-bag-p-726755FABKZ9893</t>
        </is>
      </c>
      <c r="M142" s="5">
        <f t="array" ref="M142">_xlfn.IFS(J142="NOTFOUND",I142,J142&gt;=I142,J142)</f>
        <v/>
      </c>
    </row>
    <row r="143" ht="18" customHeight="1" s="16">
      <c r="A143" s="5" t="n">
        <v>142</v>
      </c>
      <c r="B143" s="5" t="inlineStr">
        <is>
          <t>GU-2394</t>
        </is>
      </c>
      <c r="D143" s="5" t="inlineStr">
        <is>
          <t>オフィディア ミディアム GGトートバッグ</t>
        </is>
      </c>
      <c r="E143" s="5" t="inlineStr">
        <is>
          <t>631685 UULAG 9682</t>
        </is>
      </c>
      <c r="F143" s="5" t="inlineStr">
        <is>
          <t>ベージュ＆ホワイト キャンバス</t>
        </is>
      </c>
      <c r="G143" s="10" t="inlineStr">
        <is>
          <t>OneSize</t>
        </is>
      </c>
      <c r="H143" s="17" t="inlineStr">
        <is>
          <t>OneSize</t>
        </is>
      </c>
      <c r="I143" s="18" t="n">
        <v>247500</v>
      </c>
      <c r="J143" s="19" t="n">
        <v>269500</v>
      </c>
      <c r="K143" s="20" t="n">
        <v>5</v>
      </c>
      <c r="L143" s="4" t="inlineStr">
        <is>
          <t>https://www.gucci.com/jp/ja/pr/women/handbags/tote-bags-for-women/ophidia-gg-medium-tote-p-631685UULAG9682</t>
        </is>
      </c>
      <c r="M143" s="5">
        <f t="array" ref="M143">_xlfn.IFS(J143="NOTFOUND",I143,J143&gt;=I143,J143)</f>
        <v/>
      </c>
    </row>
    <row r="144" ht="18" customHeight="1" s="16">
      <c r="A144" s="5" t="n">
        <v>143</v>
      </c>
      <c r="B144" s="5" t="inlineStr">
        <is>
          <t>GU-2395</t>
        </is>
      </c>
      <c r="D144" s="5" t="inlineStr">
        <is>
          <t>オフィディア スモール トートバッグ</t>
        </is>
      </c>
      <c r="E144" s="5" t="inlineStr">
        <is>
          <t>547551 UULAG 9682</t>
        </is>
      </c>
      <c r="F144" s="5" t="inlineStr">
        <is>
          <t>ベージュ</t>
        </is>
      </c>
      <c r="G144" s="10" t="inlineStr">
        <is>
          <t>OneSize</t>
        </is>
      </c>
      <c r="H144" s="17" t="inlineStr">
        <is>
          <t>OneSize</t>
        </is>
      </c>
      <c r="I144" s="18" t="n">
        <v>288200</v>
      </c>
      <c r="J144" s="19" t="n">
        <v>313500</v>
      </c>
      <c r="K144" s="20" t="n">
        <v>5</v>
      </c>
      <c r="L144" s="4" t="inlineStr">
        <is>
          <t>https://www.gucci.com/jp/ja/pr/women/handbags/tote-bags-for-women/ophidia-small-tote-bag-p-547551UULAG9682</t>
        </is>
      </c>
      <c r="M144" s="5">
        <f t="array" ref="M144">_xlfn.IFS(J144="NOTFOUND",I144,J144&gt;=I144,J144)</f>
        <v/>
      </c>
    </row>
    <row r="145" ht="18" customHeight="1" s="16">
      <c r="A145" s="5" t="n">
        <v>144</v>
      </c>
      <c r="B145" s="5" t="inlineStr">
        <is>
          <t>GU-2396</t>
        </is>
      </c>
      <c r="D145" s="5" t="inlineStr">
        <is>
          <t>オフィディア GG スモール ショルダーバッグ</t>
        </is>
      </c>
      <c r="E145" s="5" t="inlineStr">
        <is>
          <t>499621 UULAG 9682</t>
        </is>
      </c>
      <c r="F145" s="5" t="inlineStr">
        <is>
          <t>ベージュ＆ホワイト キャンバス</t>
        </is>
      </c>
      <c r="G145" s="10" t="inlineStr">
        <is>
          <t>OneSize</t>
        </is>
      </c>
      <c r="H145" s="17" t="inlineStr">
        <is>
          <t>OneSize</t>
        </is>
      </c>
      <c r="I145" s="18" t="n">
        <v>231000</v>
      </c>
      <c r="J145" s="19" t="n">
        <v>253000</v>
      </c>
      <c r="K145" s="20" t="n">
        <v>5</v>
      </c>
      <c r="L145" s="4" t="inlineStr">
        <is>
          <t>https://www.gucci.com/jp/ja/pr/women/handbags/crossbody-bags-for-women/ophidia-gg-small-shoulder-bag-p-499621UULAG9682</t>
        </is>
      </c>
      <c r="M145" s="5">
        <f t="array" ref="M145">_xlfn.IFS(J145="NOTFOUND",I145,J145&gt;=I145,J145)</f>
        <v/>
      </c>
    </row>
    <row r="146" ht="18" customHeight="1" s="16">
      <c r="A146" s="5" t="n">
        <v>145</v>
      </c>
      <c r="B146" s="5" t="inlineStr">
        <is>
          <t>GU-2397</t>
        </is>
      </c>
      <c r="D146" s="5" t="inlineStr">
        <is>
          <t>オフィディア ミニバッグ</t>
        </is>
      </c>
      <c r="E146" s="5" t="inlineStr">
        <is>
          <t>764961 2ZGMN 9643</t>
        </is>
      </c>
      <c r="F146" s="5" t="inlineStr">
        <is>
          <t>ベージュ＆オートミール</t>
        </is>
      </c>
      <c r="G146" s="10" t="inlineStr">
        <is>
          <t>OneSize</t>
        </is>
      </c>
      <c r="H146" s="17" t="inlineStr">
        <is>
          <t>OneSize</t>
        </is>
      </c>
      <c r="I146" s="18" t="n">
        <v>149600</v>
      </c>
      <c r="J146" s="19" t="n">
        <v>154000</v>
      </c>
      <c r="K146" s="20" t="n">
        <v>5</v>
      </c>
      <c r="L146" s="4" t="inlineStr">
        <is>
          <t>https://www.gucci.com/jp/ja/pr/women/handbags/mini-bags-for-women/ophidia-mini-bag-p-7649612ZGMN9643</t>
        </is>
      </c>
      <c r="M146" s="5">
        <f t="array" ref="M146">_xlfn.IFS(J146="NOTFOUND",I146,J146&gt;=I146,J146)</f>
        <v/>
      </c>
    </row>
    <row r="147" ht="18" customHeight="1" s="16">
      <c r="A147" s="5" t="n">
        <v>146</v>
      </c>
      <c r="B147" s="5" t="inlineStr">
        <is>
          <t>GU-2398</t>
        </is>
      </c>
      <c r="D147" s="5" t="inlineStr">
        <is>
          <t>オフィディア GG ミニバッグ</t>
        </is>
      </c>
      <c r="E147" s="5" t="inlineStr">
        <is>
          <t>517350 UULAG 9682</t>
        </is>
      </c>
      <c r="F147" s="5" t="inlineStr">
        <is>
          <t>ベージュ＆ホワイト</t>
        </is>
      </c>
      <c r="G147" s="11" t="inlineStr">
        <is>
          <t>SOLD</t>
        </is>
      </c>
      <c r="H147" s="22" t="inlineStr">
        <is>
          <t>SOLD</t>
        </is>
      </c>
      <c r="I147" s="18" t="n">
        <v>149600</v>
      </c>
      <c r="J147" s="23" t="inlineStr">
        <is>
          <t>NOTFOUND</t>
        </is>
      </c>
      <c r="K147" s="20" t="n">
        <v>0</v>
      </c>
      <c r="L147" s="4" t="inlineStr">
        <is>
          <t>https://www.gucci.com/jp/ja/pr/women/handbags/mini-bags-for-women/ophidia-gg-mini-bag-p-517350UULAG9682</t>
        </is>
      </c>
      <c r="M147" s="5">
        <f t="array" ref="M147">_xlfn.IFS(J147="NOTFOUND",I147,J147&gt;=I147,J147)</f>
        <v/>
      </c>
    </row>
    <row r="148" ht="18" customHeight="1" s="16">
      <c r="A148" s="5" t="n">
        <v>147</v>
      </c>
      <c r="B148" s="5" t="inlineStr">
        <is>
          <t>GU-2399</t>
        </is>
      </c>
      <c r="D148" s="5" t="inlineStr">
        <is>
          <t>ダブルG ミニ トートバッグ</t>
        </is>
      </c>
      <c r="E148" s="5" t="inlineStr">
        <is>
          <t>811716 FAD03 8741</t>
        </is>
      </c>
      <c r="F148" s="5" t="inlineStr">
        <is>
          <t>ダスティブルー</t>
        </is>
      </c>
      <c r="G148" s="11" t="inlineStr">
        <is>
          <t>SOLD</t>
        </is>
      </c>
      <c r="H148" s="22" t="inlineStr">
        <is>
          <t>SOLD</t>
        </is>
      </c>
      <c r="I148" s="18" t="n">
        <v>231000</v>
      </c>
      <c r="J148" s="23" t="inlineStr">
        <is>
          <t>NOTFOUND</t>
        </is>
      </c>
      <c r="K148" s="20" t="n">
        <v>0</v>
      </c>
      <c r="L148" s="4" t="inlineStr">
        <is>
          <t>https://www.gucci.com/jp/ja/pr/women/handbags/tote-bags-for-women/ophidia-mini-tote-bag-p-811716FAD038741</t>
        </is>
      </c>
      <c r="M148" s="5">
        <f t="array" ref="M148">_xlfn.IFS(J148="NOTFOUND",I148,J148&gt;=I148,J148)</f>
        <v/>
      </c>
    </row>
    <row r="149" ht="18" customHeight="1" s="16">
      <c r="A149" s="5" t="n">
        <v>148</v>
      </c>
      <c r="B149" s="5" t="inlineStr">
        <is>
          <t>GU-2400</t>
        </is>
      </c>
      <c r="D149" s="5" t="inlineStr">
        <is>
          <t>オフィディア GG スーパーミニ ショルダーバッグ</t>
        </is>
      </c>
      <c r="E149" s="5" t="inlineStr">
        <is>
          <t>795170 FAD09 8741</t>
        </is>
      </c>
      <c r="F149" s="5" t="inlineStr">
        <is>
          <t>ダスティブルー</t>
        </is>
      </c>
      <c r="G149" s="11" t="inlineStr">
        <is>
          <t>SOLD</t>
        </is>
      </c>
      <c r="H149" s="22" t="inlineStr">
        <is>
          <t>SOLD</t>
        </is>
      </c>
      <c r="I149" s="18" t="n">
        <v>214500</v>
      </c>
      <c r="J149" s="23" t="inlineStr">
        <is>
          <t>NOTFOUND</t>
        </is>
      </c>
      <c r="K149" s="20" t="n">
        <v>0</v>
      </c>
      <c r="L149" s="4" t="inlineStr">
        <is>
          <t>https://www.gucci.com/jp/ja/pr/women/handbags/mini-bags-for-women/ophidia-gg-super-mini-shoulder-bag-p-795170FAD098741</t>
        </is>
      </c>
      <c r="M149" s="5">
        <f t="array" ref="M149">_xlfn.IFS(J149="NOTFOUND",I149,J149&gt;=I149,J149)</f>
        <v/>
      </c>
    </row>
    <row r="150" ht="18" customHeight="1" s="16">
      <c r="A150" s="5" t="n">
        <v>149</v>
      </c>
      <c r="B150" s="5" t="inlineStr">
        <is>
          <t>GU-2401</t>
        </is>
      </c>
      <c r="D150" s="5" t="inlineStr">
        <is>
          <t>オフィディア  スーパーミニバッグ</t>
        </is>
      </c>
      <c r="E150" s="5" t="inlineStr">
        <is>
          <t>781490 FAD03 6241</t>
        </is>
      </c>
      <c r="F150" s="5" t="inlineStr">
        <is>
          <t>ダスティピンク</t>
        </is>
      </c>
      <c r="G150" s="11" t="inlineStr">
        <is>
          <t>SOLD</t>
        </is>
      </c>
      <c r="H150" s="22" t="inlineStr">
        <is>
          <t>SOLD</t>
        </is>
      </c>
      <c r="I150" s="18" t="n">
        <v>231000</v>
      </c>
      <c r="J150" s="23" t="inlineStr">
        <is>
          <t>NOTFOUND</t>
        </is>
      </c>
      <c r="K150" s="20" t="n">
        <v>0</v>
      </c>
      <c r="L150" s="4" t="inlineStr">
        <is>
          <t>https://www.gucci.com/jp/ja/pr/women/handbags/mini-bags-for-women/ophidia-gg-super-mini-bag-p-781490FAD036241</t>
        </is>
      </c>
      <c r="M150" s="5">
        <f t="array" ref="M150">_xlfn.IFS(J150="NOTFOUND",I150,J150&gt;=I150,J150)</f>
        <v/>
      </c>
    </row>
    <row r="151" ht="18" customHeight="1" s="16">
      <c r="A151" s="5" t="n">
        <v>150</v>
      </c>
      <c r="B151" s="5" t="inlineStr">
        <is>
          <t>GU-2402</t>
        </is>
      </c>
      <c r="D151" s="5" t="inlineStr">
        <is>
          <t>オフィディア スモール ショルダーバッグ</t>
        </is>
      </c>
      <c r="E151" s="5" t="inlineStr">
        <is>
          <t>781402 FAD1P 8741</t>
        </is>
      </c>
      <c r="F151" s="5" t="inlineStr">
        <is>
          <t>ダスティブルー</t>
        </is>
      </c>
      <c r="G151" s="11" t="inlineStr">
        <is>
          <t>SOLD</t>
        </is>
      </c>
      <c r="H151" s="22" t="inlineStr">
        <is>
          <t>SOLD</t>
        </is>
      </c>
      <c r="I151" s="18" t="n">
        <v>297000</v>
      </c>
      <c r="J151" s="23" t="inlineStr">
        <is>
          <t>NOTFOUND</t>
        </is>
      </c>
      <c r="K151" s="20" t="n">
        <v>0</v>
      </c>
      <c r="L151" s="4" t="inlineStr">
        <is>
          <t>https://www.gucci.com/jp/ja/pr/women/handbags/shoulder-bags-for-women/half-moon-bags-for-women/ophidia-gg-small-shoulder-bag-p-781402FAD1P8741</t>
        </is>
      </c>
      <c r="M151" s="5">
        <f t="array" ref="M151">_xlfn.IFS(J151="NOTFOUND",I151,J151&gt;=I151,J151)</f>
        <v/>
      </c>
    </row>
    <row r="152" ht="18" customHeight="1" s="16">
      <c r="A152" s="5" t="n">
        <v>151</v>
      </c>
      <c r="B152" s="5" t="inlineStr">
        <is>
          <t>GU-2403</t>
        </is>
      </c>
      <c r="D152" s="5" t="inlineStr">
        <is>
          <t>GGデニム ミニ ショルダーバッグ</t>
        </is>
      </c>
      <c r="E152" s="5" t="inlineStr">
        <is>
          <t>772239 FAD03 6241</t>
        </is>
      </c>
      <c r="F152" s="5" t="inlineStr">
        <is>
          <t>ダスティピンク</t>
        </is>
      </c>
      <c r="G152" s="11" t="inlineStr">
        <is>
          <t>SOLD</t>
        </is>
      </c>
      <c r="H152" s="22" t="inlineStr">
        <is>
          <t>SOLD</t>
        </is>
      </c>
      <c r="I152" s="18" t="n">
        <v>255200</v>
      </c>
      <c r="J152" s="23" t="inlineStr">
        <is>
          <t>NOTFOUND</t>
        </is>
      </c>
      <c r="K152" s="20" t="n">
        <v>0</v>
      </c>
      <c r="L152" s="4" t="inlineStr">
        <is>
          <t>https://www.gucci.com/jp/ja/pr/women/handbags/shoulder-bags-for-women/ophidia-gg-mini-shoulder-bag-p-772239FAD036241</t>
        </is>
      </c>
      <c r="M152" s="5">
        <f t="array" ref="M152">_xlfn.IFS(J152="NOTFOUND",I152,J152&gt;=I152,J152)</f>
        <v/>
      </c>
    </row>
    <row r="153" ht="18" customHeight="1" s="16">
      <c r="A153" s="5" t="n">
        <v>152</v>
      </c>
      <c r="B153" s="5" t="inlineStr">
        <is>
          <t>GU-2404</t>
        </is>
      </c>
      <c r="D153" s="5" t="inlineStr">
        <is>
          <t>オフィディア スモール トートバッグ</t>
        </is>
      </c>
      <c r="E153" s="5" t="inlineStr">
        <is>
          <t>765043 FAD04 8741</t>
        </is>
      </c>
      <c r="F153" s="5" t="inlineStr">
        <is>
          <t>ダスティブルー</t>
        </is>
      </c>
      <c r="G153" s="11" t="inlineStr">
        <is>
          <t>SOLD</t>
        </is>
      </c>
      <c r="H153" s="22" t="inlineStr">
        <is>
          <t>SOLD</t>
        </is>
      </c>
      <c r="I153" s="18" t="n">
        <v>231000</v>
      </c>
      <c r="J153" s="23" t="inlineStr">
        <is>
          <t>NOTFOUND</t>
        </is>
      </c>
      <c r="K153" s="20" t="n">
        <v>0</v>
      </c>
      <c r="L153" s="4" t="inlineStr">
        <is>
          <t>https://www.gucci.com/jp/ja/pr/women/handbags/tote-bags-for-women/ophidia-small-tote-bag-p-765043FAD048741</t>
        </is>
      </c>
      <c r="M153" s="5">
        <f t="array" ref="M153">_xlfn.IFS(J153="NOTFOUND",I153,J153&gt;=I153,J153)</f>
        <v/>
      </c>
    </row>
    <row r="154" ht="18" customHeight="1" s="16">
      <c r="A154" s="5" t="n">
        <v>153</v>
      </c>
      <c r="B154" s="5" t="inlineStr">
        <is>
          <t>GU-2405</t>
        </is>
      </c>
      <c r="D154" s="5" t="inlineStr">
        <is>
          <t>ホースビット 1955 スモール ショルダーバッグ</t>
        </is>
      </c>
      <c r="E154" s="5" t="inlineStr">
        <is>
          <t>760196 1AAQD 9022</t>
        </is>
      </c>
      <c r="F154" s="5" t="inlineStr">
        <is>
          <t>ホワイト レザー</t>
        </is>
      </c>
      <c r="G154" s="11" t="inlineStr">
        <is>
          <t>SOLD</t>
        </is>
      </c>
      <c r="H154" s="22" t="inlineStr">
        <is>
          <t>SOLD</t>
        </is>
      </c>
      <c r="I154" s="18" t="n">
        <v>231000</v>
      </c>
      <c r="J154" s="23" t="inlineStr">
        <is>
          <t>NOTFOUND</t>
        </is>
      </c>
      <c r="K154" s="20" t="n">
        <v>0</v>
      </c>
      <c r="L154" s="4" t="inlineStr">
        <is>
          <t>https://www.gucci.com/jp/ja/pr/women/handbags/crossbody-bags-for-women/gucci-horsebit-1955-small-shoulder-bag-p-7601961AAQD9022</t>
        </is>
      </c>
      <c r="M154" s="5">
        <f t="array" ref="M154">_xlfn.IFS(J154="NOTFOUND",I154,J154&gt;=I154,J154)</f>
        <v/>
      </c>
    </row>
    <row r="155" ht="18" customHeight="1" s="16">
      <c r="A155" s="5" t="n">
        <v>154</v>
      </c>
      <c r="B155" s="5" t="inlineStr">
        <is>
          <t>GU-2406</t>
        </is>
      </c>
      <c r="D155" s="5" t="inlineStr">
        <is>
          <t>ホースビット 1955 スモール ショルダーバッグ</t>
        </is>
      </c>
      <c r="E155" s="5" t="inlineStr">
        <is>
          <t>760196 1AAQD 2361</t>
        </is>
      </c>
      <c r="F155" s="5" t="inlineStr">
        <is>
          <t>ブラウン レザー</t>
        </is>
      </c>
      <c r="G155" s="11" t="inlineStr">
        <is>
          <t>SOLD</t>
        </is>
      </c>
      <c r="H155" s="22" t="inlineStr">
        <is>
          <t>SOLD</t>
        </is>
      </c>
      <c r="I155" s="18" t="n">
        <v>231000</v>
      </c>
      <c r="J155" s="23" t="inlineStr">
        <is>
          <t>NOTFOUND</t>
        </is>
      </c>
      <c r="K155" s="20" t="n">
        <v>0</v>
      </c>
      <c r="L155" s="4" t="inlineStr">
        <is>
          <t>https://www.gucci.com/jp/ja/pr/women/handbags/crossbody-bags-for-women/gucci-horsebit-1955-small-shoulder-bag-p-7601961AAQD2361</t>
        </is>
      </c>
      <c r="M155" s="5">
        <f t="array" ref="M155">_xlfn.IFS(J155="NOTFOUND",I155,J155&gt;=I155,J155)</f>
        <v/>
      </c>
    </row>
    <row r="156" ht="18" customHeight="1" s="16">
      <c r="A156" s="5" t="n">
        <v>155</v>
      </c>
      <c r="B156" s="5" t="inlineStr">
        <is>
          <t>GU-2407</t>
        </is>
      </c>
      <c r="D156" s="5" t="inlineStr">
        <is>
          <t>ホースビット 1955 スモール ショルダーバッグ</t>
        </is>
      </c>
      <c r="E156" s="5" t="inlineStr">
        <is>
          <t>760196 1AAQD 1000</t>
        </is>
      </c>
      <c r="F156" s="5" t="inlineStr">
        <is>
          <t>ブラック レザー</t>
        </is>
      </c>
      <c r="G156" s="11" t="inlineStr">
        <is>
          <t>SOLD</t>
        </is>
      </c>
      <c r="H156" s="22" t="inlineStr">
        <is>
          <t>SOLD</t>
        </is>
      </c>
      <c r="I156" s="18" t="n">
        <v>231000</v>
      </c>
      <c r="J156" s="23" t="inlineStr">
        <is>
          <t>NOTFOUND</t>
        </is>
      </c>
      <c r="K156" s="20" t="n">
        <v>0</v>
      </c>
      <c r="L156" s="4" t="inlineStr">
        <is>
          <t>https://www.gucci.com/jp/ja/pr/women/handbags/crossbody-bags-for-women/gucci-horsebit-1955-small-shoulder-bag-p-7601961AAQD1000</t>
        </is>
      </c>
      <c r="M156" s="5">
        <f t="array" ref="M156">_xlfn.IFS(J156="NOTFOUND",I156,J156&gt;=I156,J156)</f>
        <v/>
      </c>
    </row>
    <row r="157" ht="18" customHeight="1" s="16">
      <c r="A157" s="5" t="n">
        <v>156</v>
      </c>
      <c r="B157" s="5" t="inlineStr">
        <is>
          <t>GU-2408</t>
        </is>
      </c>
      <c r="D157" s="5" t="inlineStr">
        <is>
          <t>ホースビット 1955 スモール ショルダーバッグ</t>
        </is>
      </c>
      <c r="E157" s="5" t="inlineStr">
        <is>
          <t>760196 92TCG 8563</t>
        </is>
      </c>
      <c r="F157" s="5" t="inlineStr">
        <is>
          <t>ベージュ＆エボニー</t>
        </is>
      </c>
      <c r="G157" s="11" t="inlineStr">
        <is>
          <t>SOLD</t>
        </is>
      </c>
      <c r="H157" s="22" t="inlineStr">
        <is>
          <t>SOLD</t>
        </is>
      </c>
      <c r="I157" s="18" t="n">
        <v>214500</v>
      </c>
      <c r="J157" s="23" t="inlineStr">
        <is>
          <t>NOTFOUND</t>
        </is>
      </c>
      <c r="K157" s="20" t="n">
        <v>0</v>
      </c>
      <c r="L157" s="4" t="inlineStr">
        <is>
          <t>https://www.gucci.com/jp/ja/pr/women/handbags/crossbody-bags-for-women/gucci-horsebit-1955-small-shoulder-bag-p-76019692TCG8563</t>
        </is>
      </c>
      <c r="M157" s="5">
        <f t="array" ref="M157">_xlfn.IFS(J157="NOTFOUND",I157,J157&gt;=I157,J157)</f>
        <v/>
      </c>
    </row>
    <row r="158" ht="18" customHeight="1" s="16">
      <c r="A158" s="5" t="n">
        <v>157</v>
      </c>
      <c r="B158" s="5" t="inlineStr">
        <is>
          <t>GU-2409</t>
        </is>
      </c>
      <c r="D158" s="5" t="inlineStr">
        <is>
          <t>ホースビット 1955 ミニバッグ</t>
        </is>
      </c>
      <c r="E158" s="5" t="inlineStr">
        <is>
          <t>658574 18YSG 1060</t>
        </is>
      </c>
      <c r="F158" s="5" t="inlineStr">
        <is>
          <t>ブラック レザー</t>
        </is>
      </c>
      <c r="G158" s="10" t="inlineStr">
        <is>
          <t>OneSize</t>
        </is>
      </c>
      <c r="H158" s="17" t="inlineStr">
        <is>
          <t>OneSize</t>
        </is>
      </c>
      <c r="I158" s="18" t="n">
        <v>473000</v>
      </c>
      <c r="J158" s="19" t="n">
        <v>517000</v>
      </c>
      <c r="K158" s="20" t="n">
        <v>5</v>
      </c>
      <c r="L158" s="4" t="inlineStr">
        <is>
          <t>https://www.gucci.com/jp/ja/pr/women/handbags/shoulder-bags-for-women/gucci-horsebit-1955-mini-bag-p-65857418YSG1060</t>
        </is>
      </c>
      <c r="M158" s="5">
        <f t="array" ref="M158">_xlfn.IFS(J158="NOTFOUND",I158,J158&gt;=I158,J158)</f>
        <v/>
      </c>
    </row>
    <row r="159" ht="18" customHeight="1" s="16">
      <c r="A159" s="5" t="n">
        <v>158</v>
      </c>
      <c r="B159" s="5" t="inlineStr">
        <is>
          <t>GU-2410</t>
        </is>
      </c>
      <c r="D159" s="5" t="inlineStr">
        <is>
          <t>ホースビット 1955 ミニバッグ</t>
        </is>
      </c>
      <c r="E159" s="5" t="inlineStr">
        <is>
          <t>658574 HUHHG 8565</t>
        </is>
      </c>
      <c r="F159" s="5" t="inlineStr">
        <is>
          <t>GGスプリーム キャンバス</t>
        </is>
      </c>
      <c r="G159" s="10" t="inlineStr">
        <is>
          <t>OneSize</t>
        </is>
      </c>
      <c r="H159" s="17" t="inlineStr">
        <is>
          <t>OneSize</t>
        </is>
      </c>
      <c r="I159" s="18" t="n">
        <v>412500</v>
      </c>
      <c r="J159" s="19" t="n">
        <v>462000</v>
      </c>
      <c r="K159" s="20" t="n">
        <v>5</v>
      </c>
      <c r="L159" s="4" t="inlineStr">
        <is>
          <t>https://www.gucci.com/jp/ja/pr/women/handbags/shoulder-bags-for-women/gucci-horsebit-1955-mini-bag-p-658574HUHHG8565</t>
        </is>
      </c>
      <c r="M159" s="5">
        <f t="array" ref="M159">_xlfn.IFS(J159="NOTFOUND",I159,J159&gt;=I159,J159)</f>
        <v/>
      </c>
    </row>
    <row r="160" ht="18" customHeight="1" s="16">
      <c r="A160" s="5" t="n">
        <v>159</v>
      </c>
      <c r="B160" s="5" t="inlineStr">
        <is>
          <t>GU-2411</t>
        </is>
      </c>
      <c r="D160" s="5" t="inlineStr">
        <is>
          <t>ホースビット 1955 スモール ショルダーバッグ</t>
        </is>
      </c>
      <c r="E160" s="5" t="inlineStr">
        <is>
          <t>645454 92TCG 8563</t>
        </is>
      </c>
      <c r="F160" s="5" t="inlineStr">
        <is>
          <t xml:space="preserve">  -</t>
        </is>
      </c>
      <c r="G160" s="11" t="inlineStr">
        <is>
          <t>SOLD</t>
        </is>
      </c>
      <c r="H160" s="22" t="inlineStr">
        <is>
          <t>SOLD</t>
        </is>
      </c>
      <c r="I160" s="18" t="n">
        <v>231000</v>
      </c>
      <c r="J160" s="23" t="inlineStr">
        <is>
          <t>NOTFOUND</t>
        </is>
      </c>
      <c r="K160" s="20" t="n">
        <v>0</v>
      </c>
      <c r="L160" s="4" t="inlineStr">
        <is>
          <t>https://www.gucci.com/jp/ja/pr/women/handbags/crossbody-bags-for-women/gucci-horsebit-1955-small-shoulder-bag-p-64545492TCG8563</t>
        </is>
      </c>
      <c r="M160" s="5">
        <f t="array" ref="M160">_xlfn.IFS(J160="NOTFOUND",I160,J160&gt;=I160,J160)</f>
        <v/>
      </c>
    </row>
    <row r="161" ht="18" customHeight="1" s="16">
      <c r="A161" s="5" t="n">
        <v>160</v>
      </c>
      <c r="B161" s="5" t="inlineStr">
        <is>
          <t>GU-2412</t>
        </is>
      </c>
      <c r="D161" s="5" t="inlineStr">
        <is>
          <t>ホースビット 1955 ショルダーバッグ</t>
        </is>
      </c>
      <c r="E161" s="5" t="inlineStr">
        <is>
          <t>602204 92TCG 9761</t>
        </is>
      </c>
      <c r="F161" s="5" t="inlineStr">
        <is>
          <t>GGスプリーム/ホワイト レザー</t>
        </is>
      </c>
      <c r="G161" s="11" t="inlineStr">
        <is>
          <t>SOLD</t>
        </is>
      </c>
      <c r="H161" s="22" t="inlineStr">
        <is>
          <t>SOLD</t>
        </is>
      </c>
      <c r="I161" s="18" t="n">
        <v>412500</v>
      </c>
      <c r="J161" s="23" t="inlineStr">
        <is>
          <t>NOTFOUND</t>
        </is>
      </c>
      <c r="K161" s="20" t="n">
        <v>0</v>
      </c>
      <c r="L161" s="4" t="inlineStr">
        <is>
          <t>https://www.gucci.com/jp/ja/pr/women/handbags/shoulder-bags-for-women/gucci-horsebit-1955-small-shoulder-bag-p-60220492TCG9761</t>
        </is>
      </c>
      <c r="M161" s="5">
        <f t="array" ref="M161">_xlfn.IFS(J161="NOTFOUND",I161,J161&gt;=I161,J161)</f>
        <v/>
      </c>
    </row>
    <row r="162" ht="18" customHeight="1" s="16">
      <c r="A162" s="5" t="n">
        <v>161</v>
      </c>
      <c r="B162" s="5" t="inlineStr">
        <is>
          <t>GU-2413</t>
        </is>
      </c>
      <c r="D162" s="5" t="inlineStr">
        <is>
          <t>GGマーモント スモール ショルダーバッグ</t>
        </is>
      </c>
      <c r="E162" s="5" t="inlineStr">
        <is>
          <t>447632 AADVC 4322</t>
        </is>
      </c>
      <c r="F162" s="5" t="inlineStr">
        <is>
          <t>ライトブルー</t>
        </is>
      </c>
      <c r="G162" s="11" t="inlineStr">
        <is>
          <t>SOLD</t>
        </is>
      </c>
      <c r="H162" s="22" t="inlineStr">
        <is>
          <t>SOLD</t>
        </is>
      </c>
      <c r="I162" s="18" t="n">
        <v>313500</v>
      </c>
      <c r="J162" s="23" t="inlineStr">
        <is>
          <t>NOTFOUND</t>
        </is>
      </c>
      <c r="K162" s="20" t="n">
        <v>0</v>
      </c>
      <c r="L162" s="4" t="inlineStr">
        <is>
          <t>https://www.gucci.com/jp/ja/pr/women/handbags/exclusives-for-women/gg-marmont-small-shoulder-bag-p-447632AADVC4322</t>
        </is>
      </c>
      <c r="M162" s="5">
        <f t="array" ref="M162">_xlfn.IFS(J162="NOTFOUND",I162,J162&gt;=I162,J162)</f>
        <v/>
      </c>
    </row>
    <row r="163" ht="18" customHeight="1" s="16">
      <c r="A163" s="5" t="n">
        <v>162</v>
      </c>
      <c r="B163" s="5" t="inlineStr">
        <is>
          <t>GU-2414</t>
        </is>
      </c>
      <c r="D163" s="5" t="inlineStr">
        <is>
          <t>GGマーモント オンライン限定ミニ ショルダーバッグ</t>
        </is>
      </c>
      <c r="E163" s="5" t="inlineStr">
        <is>
          <t>446744 AADU9 4322</t>
        </is>
      </c>
      <c r="F163" s="5" t="inlineStr">
        <is>
          <t>ライトブルー</t>
        </is>
      </c>
      <c r="G163" s="11" t="inlineStr">
        <is>
          <t>SOLD</t>
        </is>
      </c>
      <c r="H163" s="22" t="inlineStr">
        <is>
          <t>SOLD</t>
        </is>
      </c>
      <c r="I163" s="18" t="n">
        <v>418000</v>
      </c>
      <c r="J163" s="23" t="inlineStr">
        <is>
          <t>NOTFOUND</t>
        </is>
      </c>
      <c r="K163" s="20" t="n">
        <v>0</v>
      </c>
      <c r="L163" s="4" t="inlineStr">
        <is>
          <t>https://www.gucci.com/jp/ja/pr/women/handbags/mini-bags-for-women/gg-marmont-mini-shoulder-bag-p-446744AADU94322</t>
        </is>
      </c>
      <c r="M163" s="5">
        <f t="array" ref="M163">_xlfn.IFS(J163="NOTFOUND",I163,J163&gt;=I163,J163)</f>
        <v/>
      </c>
    </row>
    <row r="164" ht="18" customHeight="1" s="16">
      <c r="A164" s="5" t="n">
        <v>163</v>
      </c>
      <c r="B164" s="5" t="inlineStr">
        <is>
          <t>GU-2415</t>
        </is>
      </c>
      <c r="D164" s="5" t="inlineStr">
        <is>
          <t>オフィディア  スーパーミニバッグ</t>
        </is>
      </c>
      <c r="E164" s="5" t="inlineStr">
        <is>
          <t>781490 96IWG 8745</t>
        </is>
      </c>
      <c r="F164" s="5" t="inlineStr">
        <is>
          <t>ベージュ＆エボニー</t>
        </is>
      </c>
      <c r="G164" s="10" t="inlineStr">
        <is>
          <t>OneSize</t>
        </is>
      </c>
      <c r="H164" s="17" t="inlineStr">
        <is>
          <t>OneSize</t>
        </is>
      </c>
      <c r="I164" s="18" t="n">
        <v>214500</v>
      </c>
      <c r="J164" s="19" t="n">
        <v>217800</v>
      </c>
      <c r="K164" s="20" t="n">
        <v>5</v>
      </c>
      <c r="L164" s="4" t="inlineStr">
        <is>
          <t>https://www.gucci.com/jp/ja/pr/women/handbags/mini-bags-for-women/ophidia-super-mini-bag-p-78149096IWG8745</t>
        </is>
      </c>
      <c r="M164" s="5">
        <f t="array" ref="M164">_xlfn.IFS(J164="NOTFOUND",I164,J164&gt;=I164,J164)</f>
        <v/>
      </c>
    </row>
    <row r="165" ht="18" customHeight="1" s="16">
      <c r="A165" s="5" t="n">
        <v>164</v>
      </c>
      <c r="B165" s="5" t="inlineStr">
        <is>
          <t>GU-2416</t>
        </is>
      </c>
      <c r="D165" s="5" t="inlineStr">
        <is>
          <t>オフィディア  スーパーミニバッグ</t>
        </is>
      </c>
      <c r="E165" s="5" t="inlineStr">
        <is>
          <t>781490 UULAG 9643</t>
        </is>
      </c>
      <c r="F165" s="5" t="inlineStr">
        <is>
          <t>ベージュ＆オートミール</t>
        </is>
      </c>
      <c r="G165" s="10" t="inlineStr">
        <is>
          <t>OneSize</t>
        </is>
      </c>
      <c r="H165" s="17" t="inlineStr">
        <is>
          <t>OneSize</t>
        </is>
      </c>
      <c r="I165" s="18" t="n">
        <v>214500</v>
      </c>
      <c r="J165" s="19" t="n">
        <v>217800</v>
      </c>
      <c r="K165" s="20" t="n">
        <v>5</v>
      </c>
      <c r="L165" s="4" t="inlineStr">
        <is>
          <t>https://www.gucci.com/jp/ja/pr/women/handbags/mini-bags-for-women/ophidia-super-mini-bag-p-781490UULAG9643</t>
        </is>
      </c>
      <c r="M165" s="5">
        <f t="array" ref="M165">_xlfn.IFS(J165="NOTFOUND",I165,J165&gt;=I165,J165)</f>
        <v/>
      </c>
    </row>
    <row r="166" ht="18" customHeight="1" s="16">
      <c r="A166" s="5" t="n">
        <v>165</v>
      </c>
      <c r="B166" s="5" t="inlineStr">
        <is>
          <t>GU-2417</t>
        </is>
      </c>
      <c r="D166" s="5" t="inlineStr">
        <is>
          <t>オフィディア GG スーパーミニ ショルダーバッグ</t>
        </is>
      </c>
      <c r="E166" s="5" t="inlineStr">
        <is>
          <t>772311 K9GSG 8367</t>
        </is>
      </c>
      <c r="F166" s="5" t="inlineStr">
        <is>
          <t>ベージュ＆エボニー</t>
        </is>
      </c>
      <c r="G166" s="10" t="inlineStr">
        <is>
          <t>OneSize</t>
        </is>
      </c>
      <c r="H166" s="17" t="inlineStr">
        <is>
          <t>OneSize</t>
        </is>
      </c>
      <c r="I166" s="18" t="n">
        <v>149600</v>
      </c>
      <c r="J166" s="19" t="n">
        <v>149600</v>
      </c>
      <c r="K166" s="20" t="n">
        <v>5</v>
      </c>
      <c r="L166" s="4" t="inlineStr">
        <is>
          <t>https://www.gucci.com/jp/ja/pr/women/handbags/mini-bags-for-women/ophidia-gg-super-mini-shoulder-bag-p-772311K9GSG8367</t>
        </is>
      </c>
      <c r="M166" s="5">
        <f t="array" ref="M166">_xlfn.IFS(J166="NOTFOUND",I166,J166&gt;=I166,J166)</f>
        <v/>
      </c>
    </row>
    <row r="167" ht="18" customHeight="1" s="16">
      <c r="A167" s="5" t="n">
        <v>166</v>
      </c>
      <c r="B167" s="5" t="inlineStr">
        <is>
          <t>GU-2418</t>
        </is>
      </c>
      <c r="D167" s="5" t="inlineStr">
        <is>
          <t>オフィディア GG スーパーミニ ショルダーバッグ</t>
        </is>
      </c>
      <c r="E167" s="5" t="inlineStr">
        <is>
          <t>772308 K9GSG 8367</t>
        </is>
      </c>
      <c r="F167" s="5" t="inlineStr">
        <is>
          <t xml:space="preserve">  -</t>
        </is>
      </c>
      <c r="G167" s="11" t="inlineStr">
        <is>
          <t>SOLD</t>
        </is>
      </c>
      <c r="H167" s="22" t="inlineStr">
        <is>
          <t>SOLD</t>
        </is>
      </c>
      <c r="I167" s="18" t="n">
        <v>176000</v>
      </c>
      <c r="J167" s="23" t="inlineStr">
        <is>
          <t>NOTFOUND</t>
        </is>
      </c>
      <c r="K167" s="20" t="n">
        <v>0</v>
      </c>
      <c r="L167" s="4" t="inlineStr">
        <is>
          <t>https://www.gucci.com/jp/ja/pr/women/handbags/mini-bags-for-women/ophidia-gg-super-mini-shoulder-bag-p-772308K9GSG8367</t>
        </is>
      </c>
      <c r="M167" s="5">
        <f t="array" ref="M167">_xlfn.IFS(J167="NOTFOUND",I167,J167&gt;=I167,J167)</f>
        <v/>
      </c>
    </row>
    <row r="168" ht="18" customHeight="1" s="16">
      <c r="A168" s="5" t="n">
        <v>167</v>
      </c>
      <c r="B168" s="5" t="inlineStr">
        <is>
          <t>GU-2419</t>
        </is>
      </c>
      <c r="D168" s="5" t="inlineStr">
        <is>
          <t>オフィディア ミニバッグ</t>
        </is>
      </c>
      <c r="E168" s="5" t="inlineStr">
        <is>
          <t>764961 96IWG 8745</t>
        </is>
      </c>
      <c r="F168" s="5" t="inlineStr">
        <is>
          <t>ベージュ＆エボニー</t>
        </is>
      </c>
      <c r="G168" s="10" t="inlineStr">
        <is>
          <t>OneSize</t>
        </is>
      </c>
      <c r="H168" s="17" t="inlineStr">
        <is>
          <t>OneSize</t>
        </is>
      </c>
      <c r="I168" s="18" t="n">
        <v>149600</v>
      </c>
      <c r="J168" s="19" t="n">
        <v>154000</v>
      </c>
      <c r="K168" s="20" t="n">
        <v>5</v>
      </c>
      <c r="L168" s="4" t="inlineStr">
        <is>
          <t>https://www.gucci.com/jp/ja/pr/women/handbags/mini-bags-for-women/ophidia-mini-bag-p-76496196IWG8745</t>
        </is>
      </c>
      <c r="M168" s="5">
        <f t="array" ref="M168">_xlfn.IFS(J168="NOTFOUND",I168,J168&gt;=I168,J168)</f>
        <v/>
      </c>
    </row>
    <row r="169" ht="18" customHeight="1" s="16">
      <c r="A169" s="5" t="n">
        <v>168</v>
      </c>
      <c r="B169" s="5" t="inlineStr">
        <is>
          <t>GU-2420</t>
        </is>
      </c>
      <c r="D169" s="5" t="inlineStr">
        <is>
          <t>ディオニュソス ミニ トップハンドルバッグ</t>
        </is>
      </c>
      <c r="E169" s="5" t="inlineStr">
        <is>
          <t>752029 KHNRN 8642</t>
        </is>
      </c>
      <c r="F169" s="5" t="inlineStr">
        <is>
          <t xml:space="preserve">  -</t>
        </is>
      </c>
      <c r="G169" s="11" t="inlineStr">
        <is>
          <t>SOLD</t>
        </is>
      </c>
      <c r="H169" s="22" t="inlineStr">
        <is>
          <t>SOLD</t>
        </is>
      </c>
      <c r="I169" s="18" t="n">
        <v>297000</v>
      </c>
      <c r="J169" s="23" t="inlineStr">
        <is>
          <t>NOTFOUND</t>
        </is>
      </c>
      <c r="K169" s="20" t="n">
        <v>0</v>
      </c>
      <c r="L169" s="4" t="inlineStr">
        <is>
          <t>https://www.gucci.com/jp/ja/pr/women/handbags/mini-bags-for-women/dionysus-mini-top-handle-bag-p-752029KHNRN8642</t>
        </is>
      </c>
      <c r="M169" s="5">
        <f t="array" ref="M169">_xlfn.IFS(J169="NOTFOUND",I169,J169&gt;=I169,J169)</f>
        <v/>
      </c>
    </row>
    <row r="170" ht="18" customHeight="1" s="16">
      <c r="A170" s="5" t="n">
        <v>169</v>
      </c>
      <c r="B170" s="5" t="inlineStr">
        <is>
          <t>GU-2421</t>
        </is>
      </c>
      <c r="D170" s="5" t="inlineStr">
        <is>
          <t>GG ハーフムーンシェイプ ミニバッグ</t>
        </is>
      </c>
      <c r="E170" s="5" t="inlineStr">
        <is>
          <t>726843 92TCG 8563</t>
        </is>
      </c>
      <c r="F170" s="5" t="inlineStr">
        <is>
          <t xml:space="preserve">  -</t>
        </is>
      </c>
      <c r="G170" s="11" t="inlineStr">
        <is>
          <t>SOLD</t>
        </is>
      </c>
      <c r="H170" s="22" t="inlineStr">
        <is>
          <t>SOLD</t>
        </is>
      </c>
      <c r="I170" s="18" t="n">
        <v>176000</v>
      </c>
      <c r="J170" s="23" t="inlineStr">
        <is>
          <t>NOTFOUND</t>
        </is>
      </c>
      <c r="K170" s="20" t="n">
        <v>0</v>
      </c>
      <c r="L170" s="4" t="inlineStr">
        <is>
          <t>https://www.gucci.com/jp/ja/pr/women/handbags/mini-bags-for-women/half-moon-shaped-mini-bag-with-interlocking-g-p-72684392TCG8563</t>
        </is>
      </c>
      <c r="M170" s="5">
        <f t="array" ref="M170">_xlfn.IFS(J170="NOTFOUND",I170,J170&gt;=I170,J170)</f>
        <v/>
      </c>
    </row>
    <row r="171" ht="18" customHeight="1" s="16">
      <c r="A171" s="5" t="n">
        <v>170</v>
      </c>
      <c r="B171" s="5" t="inlineStr">
        <is>
          <t>GU-2422</t>
        </is>
      </c>
      <c r="D171" s="5" t="inlineStr">
        <is>
          <t>ホースビット 1955 ミニバッグ</t>
        </is>
      </c>
      <c r="E171" s="5" t="inlineStr">
        <is>
          <t>699296 92TCG 8563</t>
        </is>
      </c>
      <c r="F171" s="5" t="inlineStr">
        <is>
          <t>ベージュ＆エボニー</t>
        </is>
      </c>
      <c r="G171" s="10" t="inlineStr">
        <is>
          <t>OneSize</t>
        </is>
      </c>
      <c r="H171" s="17" t="inlineStr">
        <is>
          <t>OneSize</t>
        </is>
      </c>
      <c r="I171" s="18" t="n">
        <v>183700</v>
      </c>
      <c r="J171" s="19" t="n">
        <v>192500</v>
      </c>
      <c r="K171" s="20" t="n">
        <v>5</v>
      </c>
      <c r="L171" s="4" t="inlineStr">
        <is>
          <t>https://www.gucci.com/jp/ja/pr/women/handbags/mini-bags-for-women/gucci-horsebit-1955-mini-bag-p-69929692TCG8563</t>
        </is>
      </c>
      <c r="M171" s="5">
        <f t="array" ref="M171">_xlfn.IFS(J171="NOTFOUND",I171,J171&gt;=I171,J171)</f>
        <v/>
      </c>
    </row>
    <row r="172" ht="18" customHeight="1" s="16">
      <c r="A172" s="5" t="n">
        <v>171</v>
      </c>
      <c r="B172" s="5" t="inlineStr">
        <is>
          <t>GU-2423</t>
        </is>
      </c>
      <c r="D172" s="5" t="inlineStr">
        <is>
          <t>ホースビット 1955 ミニバッグ</t>
        </is>
      </c>
      <c r="E172" s="5" t="inlineStr">
        <is>
          <t>699296 UULBG 9683</t>
        </is>
      </c>
      <c r="F172" s="5" t="inlineStr">
        <is>
          <t>ベージュ＆ホワイト</t>
        </is>
      </c>
      <c r="G172" s="10" t="inlineStr">
        <is>
          <t>OneSize</t>
        </is>
      </c>
      <c r="H172" s="17" t="inlineStr">
        <is>
          <t>OneSize</t>
        </is>
      </c>
      <c r="I172" s="18" t="n">
        <v>183700</v>
      </c>
      <c r="J172" s="19" t="n">
        <v>192500</v>
      </c>
      <c r="K172" s="20" t="n">
        <v>5</v>
      </c>
      <c r="L172" s="4" t="inlineStr">
        <is>
          <t>https://www.gucci.com/jp/ja/pr/women/handbags/mini-bags-for-women/gucci-horsebit-1955-mini-bag-p-699296UULBG9683</t>
        </is>
      </c>
      <c r="M172" s="5">
        <f t="array" ref="M172">_xlfn.IFS(J172="NOTFOUND",I172,J172&gt;=I172,J172)</f>
        <v/>
      </c>
    </row>
    <row r="173" ht="18" customHeight="1" s="16">
      <c r="A173" s="5" t="n">
        <v>172</v>
      </c>
      <c r="B173" s="5" t="inlineStr">
        <is>
          <t>GU-2424</t>
        </is>
      </c>
      <c r="D173" s="5" t="inlineStr">
        <is>
          <t>オフィディア GG ミニバッグ</t>
        </is>
      </c>
      <c r="E173" s="5" t="inlineStr">
        <is>
          <t>658551 96IWG 8745</t>
        </is>
      </c>
      <c r="F173" s="5" t="inlineStr">
        <is>
          <t xml:space="preserve">  -</t>
        </is>
      </c>
      <c r="G173" s="10" t="inlineStr">
        <is>
          <t>OneSize</t>
        </is>
      </c>
      <c r="H173" s="17" t="inlineStr">
        <is>
          <t>OneSize</t>
        </is>
      </c>
      <c r="I173" s="18" t="n">
        <v>137500</v>
      </c>
      <c r="J173" s="19" t="n">
        <v>143000</v>
      </c>
      <c r="K173" s="20" t="n">
        <v>5</v>
      </c>
      <c r="L173" s="4" t="inlineStr">
        <is>
          <t>https://www.gucci.com/jp/ja/pr/women/handbags/mini-bags-for-women/ophidia-gg-mini-bag-p-65855196IWG8745</t>
        </is>
      </c>
      <c r="M173" s="5">
        <f t="array" ref="M173">_xlfn.IFS(J173="NOTFOUND",I173,J173&gt;=I173,J173)</f>
        <v/>
      </c>
    </row>
    <row r="174" ht="18" customHeight="1" s="16">
      <c r="A174" s="5" t="n">
        <v>173</v>
      </c>
      <c r="B174" s="5" t="inlineStr">
        <is>
          <t>GU-2425</t>
        </is>
      </c>
      <c r="D174" s="5" t="inlineStr">
        <is>
          <t>ホースビット 1955 ミニバッグ</t>
        </is>
      </c>
      <c r="E174" s="5" t="inlineStr">
        <is>
          <t>625615 92TCG 8563</t>
        </is>
      </c>
      <c r="F174" s="5" t="inlineStr">
        <is>
          <t xml:space="preserve">  -</t>
        </is>
      </c>
      <c r="G174" s="10" t="inlineStr">
        <is>
          <t>OneSize</t>
        </is>
      </c>
      <c r="H174" s="17" t="inlineStr">
        <is>
          <t>OneSize</t>
        </is>
      </c>
      <c r="I174" s="18" t="n">
        <v>171600</v>
      </c>
      <c r="J174" s="19" t="n">
        <v>171600</v>
      </c>
      <c r="K174" s="20" t="n">
        <v>5</v>
      </c>
      <c r="L174" s="4" t="inlineStr">
        <is>
          <t>https://www.gucci.com/jp/ja/pr/women/handbags/mini-bags-for-women/gucci-horsebit-1955-mini-bag-p-62561592TCG8563</t>
        </is>
      </c>
      <c r="M174" s="5">
        <f t="array" ref="M174">_xlfn.IFS(J174="NOTFOUND",I174,J174&gt;=I174,J174)</f>
        <v/>
      </c>
    </row>
    <row r="175" ht="18" customHeight="1" s="16">
      <c r="A175" s="5" t="n">
        <v>174</v>
      </c>
      <c r="B175" s="5" t="inlineStr">
        <is>
          <t>GU-2426</t>
        </is>
      </c>
      <c r="D175" s="5" t="inlineStr">
        <is>
          <t>オフィディア GG ミニバッグ</t>
        </is>
      </c>
      <c r="E175" s="5" t="inlineStr">
        <is>
          <t>517350 96IWN 4076</t>
        </is>
      </c>
      <c r="F175" s="5" t="inlineStr">
        <is>
          <t>ベージュ＆ブルー</t>
        </is>
      </c>
      <c r="G175" s="11" t="inlineStr">
        <is>
          <t>SOLD</t>
        </is>
      </c>
      <c r="H175" s="22" t="inlineStr">
        <is>
          <t>SOLD</t>
        </is>
      </c>
      <c r="I175" s="18" t="n">
        <v>149600</v>
      </c>
      <c r="J175" s="23" t="inlineStr">
        <is>
          <t>NOTFOUND</t>
        </is>
      </c>
      <c r="K175" s="20" t="n">
        <v>0</v>
      </c>
      <c r="L175" s="4" t="inlineStr">
        <is>
          <t>https://www.gucci.com/jp/ja/pr/women/handbags/crossbody-bags-for-women/ophidia-gg-mini-bag-p-51735096IWN4076</t>
        </is>
      </c>
      <c r="M175" s="5">
        <f t="array" ref="M175">_xlfn.IFS(J175="NOTFOUND",I175,J175&gt;=I175,J175)</f>
        <v/>
      </c>
    </row>
    <row r="176" ht="18" customHeight="1" s="16">
      <c r="A176" s="5" t="n">
        <v>175</v>
      </c>
      <c r="B176" s="5" t="inlineStr">
        <is>
          <t>GU-2427</t>
        </is>
      </c>
      <c r="D176" s="5" t="inlineStr">
        <is>
          <t>ディオニュソス GGスプリーム キャンバス スーパーミニバッグ</t>
        </is>
      </c>
      <c r="E176" s="5" t="inlineStr">
        <is>
          <t>476432 KHNRN 8642</t>
        </is>
      </c>
      <c r="F176" s="5" t="inlineStr">
        <is>
          <t xml:space="preserve">  -</t>
        </is>
      </c>
      <c r="G176" s="10" t="inlineStr">
        <is>
          <t>OneSize</t>
        </is>
      </c>
      <c r="H176" s="17" t="inlineStr">
        <is>
          <t>OneSize</t>
        </is>
      </c>
      <c r="I176" s="18" t="n">
        <v>154000</v>
      </c>
      <c r="J176" s="19" t="n">
        <v>156200</v>
      </c>
      <c r="K176" s="20" t="n">
        <v>5</v>
      </c>
      <c r="L176" s="4" t="inlineStr">
        <is>
          <t>https://www.gucci.com/jp/ja/pr/women/handbags/mini-bags-for-women/dionysus-gg-supreme-super-mini-bag-p-476432KHNRN8642</t>
        </is>
      </c>
      <c r="M176" s="5">
        <f t="array" ref="M176">_xlfn.IFS(J176="NOTFOUND",I176,J176&gt;=I176,J176)</f>
        <v/>
      </c>
    </row>
    <row r="177" ht="18" customHeight="1" s="16">
      <c r="A177" s="5" t="n">
        <v>176</v>
      </c>
      <c r="B177" s="5" t="inlineStr">
        <is>
          <t>GU-2428</t>
        </is>
      </c>
      <c r="D177" s="5" t="inlineStr">
        <is>
          <t>パドロック ミニ ショルダーバッグ</t>
        </is>
      </c>
      <c r="E177" s="5" t="inlineStr">
        <is>
          <t>735103 KLQJG 9785</t>
        </is>
      </c>
      <c r="F177" s="5" t="inlineStr">
        <is>
          <t xml:space="preserve">  -</t>
        </is>
      </c>
      <c r="G177" s="10" t="inlineStr">
        <is>
          <t>OneSize</t>
        </is>
      </c>
      <c r="H177" s="17" t="inlineStr">
        <is>
          <t>OneSize</t>
        </is>
      </c>
      <c r="I177" s="18" t="n">
        <v>330000</v>
      </c>
      <c r="J177" s="19" t="n">
        <v>349800</v>
      </c>
      <c r="K177" s="20" t="n">
        <v>5</v>
      </c>
      <c r="L177" s="4" t="inlineStr">
        <is>
          <t>https://www.gucci.com/jp/ja/pr/women/handbags/shoulder-bags-for-women/chain-bags-for-women/padlock-mini-shoulder-bag-p-735103KLQJG9785</t>
        </is>
      </c>
      <c r="M177" s="5">
        <f t="array" ref="M177">_xlfn.IFS(J177="NOTFOUND",I177,J177&gt;=I177,J177)</f>
        <v/>
      </c>
    </row>
    <row r="178" ht="18" customHeight="1" s="16">
      <c r="A178" s="5" t="n">
        <v>177</v>
      </c>
      <c r="B178" s="5" t="inlineStr">
        <is>
          <t>GU-2429</t>
        </is>
      </c>
      <c r="D178" s="5" t="inlineStr">
        <is>
          <t>ルーチェ ミニ ショルダーバッグ</t>
        </is>
      </c>
      <c r="E178" s="5" t="inlineStr">
        <is>
          <t>790038 FADHW 9742</t>
        </is>
      </c>
      <c r="F178" s="5" t="inlineStr">
        <is>
          <t xml:space="preserve">  -</t>
        </is>
      </c>
      <c r="G178" s="11" t="inlineStr">
        <is>
          <t>SOLD</t>
        </is>
      </c>
      <c r="H178" s="22" t="inlineStr">
        <is>
          <t>SOLD</t>
        </is>
      </c>
      <c r="I178" s="18" t="n">
        <v>269500</v>
      </c>
      <c r="J178" s="23" t="inlineStr">
        <is>
          <t>NOTFOUND</t>
        </is>
      </c>
      <c r="K178" s="20" t="n">
        <v>0</v>
      </c>
      <c r="L178" s="4" t="inlineStr">
        <is>
          <t>https://www.gucci.com/jp/ja/pr/women/handbags/mini-bags-for-women/gucci-luce-mini-shoulder-bag-p-790038FADHW9742</t>
        </is>
      </c>
      <c r="M178" s="5">
        <f t="array" ref="M178">_xlfn.IFS(J178="NOTFOUND",I178,J178&gt;=I178,J178)</f>
        <v/>
      </c>
    </row>
    <row r="179" ht="18" customHeight="1" s="16">
      <c r="A179" s="5" t="n">
        <v>178</v>
      </c>
      <c r="B179" s="5" t="inlineStr">
        <is>
          <t>GU-2430</t>
        </is>
      </c>
      <c r="D179" s="5" t="inlineStr">
        <is>
          <t>ルーチェ スモール ショルダーバッグ</t>
        </is>
      </c>
      <c r="E179" s="5" t="inlineStr">
        <is>
          <t>786027 FADAC 9762</t>
        </is>
      </c>
      <c r="F179" s="5" t="inlineStr">
        <is>
          <t xml:space="preserve">ベージュ＆エボニー </t>
        </is>
      </c>
      <c r="G179" s="11" t="inlineStr">
        <is>
          <t>SOLD</t>
        </is>
      </c>
      <c r="H179" s="22" t="inlineStr">
        <is>
          <t>SOLD</t>
        </is>
      </c>
      <c r="I179" s="18" t="n">
        <v>423500</v>
      </c>
      <c r="J179" s="23" t="inlineStr">
        <is>
          <t>NOTFOUND</t>
        </is>
      </c>
      <c r="K179" s="20" t="n">
        <v>0</v>
      </c>
      <c r="L179" s="4" t="inlineStr">
        <is>
          <t>https://www.gucci.com/jp/ja/pr/women/handbags/shoulder-bags-for-women/gucci-luce-small-shoulder-bag-p-786027FADAC9762</t>
        </is>
      </c>
      <c r="M179" s="5">
        <f t="array" ref="M179">_xlfn.IFS(J179="NOTFOUND",I179,J179&gt;=I179,J179)</f>
        <v/>
      </c>
    </row>
    <row r="180" ht="18" customHeight="1" s="16">
      <c r="A180" s="5" t="n">
        <v>179</v>
      </c>
      <c r="B180" s="5" t="inlineStr">
        <is>
          <t>GU-2431</t>
        </is>
      </c>
      <c r="D180" s="5" t="inlineStr">
        <is>
          <t>ルーチェ スモール ショルダーバッグ</t>
        </is>
      </c>
      <c r="E180" s="5" t="inlineStr">
        <is>
          <t>786027 FADAC 8559</t>
        </is>
      </c>
      <c r="F180" s="5" t="inlineStr">
        <is>
          <t>ベージュ＆ブルー キャンバス</t>
        </is>
      </c>
      <c r="G180" s="11" t="inlineStr">
        <is>
          <t>SOLD</t>
        </is>
      </c>
      <c r="H180" s="22" t="inlineStr">
        <is>
          <t>SOLD</t>
        </is>
      </c>
      <c r="I180" s="18" t="n">
        <v>423500</v>
      </c>
      <c r="J180" s="23" t="inlineStr">
        <is>
          <t>NOTFOUND</t>
        </is>
      </c>
      <c r="K180" s="20" t="n">
        <v>0</v>
      </c>
      <c r="L180" s="4" t="inlineStr">
        <is>
          <t>https://www.gucci.com/jp/ja/pr/women/handbags/shoulder-bags-for-women/gucci-luce-small-shoulder-bag-p-786027FADAC8559</t>
        </is>
      </c>
      <c r="M180" s="5">
        <f t="array" ref="M180">_xlfn.IFS(J180="NOTFOUND",I180,J180&gt;=I180,J180)</f>
        <v/>
      </c>
    </row>
    <row r="181" ht="18" customHeight="1" s="16">
      <c r="A181" s="5" t="n">
        <v>180</v>
      </c>
      <c r="B181" s="5" t="inlineStr">
        <is>
          <t>GU-2432</t>
        </is>
      </c>
      <c r="D181" s="5" t="inlineStr">
        <is>
          <t>ルーチェ スモール ショルダーバッグ</t>
        </is>
      </c>
      <c r="E181" s="5" t="inlineStr">
        <is>
          <t>786027 FADAC 1060</t>
        </is>
      </c>
      <c r="F181" s="5" t="inlineStr">
        <is>
          <t xml:space="preserve">ブラック オリジナル </t>
        </is>
      </c>
      <c r="G181" s="11" t="inlineStr">
        <is>
          <t>SOLD</t>
        </is>
      </c>
      <c r="H181" s="22" t="inlineStr">
        <is>
          <t>SOLD</t>
        </is>
      </c>
      <c r="I181" s="18" t="n">
        <v>423500</v>
      </c>
      <c r="J181" s="23" t="inlineStr">
        <is>
          <t>NOTFOUND</t>
        </is>
      </c>
      <c r="K181" s="20" t="n">
        <v>0</v>
      </c>
      <c r="L181" s="4" t="inlineStr">
        <is>
          <t>https://www.gucci.com/jp/ja/pr/women/handbags/shoulder-bags-for-women/gucci-luce-small-shoulder-bag-p-786027FADAC1060</t>
        </is>
      </c>
      <c r="M181" s="5">
        <f t="array" ref="M181">_xlfn.IFS(J181="NOTFOUND",I181,J181&gt;=I181,J181)</f>
        <v/>
      </c>
    </row>
    <row r="182" ht="18" customHeight="1" s="16">
      <c r="A182" s="5" t="n">
        <v>181</v>
      </c>
      <c r="B182" s="5" t="inlineStr">
        <is>
          <t>GU-2433</t>
        </is>
      </c>
      <c r="D182" s="5" t="inlineStr">
        <is>
          <t>オリジナルGG ミニ バケットバッグ</t>
        </is>
      </c>
      <c r="E182" s="5" t="inlineStr">
        <is>
          <t>782919 FADAC 1060</t>
        </is>
      </c>
      <c r="F182" s="5" t="inlineStr">
        <is>
          <t xml:space="preserve">ブラック オリジナル </t>
        </is>
      </c>
      <c r="G182" s="11" t="inlineStr">
        <is>
          <t>SOLD</t>
        </is>
      </c>
      <c r="H182" s="22" t="inlineStr">
        <is>
          <t>SOLD</t>
        </is>
      </c>
      <c r="I182" s="18" t="n">
        <v>313500</v>
      </c>
      <c r="J182" s="23" t="inlineStr">
        <is>
          <t>NOTFOUND</t>
        </is>
      </c>
      <c r="K182" s="20" t="n">
        <v>0</v>
      </c>
      <c r="L182" s="4" t="inlineStr">
        <is>
          <t>https://www.gucci.com/jp/ja/pr/women/handbags/shoulder-bags-for-women/bucket-bags-for-women/original-gg-mini-bucket-bag-p-782919FADAC1060</t>
        </is>
      </c>
      <c r="M182" s="5">
        <f t="array" ref="M182">_xlfn.IFS(J182="NOTFOUND",I182,J182&gt;=I182,J182)</f>
        <v/>
      </c>
    </row>
    <row r="183" ht="18" customHeight="1" s="16">
      <c r="A183" s="5" t="n">
        <v>182</v>
      </c>
      <c r="B183" s="5" t="inlineStr">
        <is>
          <t>GU-2434</t>
        </is>
      </c>
      <c r="D183" s="5" t="inlineStr">
        <is>
          <t>オリジナルGG ミニ バケットバッグ</t>
        </is>
      </c>
      <c r="E183" s="5" t="inlineStr">
        <is>
          <t>782919 FADAC 9762</t>
        </is>
      </c>
      <c r="F183" s="5" t="inlineStr">
        <is>
          <t xml:space="preserve">ベージュ＆エボニー </t>
        </is>
      </c>
      <c r="G183" s="11" t="inlineStr">
        <is>
          <t>SOLD</t>
        </is>
      </c>
      <c r="H183" s="22" t="inlineStr">
        <is>
          <t>SOLD</t>
        </is>
      </c>
      <c r="I183" s="18" t="n">
        <v>313500</v>
      </c>
      <c r="J183" s="23" t="inlineStr">
        <is>
          <t>NOTFOUND</t>
        </is>
      </c>
      <c r="K183" s="20" t="n">
        <v>0</v>
      </c>
      <c r="L183" s="4" t="inlineStr">
        <is>
          <t>https://www.gucci.com/jp/ja/pr/women/handbags/shoulder-bags-for-women/bucket-bags-for-women/original-gg-mini-bucket-bag-p-782919FADAC9762</t>
        </is>
      </c>
      <c r="M183" s="5">
        <f t="array" ref="M183">_xlfn.IFS(J183="NOTFOUND",I183,J183&gt;=I183,J183)</f>
        <v/>
      </c>
    </row>
    <row r="184" ht="18" customHeight="1" s="16">
      <c r="A184" s="5" t="n">
        <v>183</v>
      </c>
      <c r="B184" s="5" t="inlineStr">
        <is>
          <t>GU-2435</t>
        </is>
      </c>
      <c r="D184" s="5" t="inlineStr">
        <is>
          <t>オリジナルGG ミニ バケット ショルダーバッグ</t>
        </is>
      </c>
      <c r="E184" s="5" t="inlineStr">
        <is>
          <t>782919 FADAC 8559</t>
        </is>
      </c>
      <c r="F184" s="5" t="inlineStr">
        <is>
          <t>ベージュ＆ブルー キャンバス</t>
        </is>
      </c>
      <c r="G184" s="11" t="inlineStr">
        <is>
          <t>SOLD</t>
        </is>
      </c>
      <c r="H184" s="22" t="inlineStr">
        <is>
          <t>SOLD</t>
        </is>
      </c>
      <c r="I184" s="18" t="n">
        <v>313500</v>
      </c>
      <c r="J184" s="23" t="inlineStr">
        <is>
          <t>NOTFOUND</t>
        </is>
      </c>
      <c r="K184" s="20" t="n">
        <v>0</v>
      </c>
      <c r="L184" s="4" t="inlineStr">
        <is>
          <t>https://www.gucci.com/jp/ja/pr/women/handbags/shoulder-bags-for-women/bucket-bags-for-women/original-gg-mini-bucket-shoulder-bag-p-782919FADAC8559</t>
        </is>
      </c>
      <c r="M184" s="5">
        <f t="array" ref="M184">_xlfn.IFS(J184="NOTFOUND",I184,J184&gt;=I184,J184)</f>
        <v/>
      </c>
    </row>
    <row r="185" ht="18" customHeight="1" s="16">
      <c r="A185" s="5" t="n">
        <v>184</v>
      </c>
      <c r="B185" s="5" t="inlineStr">
        <is>
          <t>GU-2436</t>
        </is>
      </c>
      <c r="D185" s="5" t="inlineStr">
        <is>
          <t>ミニ バケット ショルダーバッグ</t>
        </is>
      </c>
      <c r="E185" s="5" t="inlineStr">
        <is>
          <t>782908 AADDY 1060</t>
        </is>
      </c>
      <c r="F185" s="5" t="inlineStr">
        <is>
          <t>ブラック レザー</t>
        </is>
      </c>
      <c r="G185" s="11" t="inlineStr">
        <is>
          <t>SOLD</t>
        </is>
      </c>
      <c r="H185" s="22" t="inlineStr">
        <is>
          <t>SOLD</t>
        </is>
      </c>
      <c r="I185" s="18" t="n">
        <v>341000</v>
      </c>
      <c r="J185" s="23" t="inlineStr">
        <is>
          <t>NOTFOUND</t>
        </is>
      </c>
      <c r="K185" s="20" t="n">
        <v>0</v>
      </c>
      <c r="L185" s="4" t="inlineStr">
        <is>
          <t>https://www.gucci.com/jp/ja/pr/women/handbags/shoulder-bags-for-women/bucket-bags-for-women/mini-bucket-shoulder-bag-p-782908AADDY1060</t>
        </is>
      </c>
      <c r="M185" s="5">
        <f t="array" ref="M185">_xlfn.IFS(J185="NOTFOUND",I185,J185&gt;=I185,J185)</f>
        <v/>
      </c>
    </row>
    <row r="186" ht="18" customHeight="1" s="16">
      <c r="A186" s="5" t="n">
        <v>185</v>
      </c>
      <c r="B186" s="5" t="inlineStr">
        <is>
          <t>GU-2437</t>
        </is>
      </c>
      <c r="D186" s="5" t="inlineStr">
        <is>
          <t>ミディアム バケット ショルダーバッグ</t>
        </is>
      </c>
      <c r="E186" s="5" t="inlineStr">
        <is>
          <t>782904 AADDY 1060</t>
        </is>
      </c>
      <c r="F186" s="5" t="inlineStr">
        <is>
          <t xml:space="preserve">  -</t>
        </is>
      </c>
      <c r="G186" s="11" t="inlineStr">
        <is>
          <t>SOLD</t>
        </is>
      </c>
      <c r="H186" s="22" t="inlineStr">
        <is>
          <t>SOLD</t>
        </is>
      </c>
      <c r="I186" s="18" t="n">
        <v>423500</v>
      </c>
      <c r="J186" s="23" t="inlineStr">
        <is>
          <t>NOTFOUND</t>
        </is>
      </c>
      <c r="K186" s="20" t="n">
        <v>0</v>
      </c>
      <c r="L186" s="4" t="inlineStr">
        <is>
          <t>https://www.gucci.com/jp/ja/pr/women/handbags/shoulder-bags-for-women/bucket-bags-for-women/medium-bucket-shoulder-bag-p-782904AADDY1060</t>
        </is>
      </c>
      <c r="M186" s="5">
        <f t="array" ref="M186">_xlfn.IFS(J186="NOTFOUND",I186,J186&gt;=I186,J186)</f>
        <v/>
      </c>
    </row>
    <row r="187" ht="18" customHeight="1" s="16">
      <c r="A187" s="5" t="n">
        <v>186</v>
      </c>
      <c r="B187" s="5" t="inlineStr">
        <is>
          <t>GU-2438</t>
        </is>
      </c>
      <c r="D187" s="5" t="inlineStr">
        <is>
          <t>ムーンサイド ミニ ショルダーバッグ</t>
        </is>
      </c>
      <c r="E187" s="5" t="inlineStr">
        <is>
          <t>786015 FADAC 9762</t>
        </is>
      </c>
      <c r="F187" s="5" t="inlineStr">
        <is>
          <t xml:space="preserve">ベージュ＆エボニー </t>
        </is>
      </c>
      <c r="G187" s="11" t="inlineStr">
        <is>
          <t>SOLD</t>
        </is>
      </c>
      <c r="H187" s="22" t="inlineStr">
        <is>
          <t>SOLD</t>
        </is>
      </c>
      <c r="I187" s="18" t="n">
        <v>330000</v>
      </c>
      <c r="J187" s="23" t="inlineStr">
        <is>
          <t>NOTFOUND</t>
        </is>
      </c>
      <c r="K187" s="20" t="n">
        <v>0</v>
      </c>
      <c r="L187" s="4" t="inlineStr">
        <is>
          <t>https://www.gucci.com/jp/ja/pr/women/handbags/mini-bags-for-women/gucci-moon-side-mini-shoulder-bag-p-786015FADAC9762</t>
        </is>
      </c>
      <c r="M187" s="5">
        <f t="array" ref="M187">_xlfn.IFS(J187="NOTFOUND",I187,J187&gt;=I187,J187)</f>
        <v/>
      </c>
    </row>
    <row r="188" ht="18" customHeight="1" s="16">
      <c r="A188" s="5" t="n">
        <v>187</v>
      </c>
      <c r="B188" s="5" t="inlineStr">
        <is>
          <t>GU-2439</t>
        </is>
      </c>
      <c r="D188" s="5" t="inlineStr">
        <is>
          <t>ムーンサイド ミニ ショルダーバッグ</t>
        </is>
      </c>
      <c r="E188" s="5" t="inlineStr">
        <is>
          <t>786015 FADAC 8559</t>
        </is>
      </c>
      <c r="F188" s="5" t="inlineStr">
        <is>
          <t>ベージュ＆ブルー キャンバス</t>
        </is>
      </c>
      <c r="G188" s="11" t="inlineStr">
        <is>
          <t>SOLD</t>
        </is>
      </c>
      <c r="H188" s="22" t="inlineStr">
        <is>
          <t>SOLD</t>
        </is>
      </c>
      <c r="I188" s="18" t="n">
        <v>330000</v>
      </c>
      <c r="J188" s="23" t="inlineStr">
        <is>
          <t>NOTFOUND</t>
        </is>
      </c>
      <c r="K188" s="20" t="n">
        <v>0</v>
      </c>
      <c r="L188" s="4" t="inlineStr">
        <is>
          <t>https://www.gucci.com/jp/ja/pr/women/handbags/mini-bags-for-women/gucci-moon-side-mini-shoulder-bag-p-786015FADAC8559</t>
        </is>
      </c>
      <c r="M188" s="5">
        <f t="array" ref="M188">_xlfn.IFS(J188="NOTFOUND",I188,J188&gt;=I188,J188)</f>
        <v/>
      </c>
    </row>
    <row r="189" ht="18" customHeight="1" s="16">
      <c r="A189" s="5" t="n">
        <v>188</v>
      </c>
      <c r="B189" s="5" t="inlineStr">
        <is>
          <t>GU-2440</t>
        </is>
      </c>
      <c r="D189" s="5" t="inlineStr">
        <is>
          <t>トーティッシマ スモール トートバッグ</t>
        </is>
      </c>
      <c r="E189" s="5" t="inlineStr">
        <is>
          <t>788211 FADH3 9786</t>
        </is>
      </c>
      <c r="F189" s="5" t="inlineStr">
        <is>
          <t xml:space="preserve">ベージュ＆エボニー </t>
        </is>
      </c>
      <c r="G189" s="11" t="inlineStr">
        <is>
          <t>SOLD</t>
        </is>
      </c>
      <c r="H189" s="22" t="inlineStr">
        <is>
          <t>SOLD</t>
        </is>
      </c>
      <c r="I189" s="18" t="n">
        <v>280500</v>
      </c>
      <c r="J189" s="23" t="inlineStr">
        <is>
          <t>NOTFOUND</t>
        </is>
      </c>
      <c r="K189" s="20" t="n">
        <v>0</v>
      </c>
      <c r="L189" s="4" t="inlineStr">
        <is>
          <t>https://www.gucci.com/jp/ja/pr/women/handbags/tote-bags-for-women/gucci-totissima-small-tote-bag-p-788211FADH39786</t>
        </is>
      </c>
      <c r="M189" s="5">
        <f t="array" ref="M189">_xlfn.IFS(J189="NOTFOUND",I189,J189&gt;=I189,J189)</f>
        <v/>
      </c>
    </row>
    <row r="190" ht="18" customHeight="1" s="16">
      <c r="A190" s="5" t="n">
        <v>189</v>
      </c>
      <c r="B190" s="5" t="inlineStr">
        <is>
          <t>GU-2441</t>
        </is>
      </c>
      <c r="D190" s="5" t="inlineStr">
        <is>
          <t>トーティッシマ スモール トートバッグ</t>
        </is>
      </c>
      <c r="E190" s="5" t="inlineStr">
        <is>
          <t>788211 FADH3 4052</t>
        </is>
      </c>
      <c r="F190" s="5" t="inlineStr">
        <is>
          <t xml:space="preserve">ベージュ＆ブルー </t>
        </is>
      </c>
      <c r="G190" s="11" t="inlineStr">
        <is>
          <t>SOLD</t>
        </is>
      </c>
      <c r="H190" s="22" t="inlineStr">
        <is>
          <t>SOLD</t>
        </is>
      </c>
      <c r="I190" s="18" t="n">
        <v>280500</v>
      </c>
      <c r="J190" s="23" t="inlineStr">
        <is>
          <t>NOTFOUND</t>
        </is>
      </c>
      <c r="K190" s="20" t="n">
        <v>0</v>
      </c>
      <c r="L190" s="4" t="inlineStr">
        <is>
          <t>https://www.gucci.com/jp/ja/pr/women/handbags/tote-bags-for-women/gucci-totissima-small-tote-bag-p-788211FADH34052</t>
        </is>
      </c>
      <c r="M190" s="5">
        <f t="array" ref="M190">_xlfn.IFS(J190="NOTFOUND",I190,J190&gt;=I190,J190)</f>
        <v/>
      </c>
    </row>
    <row r="191" ht="18" customHeight="1" s="16">
      <c r="A191" s="5" t="n">
        <v>190</v>
      </c>
      <c r="B191" s="5" t="inlineStr">
        <is>
          <t>GU-2442</t>
        </is>
      </c>
      <c r="D191" s="5" t="inlineStr">
        <is>
          <t>トーティッシマ ミディアム トートバッグ</t>
        </is>
      </c>
      <c r="E191" s="5" t="inlineStr">
        <is>
          <t>788203 FADH3 9786</t>
        </is>
      </c>
      <c r="F191" s="5" t="inlineStr">
        <is>
          <t xml:space="preserve">ベージュ＆エボニー </t>
        </is>
      </c>
      <c r="G191" s="11" t="inlineStr">
        <is>
          <t>SOLD</t>
        </is>
      </c>
      <c r="H191" s="22" t="inlineStr">
        <is>
          <t>SOLD</t>
        </is>
      </c>
      <c r="I191" s="18" t="n">
        <v>341000</v>
      </c>
      <c r="J191" s="23" t="inlineStr">
        <is>
          <t>NOTFOUND</t>
        </is>
      </c>
      <c r="K191" s="20" t="n">
        <v>0</v>
      </c>
      <c r="L191" s="4" t="inlineStr">
        <is>
          <t>https://www.gucci.com/jp/ja/pr/women/handbags/tote-bags-for-women/gucci-totissima-medium-tote-bag-p-788203FADH39786</t>
        </is>
      </c>
      <c r="M191" s="5">
        <f t="array" ref="M191">_xlfn.IFS(J191="NOTFOUND",I191,J191&gt;=I191,J191)</f>
        <v/>
      </c>
    </row>
    <row r="192" ht="18" customHeight="1" s="16">
      <c r="A192" s="5" t="n">
        <v>191</v>
      </c>
      <c r="B192" s="5" t="inlineStr">
        <is>
          <t>GU-2443</t>
        </is>
      </c>
      <c r="D192" s="5" t="inlineStr">
        <is>
          <t>トーティッシマ ミディアム トートバッグ</t>
        </is>
      </c>
      <c r="E192" s="5" t="inlineStr">
        <is>
          <t>788203 FADH3 4052</t>
        </is>
      </c>
      <c r="F192" s="5" t="inlineStr">
        <is>
          <t xml:space="preserve">ベージュ＆ブルー </t>
        </is>
      </c>
      <c r="G192" s="11" t="inlineStr">
        <is>
          <t>SOLD</t>
        </is>
      </c>
      <c r="H192" s="22" t="inlineStr">
        <is>
          <t>SOLD</t>
        </is>
      </c>
      <c r="I192" s="18" t="n">
        <v>341000</v>
      </c>
      <c r="J192" s="23" t="inlineStr">
        <is>
          <t>NOTFOUND</t>
        </is>
      </c>
      <c r="K192" s="20" t="n">
        <v>0</v>
      </c>
      <c r="L192" s="4" t="inlineStr">
        <is>
          <t>https://www.gucci.com/jp/ja/pr/women/handbags/tote-bags-for-women/gucci-totissima-medium-tote-bag-p-788203FADH34052</t>
        </is>
      </c>
      <c r="M192" s="5">
        <f t="array" ref="M192">_xlfn.IFS(J192="NOTFOUND",I192,J192&gt;=I192,J192)</f>
        <v/>
      </c>
    </row>
    <row r="193" ht="18" customHeight="1" s="16">
      <c r="A193" s="5" t="n">
        <v>192</v>
      </c>
      <c r="B193" s="5" t="inlineStr">
        <is>
          <t>GU-2444</t>
        </is>
      </c>
      <c r="D193" s="5" t="inlineStr">
        <is>
          <t>トーティッシマ ミディアム トートバッグ</t>
        </is>
      </c>
      <c r="E193" s="5" t="inlineStr">
        <is>
          <t>788203 FADH5 6449</t>
        </is>
      </c>
      <c r="F193" s="5" t="inlineStr">
        <is>
          <t xml:space="preserve">ロッソ アンコーラ </t>
        </is>
      </c>
      <c r="G193" s="11" t="inlineStr">
        <is>
          <t>SOLD</t>
        </is>
      </c>
      <c r="H193" s="22" t="inlineStr">
        <is>
          <t>SOLD</t>
        </is>
      </c>
      <c r="I193" s="18" t="n">
        <v>341000</v>
      </c>
      <c r="J193" s="23" t="inlineStr">
        <is>
          <t>NOTFOUND</t>
        </is>
      </c>
      <c r="K193" s="20" t="n">
        <v>0</v>
      </c>
      <c r="L193" s="4" t="inlineStr">
        <is>
          <t>https://www.gucci.com/jp/ja/pr/women/handbags/tote-bags-for-women/gucci-totissima-medium-tote-bag-p-788203FADH56449</t>
        </is>
      </c>
      <c r="M193" s="5">
        <f t="array" ref="M193">_xlfn.IFS(J193="NOTFOUND",I193,J193&gt;=I193,J193)</f>
        <v/>
      </c>
    </row>
    <row r="194" ht="18" customHeight="1" s="16">
      <c r="A194" s="5" t="n">
        <v>193</v>
      </c>
      <c r="B194" s="5" t="inlineStr">
        <is>
          <t>GU-2445</t>
        </is>
      </c>
      <c r="D194" s="5" t="inlineStr">
        <is>
          <t>ブロンディ トップハンドルバッグ</t>
        </is>
      </c>
      <c r="E194" s="5" t="inlineStr">
        <is>
          <t>744434 1IV0G 9022</t>
        </is>
      </c>
      <c r="F194" s="5" t="inlineStr">
        <is>
          <t>ホワイト レザー</t>
        </is>
      </c>
      <c r="G194" s="11" t="inlineStr">
        <is>
          <t>SOLD</t>
        </is>
      </c>
      <c r="H194" s="22" t="inlineStr">
        <is>
          <t>SOLD</t>
        </is>
      </c>
      <c r="I194" s="18" t="n">
        <v>302500</v>
      </c>
      <c r="J194" s="23" t="inlineStr">
        <is>
          <t>NOTFOUND</t>
        </is>
      </c>
      <c r="K194" s="20" t="n">
        <v>0</v>
      </c>
      <c r="L194" s="4" t="inlineStr">
        <is>
          <t>https://www.gucci.com/jp/ja/pr/women/handbags/shoulder-bags-for-women/gucci-blondie-top-handle-bag-p-7444341IV0G9022</t>
        </is>
      </c>
      <c r="M194" s="5">
        <f t="array" ref="M194">_xlfn.IFS(J194="NOTFOUND",I194,J194&gt;=I194,J194)</f>
        <v/>
      </c>
    </row>
    <row r="195" ht="18" customHeight="1" s="16">
      <c r="A195" s="5" t="n">
        <v>194</v>
      </c>
      <c r="B195" s="5" t="inlineStr">
        <is>
          <t>GU-2446</t>
        </is>
      </c>
      <c r="D195" s="5" t="inlineStr">
        <is>
          <t>ブロンディ トップハンドルバッグ</t>
        </is>
      </c>
      <c r="E195" s="5" t="inlineStr">
        <is>
          <t>744434 1IV0G 6701</t>
        </is>
      </c>
      <c r="F195" s="5" t="inlineStr">
        <is>
          <t>ピンク レザー</t>
        </is>
      </c>
      <c r="G195" s="11" t="inlineStr">
        <is>
          <t>SOLD</t>
        </is>
      </c>
      <c r="H195" s="22" t="inlineStr">
        <is>
          <t>SOLD</t>
        </is>
      </c>
      <c r="I195" s="18" t="n">
        <v>302500</v>
      </c>
      <c r="J195" s="23" t="inlineStr">
        <is>
          <t>NOTFOUND</t>
        </is>
      </c>
      <c r="K195" s="20" t="n">
        <v>0</v>
      </c>
      <c r="L195" s="4" t="inlineStr">
        <is>
          <t>https://www.gucci.com/jp/ja/pr/women/handbags/shoulder-bags-for-women/gucci-blondie-top-handle-bag-p-7444341IV0G6701</t>
        </is>
      </c>
      <c r="M195" s="5">
        <f t="array" ref="M195">_xlfn.IFS(J195="NOTFOUND",I195,J195&gt;=I195,J195)</f>
        <v/>
      </c>
    </row>
    <row r="196" ht="18" customHeight="1" s="16">
      <c r="A196" s="5" t="n">
        <v>195</v>
      </c>
      <c r="B196" s="5" t="inlineStr">
        <is>
          <t>GU-2447</t>
        </is>
      </c>
      <c r="D196" s="5" t="inlineStr">
        <is>
          <t>ブロンディ トップハンドルバッグ</t>
        </is>
      </c>
      <c r="E196" s="5" t="inlineStr">
        <is>
          <t>744434 1IV0G 3509</t>
        </is>
      </c>
      <c r="F196" s="5" t="inlineStr">
        <is>
          <t>ライトグリーン レザー</t>
        </is>
      </c>
      <c r="G196" s="11" t="inlineStr">
        <is>
          <t>SOLD</t>
        </is>
      </c>
      <c r="H196" s="22" t="inlineStr">
        <is>
          <t>SOLD</t>
        </is>
      </c>
      <c r="I196" s="18" t="n">
        <v>302500</v>
      </c>
      <c r="J196" s="23" t="inlineStr">
        <is>
          <t>NOTFOUND</t>
        </is>
      </c>
      <c r="K196" s="20" t="n">
        <v>0</v>
      </c>
      <c r="L196" s="4" t="inlineStr">
        <is>
          <t>https://www.gucci.com/jp/ja/pr/women/handbags/shoulder-bags-for-women/gucci-blondie-top-handle-bag-p-7444341IV0G3509</t>
        </is>
      </c>
      <c r="M196" s="5">
        <f t="array" ref="M196">_xlfn.IFS(J196="NOTFOUND",I196,J196&gt;=I196,J196)</f>
        <v/>
      </c>
    </row>
    <row r="197" ht="18" customHeight="1" s="16">
      <c r="A197" s="5" t="n">
        <v>196</v>
      </c>
      <c r="B197" s="5" t="inlineStr">
        <is>
          <t>GU-2448</t>
        </is>
      </c>
      <c r="D197" s="5" t="inlineStr">
        <is>
          <t>ブロンディ トップハンドルバッグ</t>
        </is>
      </c>
      <c r="E197" s="5" t="inlineStr">
        <is>
          <t>744434 1IV0G 2802</t>
        </is>
      </c>
      <c r="F197" s="5" t="inlineStr">
        <is>
          <t>ブラウン レザー</t>
        </is>
      </c>
      <c r="G197" s="11" t="inlineStr">
        <is>
          <t>SOLD</t>
        </is>
      </c>
      <c r="H197" s="22" t="inlineStr">
        <is>
          <t>SOLD</t>
        </is>
      </c>
      <c r="I197" s="18" t="n">
        <v>302500</v>
      </c>
      <c r="J197" s="23" t="inlineStr">
        <is>
          <t>NOTFOUND</t>
        </is>
      </c>
      <c r="K197" s="20" t="n">
        <v>0</v>
      </c>
      <c r="L197" s="4" t="inlineStr">
        <is>
          <t>https://www.gucci.com/jp/ja/pr/women/handbags/shoulder-bags-for-women/gucci-blondie-top-handle-bag-p-7444341IV0G2802</t>
        </is>
      </c>
      <c r="M197" s="5">
        <f t="array" ref="M197">_xlfn.IFS(J197="NOTFOUND",I197,J197&gt;=I197,J197)</f>
        <v/>
      </c>
    </row>
    <row r="198" ht="18" customHeight="1" s="16">
      <c r="A198" s="5" t="n">
        <v>197</v>
      </c>
      <c r="B198" s="5" t="inlineStr">
        <is>
          <t>GU-2449</t>
        </is>
      </c>
      <c r="D198" s="5" t="inlineStr">
        <is>
          <t>ブロンディ トップハンドルバッグ</t>
        </is>
      </c>
      <c r="E198" s="5" t="inlineStr">
        <is>
          <t>744434 1IV0G 1000</t>
        </is>
      </c>
      <c r="F198" s="5" t="inlineStr">
        <is>
          <t>ブラック レザー</t>
        </is>
      </c>
      <c r="G198" s="11" t="inlineStr">
        <is>
          <t>SOLD</t>
        </is>
      </c>
      <c r="H198" s="22" t="inlineStr">
        <is>
          <t>SOLD</t>
        </is>
      </c>
      <c r="I198" s="18" t="n">
        <v>302500</v>
      </c>
      <c r="J198" s="23" t="inlineStr">
        <is>
          <t>NOTFOUND</t>
        </is>
      </c>
      <c r="K198" s="20" t="n">
        <v>0</v>
      </c>
      <c r="L198" s="4" t="inlineStr">
        <is>
          <t>https://www.gucci.com/jp/ja/pr/women/handbags/shoulder-bags-for-women/gucci-blondie-top-handle-bag-p-7444341IV0G1000</t>
        </is>
      </c>
      <c r="M198" s="5">
        <f t="array" ref="M198">_xlfn.IFS(J198="NOTFOUND",I198,J198&gt;=I198,J198)</f>
        <v/>
      </c>
    </row>
    <row r="199" ht="18" customHeight="1" s="16">
      <c r="A199" s="5" t="n">
        <v>198</v>
      </c>
      <c r="B199" s="5" t="inlineStr">
        <is>
          <t>GU-2450</t>
        </is>
      </c>
      <c r="D199" s="5" t="inlineStr">
        <is>
          <t>ブロンディ スモール トップハンドルバッグ</t>
        </is>
      </c>
      <c r="E199" s="5" t="inlineStr">
        <is>
          <t>744434 AACBO 9504</t>
        </is>
      </c>
      <c r="F199" s="5" t="inlineStr">
        <is>
          <t>メタリックゴールドベージュ レザー</t>
        </is>
      </c>
      <c r="G199" s="11" t="inlineStr">
        <is>
          <t>SOLD</t>
        </is>
      </c>
      <c r="H199" s="22" t="inlineStr">
        <is>
          <t>SOLD</t>
        </is>
      </c>
      <c r="I199" s="18" t="n">
        <v>319000</v>
      </c>
      <c r="J199" s="23" t="inlineStr">
        <is>
          <t>NOTFOUND</t>
        </is>
      </c>
      <c r="K199" s="20" t="n">
        <v>0</v>
      </c>
      <c r="L199" s="4" t="inlineStr">
        <is>
          <t>https://www.gucci.com/jp/ja/pr/women/handbags/shoulder-bags-for-women/gucci-blondie-small-top-handle-bag-p-744434AACBO9504</t>
        </is>
      </c>
      <c r="M199" s="5">
        <f t="array" ref="M199">_xlfn.IFS(J199="NOTFOUND",I199,J199&gt;=I199,J199)</f>
        <v/>
      </c>
    </row>
    <row r="200" ht="18" customHeight="1" s="16">
      <c r="A200" s="5" t="n">
        <v>199</v>
      </c>
      <c r="B200" s="5" t="inlineStr">
        <is>
          <t>GU-2451</t>
        </is>
      </c>
      <c r="D200" s="5" t="inlineStr">
        <is>
          <t>ブロンディ トップハンドルバッグ</t>
        </is>
      </c>
      <c r="E200" s="5" t="inlineStr">
        <is>
          <t>744434 AACBO 8106</t>
        </is>
      </c>
      <c r="F200" s="5" t="inlineStr">
        <is>
          <t>メタリックシルバー レザー</t>
        </is>
      </c>
      <c r="G200" s="11" t="inlineStr">
        <is>
          <t>SOLD</t>
        </is>
      </c>
      <c r="H200" s="22" t="inlineStr">
        <is>
          <t>SOLD</t>
        </is>
      </c>
      <c r="I200" s="18" t="n">
        <v>319000</v>
      </c>
      <c r="J200" s="23" t="inlineStr">
        <is>
          <t>NOTFOUND</t>
        </is>
      </c>
      <c r="K200" s="20" t="n">
        <v>0</v>
      </c>
      <c r="L200" s="4" t="inlineStr">
        <is>
          <t>https://www.gucci.com/jp/ja/pr/women/handbags/shoulder-bags-for-women/gucci-blondie-top-handle-bag-p-744434AACBO8106</t>
        </is>
      </c>
      <c r="M200" s="5">
        <f t="array" ref="M200">_xlfn.IFS(J200="NOTFOUND",I200,J200&gt;=I200,J200)</f>
        <v/>
      </c>
    </row>
    <row r="201" ht="18" customHeight="1" s="16">
      <c r="A201" s="5" t="n">
        <v>200</v>
      </c>
      <c r="B201" s="5" t="inlineStr">
        <is>
          <t>GU-2452</t>
        </is>
      </c>
      <c r="D201" s="5" t="inlineStr">
        <is>
          <t>ブロンディ スモール ショルダーバッグ</t>
        </is>
      </c>
      <c r="E201" s="5" t="inlineStr">
        <is>
          <t>742360 1IV0G 9022</t>
        </is>
      </c>
      <c r="F201" s="5" t="inlineStr">
        <is>
          <t>ホワイト レザー</t>
        </is>
      </c>
      <c r="G201" s="11" t="inlineStr">
        <is>
          <t>SOLD</t>
        </is>
      </c>
      <c r="H201" s="22" t="inlineStr">
        <is>
          <t>SOLD</t>
        </is>
      </c>
      <c r="I201" s="18" t="n">
        <v>214500</v>
      </c>
      <c r="J201" s="23" t="inlineStr">
        <is>
          <t>NOTFOUND</t>
        </is>
      </c>
      <c r="K201" s="20" t="n">
        <v>0</v>
      </c>
      <c r="L201" s="4" t="inlineStr">
        <is>
          <t>https://www.gucci.com/jp/ja/pr/women/handbags/crossbody-bags-for-women/gucci-blondie-small-shoulder-bag-p-7423601IV0G9022</t>
        </is>
      </c>
      <c r="M201" s="5">
        <f t="array" ref="M201">_xlfn.IFS(J201="NOTFOUND",I201,J201&gt;=I201,J201)</f>
        <v/>
      </c>
    </row>
    <row r="202" ht="18" customHeight="1" s="16">
      <c r="A202" s="5" t="n">
        <v>201</v>
      </c>
      <c r="B202" s="5" t="inlineStr">
        <is>
          <t>GU-2453</t>
        </is>
      </c>
      <c r="D202" s="5" t="inlineStr">
        <is>
          <t>ブロンディ スモール ショルダーバッグ</t>
        </is>
      </c>
      <c r="E202" s="5" t="inlineStr">
        <is>
          <t>742360 1IV0G 6701</t>
        </is>
      </c>
      <c r="F202" s="5" t="inlineStr">
        <is>
          <t>ピンク レザー</t>
        </is>
      </c>
      <c r="G202" s="11" t="inlineStr">
        <is>
          <t>SOLD</t>
        </is>
      </c>
      <c r="H202" s="22" t="inlineStr">
        <is>
          <t>SOLD</t>
        </is>
      </c>
      <c r="I202" s="18" t="n">
        <v>214500</v>
      </c>
      <c r="J202" s="23" t="inlineStr">
        <is>
          <t>NOTFOUND</t>
        </is>
      </c>
      <c r="K202" s="20" t="n">
        <v>0</v>
      </c>
      <c r="L202" s="4" t="inlineStr">
        <is>
          <t>https://www.gucci.com/jp/ja/pr/women/handbags/crossbody-bags-for-women/gucci-blondie-small-shoulder-bag-p-7423601IV0G6701</t>
        </is>
      </c>
      <c r="M202" s="5">
        <f t="array" ref="M202">_xlfn.IFS(J202="NOTFOUND",I202,J202&gt;=I202,J202)</f>
        <v/>
      </c>
    </row>
    <row r="203" ht="18" customHeight="1" s="16">
      <c r="A203" s="5" t="n">
        <v>202</v>
      </c>
      <c r="B203" s="5" t="inlineStr">
        <is>
          <t>GU-2454</t>
        </is>
      </c>
      <c r="D203" s="5" t="inlineStr">
        <is>
          <t>ブロンディ スモール ショルダーバッグ</t>
        </is>
      </c>
      <c r="E203" s="5" t="inlineStr">
        <is>
          <t>742360 1IV0G 6420</t>
        </is>
      </c>
      <c r="F203" s="5" t="inlineStr">
        <is>
          <t>レッド レザー</t>
        </is>
      </c>
      <c r="G203" s="11" t="inlineStr">
        <is>
          <t>SOLD</t>
        </is>
      </c>
      <c r="H203" s="22" t="inlineStr">
        <is>
          <t>SOLD</t>
        </is>
      </c>
      <c r="I203" s="18" t="n">
        <v>214500</v>
      </c>
      <c r="J203" s="23" t="inlineStr">
        <is>
          <t>NOTFOUND</t>
        </is>
      </c>
      <c r="K203" s="20" t="n">
        <v>0</v>
      </c>
      <c r="L203" s="4" t="inlineStr">
        <is>
          <t>https://www.gucci.com/jp/ja/pr/women/handbags/crossbody-bags-for-women/gucci-blondie-small-shoulder-bag-p-7423601IV0G6420</t>
        </is>
      </c>
      <c r="M203" s="5">
        <f t="array" ref="M203">_xlfn.IFS(J203="NOTFOUND",I203,J203&gt;=I203,J203)</f>
        <v/>
      </c>
    </row>
    <row r="204" ht="18" customHeight="1" s="16">
      <c r="A204" s="5" t="n">
        <v>203</v>
      </c>
      <c r="B204" s="5" t="inlineStr">
        <is>
          <t>GU-2455</t>
        </is>
      </c>
      <c r="D204" s="5" t="inlineStr">
        <is>
          <t>ブロンディ スモール ショルダーバッグ</t>
        </is>
      </c>
      <c r="E204" s="5" t="inlineStr">
        <is>
          <t>742360 1IV0G 3509</t>
        </is>
      </c>
      <c r="F204" s="5" t="inlineStr">
        <is>
          <t>グリーン レザー</t>
        </is>
      </c>
      <c r="G204" s="11" t="inlineStr">
        <is>
          <t>SOLD</t>
        </is>
      </c>
      <c r="H204" s="22" t="inlineStr">
        <is>
          <t>SOLD</t>
        </is>
      </c>
      <c r="I204" s="18" t="n">
        <v>214500</v>
      </c>
      <c r="J204" s="23" t="inlineStr">
        <is>
          <t>NOTFOUND</t>
        </is>
      </c>
      <c r="K204" s="20" t="n">
        <v>0</v>
      </c>
      <c r="L204" s="4" t="inlineStr">
        <is>
          <t>https://www.gucci.com/jp/ja/pr/women/handbags/crossbody-bags-for-women/gucci-blondie-small-shoulder-bag-p-7423601IV0G3509</t>
        </is>
      </c>
      <c r="M204" s="5">
        <f t="array" ref="M204">_xlfn.IFS(J204="NOTFOUND",I204,J204&gt;=I204,J204)</f>
        <v/>
      </c>
    </row>
    <row r="205" ht="18" customHeight="1" s="16">
      <c r="A205" s="5" t="n">
        <v>204</v>
      </c>
      <c r="B205" s="5" t="inlineStr">
        <is>
          <t>GU-2456</t>
        </is>
      </c>
      <c r="D205" s="5" t="inlineStr">
        <is>
          <t>ブロンディ ショルダーバッグ</t>
        </is>
      </c>
      <c r="E205" s="5" t="inlineStr">
        <is>
          <t>742360 1IV0G 4157</t>
        </is>
      </c>
      <c r="F205" s="5" t="inlineStr">
        <is>
          <t>ブルー レザー</t>
        </is>
      </c>
      <c r="G205" s="11" t="inlineStr">
        <is>
          <t>SOLD</t>
        </is>
      </c>
      <c r="H205" s="22" t="inlineStr">
        <is>
          <t>SOLD</t>
        </is>
      </c>
      <c r="I205" s="18" t="n">
        <v>214500</v>
      </c>
      <c r="J205" s="23" t="inlineStr">
        <is>
          <t>NOTFOUND</t>
        </is>
      </c>
      <c r="K205" s="20" t="n">
        <v>0</v>
      </c>
      <c r="L205" s="4" t="inlineStr">
        <is>
          <t>https://www.gucci.com/jp/ja/pr/women/handbags/exclusives-for-women/gucci-blondie-small-shoulder-bag-p-7423601IV0G4157</t>
        </is>
      </c>
      <c r="M205" s="5">
        <f t="array" ref="M205">_xlfn.IFS(J205="NOTFOUND",I205,J205&gt;=I205,J205)</f>
        <v/>
      </c>
    </row>
    <row r="206" ht="18" customHeight="1" s="16">
      <c r="A206" s="5" t="n">
        <v>205</v>
      </c>
      <c r="B206" s="5" t="inlineStr">
        <is>
          <t>GU-2457</t>
        </is>
      </c>
      <c r="D206" s="5" t="inlineStr">
        <is>
          <t>ブロンディ スモール ショルダーバッグ</t>
        </is>
      </c>
      <c r="E206" s="5" t="inlineStr">
        <is>
          <t>742360 1IV0G 2802</t>
        </is>
      </c>
      <c r="F206" s="5" t="inlineStr">
        <is>
          <t>ブラウン レザー</t>
        </is>
      </c>
      <c r="G206" s="11" t="inlineStr">
        <is>
          <t>SOLD</t>
        </is>
      </c>
      <c r="H206" s="22" t="inlineStr">
        <is>
          <t>SOLD</t>
        </is>
      </c>
      <c r="I206" s="18" t="n">
        <v>214500</v>
      </c>
      <c r="J206" s="23" t="inlineStr">
        <is>
          <t>NOTFOUND</t>
        </is>
      </c>
      <c r="K206" s="20" t="n">
        <v>0</v>
      </c>
      <c r="L206" s="4" t="inlineStr">
        <is>
          <t>https://www.gucci.com/jp/ja/pr/women/handbags/crossbody-bags-for-women/gucci-blondie-small-shoulder-bag-p-7423601IV0G2802</t>
        </is>
      </c>
      <c r="M206" s="5">
        <f t="array" ref="M206">_xlfn.IFS(J206="NOTFOUND",I206,J206&gt;=I206,J206)</f>
        <v/>
      </c>
    </row>
    <row r="207" ht="18" customHeight="1" s="16">
      <c r="A207" s="5" t="n">
        <v>206</v>
      </c>
      <c r="B207" s="5" t="inlineStr">
        <is>
          <t>GU-2458</t>
        </is>
      </c>
      <c r="D207" s="5" t="inlineStr">
        <is>
          <t>ブロンディ スモール ショルダーバッグ</t>
        </is>
      </c>
      <c r="E207" s="5" t="inlineStr">
        <is>
          <t>742360 1IV0G 2535</t>
        </is>
      </c>
      <c r="F207" s="5" t="inlineStr">
        <is>
          <t>ブラウン レザー</t>
        </is>
      </c>
      <c r="G207" s="11" t="inlineStr">
        <is>
          <t>SOLD</t>
        </is>
      </c>
      <c r="H207" s="22" t="inlineStr">
        <is>
          <t>SOLD</t>
        </is>
      </c>
      <c r="I207" s="18" t="n">
        <v>214500</v>
      </c>
      <c r="J207" s="23" t="inlineStr">
        <is>
          <t>NOTFOUND</t>
        </is>
      </c>
      <c r="K207" s="20" t="n">
        <v>0</v>
      </c>
      <c r="L207" s="4" t="inlineStr">
        <is>
          <t>https://www.gucci.com/jp/ja/pr/women/handbags/crossbody-bags-for-women/gucci-blondie-small-shoulder-bag-p-7423601IV0G2535</t>
        </is>
      </c>
      <c r="M207" s="5">
        <f t="array" ref="M207">_xlfn.IFS(J207="NOTFOUND",I207,J207&gt;=I207,J207)</f>
        <v/>
      </c>
    </row>
    <row r="208" ht="18" customHeight="1" s="16">
      <c r="A208" s="5" t="n">
        <v>207</v>
      </c>
      <c r="B208" s="5" t="inlineStr">
        <is>
          <t>GU-2459</t>
        </is>
      </c>
      <c r="D208" s="5" t="inlineStr">
        <is>
          <t>ブロンディ スモール ショルダーバッグ</t>
        </is>
      </c>
      <c r="E208" s="5" t="inlineStr">
        <is>
          <t>742360 1IV0G 1000</t>
        </is>
      </c>
      <c r="F208" s="5" t="inlineStr">
        <is>
          <t>ブラック レザー</t>
        </is>
      </c>
      <c r="G208" s="11" t="inlineStr">
        <is>
          <t>SOLD</t>
        </is>
      </c>
      <c r="H208" s="22" t="inlineStr">
        <is>
          <t>SOLD</t>
        </is>
      </c>
      <c r="I208" s="18" t="n">
        <v>214500</v>
      </c>
      <c r="J208" s="23" t="inlineStr">
        <is>
          <t>NOTFOUND</t>
        </is>
      </c>
      <c r="K208" s="20" t="n">
        <v>0</v>
      </c>
      <c r="L208" s="4" t="inlineStr">
        <is>
          <t>https://www.gucci.com/jp/ja/pr/women/handbags/crossbody-bags-for-women/gucci-blondie-small-shoulder-bag-p-7423601IV0G1000</t>
        </is>
      </c>
      <c r="M208" s="5">
        <f t="array" ref="M208">_xlfn.IFS(J208="NOTFOUND",I208,J208&gt;=I208,J208)</f>
        <v/>
      </c>
    </row>
    <row r="209" ht="18" customHeight="1" s="16">
      <c r="A209" s="5" t="n">
        <v>208</v>
      </c>
      <c r="B209" s="5" t="inlineStr">
        <is>
          <t>GU-2460</t>
        </is>
      </c>
      <c r="D209" s="5" t="inlineStr">
        <is>
          <t>ブロンディ スモール ショルダーバッグ</t>
        </is>
      </c>
      <c r="E209" s="5" t="inlineStr">
        <is>
          <t>742360 AACBO 9504</t>
        </is>
      </c>
      <c r="F209" s="5" t="inlineStr">
        <is>
          <t>メタリックゴールドベージュ レザー</t>
        </is>
      </c>
      <c r="G209" s="11" t="inlineStr">
        <is>
          <t>SOLD</t>
        </is>
      </c>
      <c r="H209" s="22" t="inlineStr">
        <is>
          <t>SOLD</t>
        </is>
      </c>
      <c r="I209" s="18" t="n">
        <v>227700</v>
      </c>
      <c r="J209" s="23" t="inlineStr">
        <is>
          <t>NOTFOUND</t>
        </is>
      </c>
      <c r="K209" s="20" t="n">
        <v>0</v>
      </c>
      <c r="L209" s="4" t="inlineStr">
        <is>
          <t>https://www.gucci.com/jp/ja/pr/women/handbags/crossbody-bags-for-women/gucci-blondie-small-shoulder-bag-p-742360AACBO9504</t>
        </is>
      </c>
      <c r="M209" s="5">
        <f t="array" ref="M209">_xlfn.IFS(J209="NOTFOUND",I209,J209&gt;=I209,J209)</f>
        <v/>
      </c>
    </row>
    <row r="210" ht="18" customHeight="1" s="16">
      <c r="A210" s="5" t="n">
        <v>209</v>
      </c>
      <c r="B210" s="5" t="inlineStr">
        <is>
          <t>GU-2461</t>
        </is>
      </c>
      <c r="D210" s="5" t="inlineStr">
        <is>
          <t>ブロンディ スモール ショルダーバッグ</t>
        </is>
      </c>
      <c r="E210" s="5" t="inlineStr">
        <is>
          <t>742360 AACBO 8106</t>
        </is>
      </c>
      <c r="F210" s="5" t="inlineStr">
        <is>
          <t>メタリックシルバー レザー</t>
        </is>
      </c>
      <c r="G210" s="11" t="inlineStr">
        <is>
          <t>SOLD</t>
        </is>
      </c>
      <c r="H210" s="22" t="inlineStr">
        <is>
          <t>SOLD</t>
        </is>
      </c>
      <c r="I210" s="18" t="n">
        <v>227700</v>
      </c>
      <c r="J210" s="23" t="inlineStr">
        <is>
          <t>NOTFOUND</t>
        </is>
      </c>
      <c r="K210" s="20" t="n">
        <v>0</v>
      </c>
      <c r="L210" s="4" t="inlineStr">
        <is>
          <t>https://www.gucci.com/jp/ja/pr/women/handbags/crossbody-bags-for-women/gucci-blondie-small-shoulder-bag-p-742360AACBO8106</t>
        </is>
      </c>
      <c r="M210" s="5">
        <f t="array" ref="M210">_xlfn.IFS(J210="NOTFOUND",I210,J210&gt;=I210,J210)</f>
        <v/>
      </c>
    </row>
    <row r="211" ht="18" customHeight="1" s="16">
      <c r="A211" s="5" t="n">
        <v>210</v>
      </c>
      <c r="B211" s="5" t="inlineStr">
        <is>
          <t>GU-2462</t>
        </is>
      </c>
      <c r="D211" s="5" t="inlineStr">
        <is>
          <t>ジャッキー ノッテ ミニバッグ</t>
        </is>
      </c>
      <c r="E211" s="5" t="inlineStr">
        <is>
          <t>782889 0P50G 9540</t>
        </is>
      </c>
      <c r="F211" s="5" t="inlineStr">
        <is>
          <t>アイボリー パテントレザー</t>
        </is>
      </c>
      <c r="G211" s="11" t="inlineStr">
        <is>
          <t>SOLD</t>
        </is>
      </c>
      <c r="H211" s="22" t="inlineStr">
        <is>
          <t>SOLD</t>
        </is>
      </c>
      <c r="I211" s="18" t="n">
        <v>489500</v>
      </c>
      <c r="J211" s="23" t="inlineStr">
        <is>
          <t>NOTFOUND</t>
        </is>
      </c>
      <c r="K211" s="20" t="n">
        <v>0</v>
      </c>
      <c r="L211" s="4" t="inlineStr">
        <is>
          <t>https://www.gucci.com/jp/ja/pr/women/handbags/mini-bags-for-women/gucci-jackie-notte-mini-bag-p-7828890P50G9540</t>
        </is>
      </c>
      <c r="M211" s="5">
        <f t="array" ref="M211">_xlfn.IFS(J211="NOTFOUND",I211,J211&gt;=I211,J211)</f>
        <v/>
      </c>
    </row>
    <row r="212" ht="18" customHeight="1" s="16">
      <c r="A212" s="5" t="n">
        <v>211</v>
      </c>
      <c r="B212" s="5" t="inlineStr">
        <is>
          <t>GU-2463</t>
        </is>
      </c>
      <c r="D212" s="5" t="inlineStr">
        <is>
          <t>ジャッキー ノッテ ミニバッグ</t>
        </is>
      </c>
      <c r="E212" s="5" t="inlineStr">
        <is>
          <t>782889 0P50G 7550</t>
        </is>
      </c>
      <c r="F212" s="5" t="inlineStr">
        <is>
          <t>ライトイエロー パテントレザー</t>
        </is>
      </c>
      <c r="G212" s="11" t="inlineStr">
        <is>
          <t>SOLD</t>
        </is>
      </c>
      <c r="H212" s="22" t="inlineStr">
        <is>
          <t>SOLD</t>
        </is>
      </c>
      <c r="I212" s="18" t="n">
        <v>489500</v>
      </c>
      <c r="J212" s="23" t="inlineStr">
        <is>
          <t>NOTFOUND</t>
        </is>
      </c>
      <c r="K212" s="20" t="n">
        <v>0</v>
      </c>
      <c r="L212" s="4" t="inlineStr">
        <is>
          <t>https://www.gucci.com/jp/ja/pr/women/handbags/mini-bags-for-women/gucci-jackie-notte-mini-bag-p-7828890P50G7550</t>
        </is>
      </c>
      <c r="M212" s="5">
        <f t="array" ref="M212">_xlfn.IFS(J212="NOTFOUND",I212,J212&gt;=I212,J212)</f>
        <v/>
      </c>
    </row>
    <row r="213" ht="18" customHeight="1" s="16">
      <c r="A213" s="5" t="n">
        <v>212</v>
      </c>
      <c r="B213" s="5" t="inlineStr">
        <is>
          <t>GU-2464</t>
        </is>
      </c>
      <c r="D213" s="5" t="inlineStr">
        <is>
          <t>ジャッキー ノッテ ミニバッグ</t>
        </is>
      </c>
      <c r="E213" s="5" t="inlineStr">
        <is>
          <t>782889 0P50G 6207</t>
        </is>
      </c>
      <c r="F213" s="5" t="inlineStr">
        <is>
          <t>ロッソ アンコーラ レッド パテントレザー</t>
        </is>
      </c>
      <c r="G213" s="10" t="inlineStr">
        <is>
          <t>OneSize</t>
        </is>
      </c>
      <c r="H213" s="17" t="inlineStr">
        <is>
          <t>OneSize</t>
        </is>
      </c>
      <c r="I213" s="18" t="n">
        <v>489500</v>
      </c>
      <c r="J213" s="19" t="n">
        <v>539000</v>
      </c>
      <c r="K213" s="20" t="n">
        <v>5</v>
      </c>
      <c r="L213" s="4" t="inlineStr">
        <is>
          <t>https://www.gucci.com/jp/ja/pr/women/handbags/mini-bags-for-women/gucci-jackie-notte-mini-bag-p-7828890P50G6207</t>
        </is>
      </c>
      <c r="M213" s="5">
        <f t="array" ref="M213">_xlfn.IFS(J213="NOTFOUND",I213,J213&gt;=I213,J213)</f>
        <v/>
      </c>
    </row>
    <row r="214" ht="18" customHeight="1" s="16">
      <c r="A214" s="5" t="n">
        <v>213</v>
      </c>
      <c r="B214" s="5" t="inlineStr">
        <is>
          <t>GU-2465</t>
        </is>
      </c>
      <c r="D214" s="5" t="inlineStr">
        <is>
          <t>ジャッキー ノッテ ミニバッグ</t>
        </is>
      </c>
      <c r="E214" s="5" t="inlineStr">
        <is>
          <t>782889 0P50G 4902</t>
        </is>
      </c>
      <c r="F214" s="5" t="inlineStr">
        <is>
          <t>スカイブルー パテントレザー</t>
        </is>
      </c>
      <c r="G214" s="11" t="inlineStr">
        <is>
          <t>SOLD</t>
        </is>
      </c>
      <c r="H214" s="22" t="inlineStr">
        <is>
          <t>SOLD</t>
        </is>
      </c>
      <c r="I214" s="18" t="n">
        <v>489500</v>
      </c>
      <c r="J214" s="23" t="inlineStr">
        <is>
          <t>NOTFOUND</t>
        </is>
      </c>
      <c r="K214" s="20" t="n">
        <v>0</v>
      </c>
      <c r="L214" s="4" t="inlineStr">
        <is>
          <t>https://www.gucci.com/jp/ja/pr/women/handbags/mini-bags-for-women/gucci-jackie-notte-mini-bag-p-7828890P50G4902</t>
        </is>
      </c>
      <c r="M214" s="5">
        <f t="array" ref="M214">_xlfn.IFS(J214="NOTFOUND",I214,J214&gt;=I214,J214)</f>
        <v/>
      </c>
    </row>
    <row r="215" ht="18" customHeight="1" s="16">
      <c r="A215" s="5" t="n">
        <v>214</v>
      </c>
      <c r="B215" s="5" t="inlineStr">
        <is>
          <t>GU-2466</t>
        </is>
      </c>
      <c r="D215" s="5" t="inlineStr">
        <is>
          <t>ジャッキー ノッテ ミニ ショルダーバッグ</t>
        </is>
      </c>
      <c r="E215" s="5" t="inlineStr">
        <is>
          <t>782889 0P50G 1000</t>
        </is>
      </c>
      <c r="F215" s="5" t="inlineStr">
        <is>
          <t>ブラック パテントレザー</t>
        </is>
      </c>
      <c r="G215" s="11" t="inlineStr">
        <is>
          <t>SOLD</t>
        </is>
      </c>
      <c r="H215" s="22" t="inlineStr">
        <is>
          <t>SOLD</t>
        </is>
      </c>
      <c r="I215" s="18" t="n">
        <v>489500</v>
      </c>
      <c r="J215" s="23" t="inlineStr">
        <is>
          <t>NOTFOUND</t>
        </is>
      </c>
      <c r="K215" s="20" t="n">
        <v>0</v>
      </c>
      <c r="L215" s="4" t="inlineStr">
        <is>
          <t>https://www.gucci.com/jp/ja/pr/women/handbags/mini-bags-for-women/gucci-jackie-notte-mini-bag-p-7828890P50G1000</t>
        </is>
      </c>
      <c r="M215" s="5">
        <f t="array" ref="M215">_xlfn.IFS(J215="NOTFOUND",I215,J215&gt;=I215,J215)</f>
        <v/>
      </c>
    </row>
    <row r="216" ht="18" customHeight="1" s="16">
      <c r="A216" s="5" t="n">
        <v>215</v>
      </c>
      <c r="B216" s="5" t="inlineStr">
        <is>
          <t>GU-2467</t>
        </is>
      </c>
      <c r="D216" s="5" t="inlineStr">
        <is>
          <t>ジャッキー 1961 スモール ショルダーバッグ</t>
        </is>
      </c>
      <c r="E216" s="5" t="inlineStr">
        <is>
          <t>810232 AADDX 6449</t>
        </is>
      </c>
      <c r="F216" s="5" t="inlineStr">
        <is>
          <t>グッチ ロッソ アンコーラ レザー</t>
        </is>
      </c>
      <c r="G216" s="10" t="inlineStr">
        <is>
          <t>OneSize</t>
        </is>
      </c>
      <c r="H216" s="17" t="inlineStr">
        <is>
          <t>OneSize</t>
        </is>
      </c>
      <c r="I216" s="18" t="n">
        <v>462000</v>
      </c>
      <c r="J216" s="19" t="n">
        <v>539000</v>
      </c>
      <c r="K216" s="20" t="n">
        <v>5</v>
      </c>
      <c r="L216" s="4" t="inlineStr">
        <is>
          <t>https://www.gucci.com/jp/ja/pr/women/handbags/shoulder-bags-for-women/half-moon-bags-for-women/jackie-1961-small-shoulder-bag-p-810232AADDX6449</t>
        </is>
      </c>
      <c r="M216" s="5">
        <f t="array" ref="M216">_xlfn.IFS(J216="NOTFOUND",I216,J216&gt;=I216,J216)</f>
        <v/>
      </c>
    </row>
    <row r="217" ht="18" customHeight="1" s="16">
      <c r="A217" s="5" t="n">
        <v>216</v>
      </c>
      <c r="B217" s="5" t="inlineStr">
        <is>
          <t>GU-2468</t>
        </is>
      </c>
      <c r="D217" s="5" t="inlineStr">
        <is>
          <t>ジャッキー ミディアム ショルダーバッグ</t>
        </is>
      </c>
      <c r="E217" s="5" t="inlineStr">
        <is>
          <t>782879 AADDX 1060</t>
        </is>
      </c>
      <c r="F217" s="5" t="inlineStr">
        <is>
          <t xml:space="preserve">  -</t>
        </is>
      </c>
      <c r="G217" s="10" t="inlineStr">
        <is>
          <t>OneSize</t>
        </is>
      </c>
      <c r="H217" s="17" t="inlineStr">
        <is>
          <t>OneSize</t>
        </is>
      </c>
      <c r="I217" s="18" t="n">
        <v>473000</v>
      </c>
      <c r="J217" s="19" t="n">
        <v>583000</v>
      </c>
      <c r="K217" s="20" t="n">
        <v>5</v>
      </c>
      <c r="L217" s="4" t="inlineStr">
        <is>
          <t>https://www.gucci.com/jp/ja/pr/women/handbags/shoulder-bags-for-women/half-moon-bags-for-women/gucci-jackie-medium-shoulder-bag-p-782879AADDX1060</t>
        </is>
      </c>
      <c r="M217" s="5">
        <f t="array" ref="M217">_xlfn.IFS(J217="NOTFOUND",I217,J217&gt;=I217,J217)</f>
        <v/>
      </c>
    </row>
    <row r="218" ht="18" customHeight="1" s="16">
      <c r="A218" s="5" t="n">
        <v>217</v>
      </c>
      <c r="B218" s="5" t="inlineStr">
        <is>
          <t>GU-2469</t>
        </is>
      </c>
      <c r="D218" s="5" t="inlineStr">
        <is>
          <t>ジャッキー スモール ショルダーバッグ</t>
        </is>
      </c>
      <c r="E218" s="5" t="inlineStr">
        <is>
          <t>782849 AADDX 1741</t>
        </is>
      </c>
      <c r="F218" s="5" t="inlineStr">
        <is>
          <t>ライトグレー レザー</t>
        </is>
      </c>
      <c r="G218" s="10" t="inlineStr">
        <is>
          <t>OneSize</t>
        </is>
      </c>
      <c r="H218" s="17" t="inlineStr">
        <is>
          <t>OneSize</t>
        </is>
      </c>
      <c r="I218" s="18" t="n">
        <v>440000</v>
      </c>
      <c r="J218" s="19" t="n">
        <v>539000</v>
      </c>
      <c r="K218" s="20" t="n">
        <v>5</v>
      </c>
      <c r="L218" s="4" t="inlineStr">
        <is>
          <t>https://www.gucci.com/jp/ja/pr/women/handbags/shoulder-bags-for-women/half-moon-bags-for-women/gucci-jackie-small-shoulder-bag-p-782849AADDX1741</t>
        </is>
      </c>
      <c r="M218" s="5">
        <f t="array" ref="M218">_xlfn.IFS(J218="NOTFOUND",I218,J218&gt;=I218,J218)</f>
        <v/>
      </c>
    </row>
    <row r="219" ht="18" customHeight="1" s="16">
      <c r="A219" s="5" t="n">
        <v>218</v>
      </c>
      <c r="B219" s="5" t="inlineStr">
        <is>
          <t>GU-2470</t>
        </is>
      </c>
      <c r="D219" s="5" t="inlineStr">
        <is>
          <t>ジャッキー スモール ショルダーバッグ</t>
        </is>
      </c>
      <c r="E219" s="5" t="inlineStr">
        <is>
          <t>782849 AADDX 6449</t>
        </is>
      </c>
      <c r="F219" s="5" t="inlineStr">
        <is>
          <t>グッチ ロッソ アンコーラ レザー</t>
        </is>
      </c>
      <c r="G219" s="11" t="inlineStr">
        <is>
          <t>SOLD</t>
        </is>
      </c>
      <c r="H219" s="22" t="inlineStr">
        <is>
          <t>SOLD</t>
        </is>
      </c>
      <c r="I219" s="18" t="n">
        <v>440000</v>
      </c>
      <c r="J219" s="23" t="inlineStr">
        <is>
          <t>NOTFOUND</t>
        </is>
      </c>
      <c r="K219" s="20" t="n">
        <v>0</v>
      </c>
      <c r="L219" s="4" t="inlineStr">
        <is>
          <t>https://www.gucci.com/jp/ja/pr/women/handbags/shoulder-bags-for-women/half-moon-bags-for-women/gucci-jackie-small-shoulder-bag-p-782849AADDX6449</t>
        </is>
      </c>
      <c r="M219" s="5">
        <f t="array" ref="M219">_xlfn.IFS(J219="NOTFOUND",I219,J219&gt;=I219,J219)</f>
        <v/>
      </c>
    </row>
    <row r="220" ht="18" customHeight="1" s="16">
      <c r="A220" s="5" t="n">
        <v>219</v>
      </c>
      <c r="B220" s="5" t="inlineStr">
        <is>
          <t>GU-2471</t>
        </is>
      </c>
      <c r="D220" s="5" t="inlineStr">
        <is>
          <t>ジャッキー スモール ショルダーバッグ</t>
        </is>
      </c>
      <c r="E220" s="5" t="inlineStr">
        <is>
          <t>782849 AADDX 1060</t>
        </is>
      </c>
      <c r="F220" s="5" t="inlineStr">
        <is>
          <t>ブラック レザー</t>
        </is>
      </c>
      <c r="G220" s="10" t="inlineStr">
        <is>
          <t>OneSize</t>
        </is>
      </c>
      <c r="H220" s="17" t="inlineStr">
        <is>
          <t>OneSize</t>
        </is>
      </c>
      <c r="I220" s="18" t="n">
        <v>440000</v>
      </c>
      <c r="J220" s="19" t="n">
        <v>539000</v>
      </c>
      <c r="K220" s="20" t="n">
        <v>5</v>
      </c>
      <c r="L220" s="4" t="inlineStr">
        <is>
          <t>https://www.gucci.com/jp/ja/pr/women/handbags/shoulder-bags-for-women/half-moon-bags-for-women/gucci-jackie-small-shoulder-bag-p-782849AADDX1060</t>
        </is>
      </c>
      <c r="M220" s="5">
        <f t="array" ref="M220">_xlfn.IFS(J220="NOTFOUND",I220,J220&gt;=I220,J220)</f>
        <v/>
      </c>
    </row>
    <row r="221" ht="18" customHeight="1" s="16">
      <c r="A221" s="5" t="n">
        <v>220</v>
      </c>
      <c r="B221" s="5" t="inlineStr">
        <is>
          <t>GU-2472</t>
        </is>
      </c>
      <c r="D221" s="5" t="inlineStr">
        <is>
          <t>ジャッキー スモール ショルダーバッグ</t>
        </is>
      </c>
      <c r="E221" s="5" t="inlineStr">
        <is>
          <t>782849 AADHF 5941</t>
        </is>
      </c>
      <c r="F221" s="5" t="inlineStr">
        <is>
          <t>パステルピンク パテントレザー</t>
        </is>
      </c>
      <c r="G221" s="11" t="inlineStr">
        <is>
          <t>SOLD</t>
        </is>
      </c>
      <c r="H221" s="22" t="inlineStr">
        <is>
          <t>SOLD</t>
        </is>
      </c>
      <c r="I221" s="18" t="n">
        <v>440000</v>
      </c>
      <c r="J221" s="23" t="inlineStr">
        <is>
          <t>NOTFOUND</t>
        </is>
      </c>
      <c r="K221" s="20" t="n">
        <v>0</v>
      </c>
      <c r="L221" s="4" t="inlineStr">
        <is>
          <t>https://www.gucci.com/jp/ja/pr/women/handbags/shoulder-bags-for-women/half-moon-bags-for-women/gucci-jackie-small-shoulder-bag-p-782849AADHF5941</t>
        </is>
      </c>
      <c r="M221" s="5">
        <f t="array" ref="M221">_xlfn.IFS(J221="NOTFOUND",I221,J221&gt;=I221,J221)</f>
        <v/>
      </c>
    </row>
    <row r="222" ht="18" customHeight="1" s="16">
      <c r="A222" s="5" t="n">
        <v>221</v>
      </c>
      <c r="B222" s="5" t="inlineStr">
        <is>
          <t>GU-2473</t>
        </is>
      </c>
      <c r="D222" s="5" t="inlineStr">
        <is>
          <t>ジャッキー スモール ショルダーバッグ</t>
        </is>
      </c>
      <c r="E222" s="5" t="inlineStr">
        <is>
          <t>782849 AADHF 4841</t>
        </is>
      </c>
      <c r="F222" s="5" t="inlineStr">
        <is>
          <t>パステルグリーン パテントレザー</t>
        </is>
      </c>
      <c r="G222" s="11" t="inlineStr">
        <is>
          <t>SOLD</t>
        </is>
      </c>
      <c r="H222" s="22" t="inlineStr">
        <is>
          <t>SOLD</t>
        </is>
      </c>
      <c r="I222" s="18" t="n">
        <v>440000</v>
      </c>
      <c r="J222" s="23" t="inlineStr">
        <is>
          <t>NOTFOUND</t>
        </is>
      </c>
      <c r="K222" s="20" t="n">
        <v>0</v>
      </c>
      <c r="L222" s="4" t="inlineStr">
        <is>
          <t>https://www.gucci.com/jp/ja/pr/women/handbags/shoulder-bags-for-women/half-moon-bags-for-women/gucci-jackie-small-shoulder-bag-p-782849AADHF4841</t>
        </is>
      </c>
      <c r="M222" s="5">
        <f t="array" ref="M222">_xlfn.IFS(J222="NOTFOUND",I222,J222&gt;=I222,J222)</f>
        <v/>
      </c>
    </row>
    <row r="223" ht="18" customHeight="1" s="16">
      <c r="A223" s="5" t="n">
        <v>222</v>
      </c>
      <c r="B223" s="5" t="inlineStr">
        <is>
          <t>GU-2474</t>
        </is>
      </c>
      <c r="D223" s="5" t="inlineStr">
        <is>
          <t>ジャッキー スモール ショルダーバッグ</t>
        </is>
      </c>
      <c r="E223" s="5" t="inlineStr">
        <is>
          <t>782849 AADHF 1060</t>
        </is>
      </c>
      <c r="F223" s="5" t="inlineStr">
        <is>
          <t>ブラック パテントレザー</t>
        </is>
      </c>
      <c r="G223" s="11" t="inlineStr">
        <is>
          <t>SOLD</t>
        </is>
      </c>
      <c r="H223" s="22" t="inlineStr">
        <is>
          <t>SOLD</t>
        </is>
      </c>
      <c r="I223" s="18" t="n">
        <v>440000</v>
      </c>
      <c r="J223" s="23" t="inlineStr">
        <is>
          <t>NOTFOUND</t>
        </is>
      </c>
      <c r="K223" s="20" t="n">
        <v>0</v>
      </c>
      <c r="L223" s="4" t="inlineStr">
        <is>
          <t>https://www.gucci.com/jp/ja/pr/women/handbags/shoulder-bags-for-women/half-moon-bags-for-women/gucci-jackie-small-shoulder-bag-p-782849AADHF1060</t>
        </is>
      </c>
      <c r="M223" s="5">
        <f t="array" ref="M223">_xlfn.IFS(J223="NOTFOUND",I223,J223&gt;=I223,J223)</f>
        <v/>
      </c>
    </row>
    <row r="224" ht="18" customHeight="1" s="16">
      <c r="A224" s="5" t="n">
        <v>223</v>
      </c>
      <c r="B224" s="5" t="inlineStr">
        <is>
          <t>GU-2475</t>
        </is>
      </c>
      <c r="D224" s="5" t="inlineStr">
        <is>
          <t>ダイアナ スモール トートバッグ</t>
        </is>
      </c>
      <c r="E224" s="5" t="inlineStr">
        <is>
          <t>750396 UAAAY 9043</t>
        </is>
      </c>
      <c r="F224" s="5" t="inlineStr">
        <is>
          <t>ホワイト レザー</t>
        </is>
      </c>
      <c r="G224" s="11" t="inlineStr">
        <is>
          <t>SOLD</t>
        </is>
      </c>
      <c r="H224" s="22" t="inlineStr">
        <is>
          <t>SOLD</t>
        </is>
      </c>
      <c r="I224" s="18" t="n">
        <v>363000</v>
      </c>
      <c r="J224" s="23" t="inlineStr">
        <is>
          <t>NOTFOUND</t>
        </is>
      </c>
      <c r="K224" s="20" t="n">
        <v>0</v>
      </c>
      <c r="L224" s="4" t="inlineStr">
        <is>
          <t>https://www.gucci.com/jp/ja/pr/women/handbags/shoulder-bags-for-women/gucci-diana-small-tote-bag-p-750396UAAAY9043</t>
        </is>
      </c>
      <c r="M224" s="5">
        <f t="array" ref="M224">_xlfn.IFS(J224="NOTFOUND",I224,J224&gt;=I224,J224)</f>
        <v/>
      </c>
    </row>
    <row r="225" ht="18" customHeight="1" s="16">
      <c r="A225" s="5" t="n">
        <v>224</v>
      </c>
      <c r="B225" s="5" t="inlineStr">
        <is>
          <t>GU-2476</t>
        </is>
      </c>
      <c r="D225" s="5" t="inlineStr">
        <is>
          <t>ダイアナ スモール トートバッグ</t>
        </is>
      </c>
      <c r="E225" s="5" t="inlineStr">
        <is>
          <t>750396 UAAAY 1092</t>
        </is>
      </c>
      <c r="F225" s="5" t="inlineStr">
        <is>
          <t>ブラック レザー</t>
        </is>
      </c>
      <c r="G225" s="11" t="inlineStr">
        <is>
          <t>SOLD</t>
        </is>
      </c>
      <c r="H225" s="22" t="inlineStr">
        <is>
          <t>SOLD</t>
        </is>
      </c>
      <c r="I225" s="18" t="n">
        <v>363000</v>
      </c>
      <c r="J225" s="23" t="inlineStr">
        <is>
          <t>NOTFOUND</t>
        </is>
      </c>
      <c r="K225" s="20" t="n">
        <v>0</v>
      </c>
      <c r="L225" s="4" t="inlineStr">
        <is>
          <t>https://www.gucci.com/jp/ja/pr/women/handbags/shoulder-bags-for-women/gucci-diana-small-tote-bag-p-750396UAAAY1092</t>
        </is>
      </c>
      <c r="M225" s="5">
        <f t="array" ref="M225">_xlfn.IFS(J225="NOTFOUND",I225,J225&gt;=I225,J225)</f>
        <v/>
      </c>
    </row>
    <row r="226" ht="18" customHeight="1" s="16">
      <c r="A226" s="5" t="n">
        <v>225</v>
      </c>
      <c r="B226" s="5" t="inlineStr">
        <is>
          <t>GU-2477</t>
        </is>
      </c>
      <c r="D226" s="5" t="inlineStr">
        <is>
          <t>ダイアナ ミディアム トートバッグ</t>
        </is>
      </c>
      <c r="E226" s="5" t="inlineStr">
        <is>
          <t>750394 UAAAY 3145</t>
        </is>
      </c>
      <c r="F226" s="5" t="inlineStr">
        <is>
          <t xml:space="preserve">  -</t>
        </is>
      </c>
      <c r="G226" s="11" t="inlineStr">
        <is>
          <t>SOLD</t>
        </is>
      </c>
      <c r="H226" s="22" t="inlineStr">
        <is>
          <t>SOLD</t>
        </is>
      </c>
      <c r="I226" s="18" t="n">
        <v>429000</v>
      </c>
      <c r="J226" s="23" t="inlineStr">
        <is>
          <t>NOTFOUND</t>
        </is>
      </c>
      <c r="K226" s="20" t="n">
        <v>0</v>
      </c>
      <c r="L226" s="4" t="inlineStr">
        <is>
          <t>https://www.gucci.com/jp/ja/pr/women/handbags/tote-bags-for-women/gucci-diana-medium-tote-bag-p-750394UAAAY3145</t>
        </is>
      </c>
      <c r="M226" s="5">
        <f t="array" ref="M226">_xlfn.IFS(J226="NOTFOUND",I226,J226&gt;=I226,J226)</f>
        <v/>
      </c>
    </row>
    <row r="227" ht="18" customHeight="1" s="16">
      <c r="A227" s="5" t="n">
        <v>226</v>
      </c>
      <c r="B227" s="5" t="inlineStr">
        <is>
          <t>GU-2478</t>
        </is>
      </c>
      <c r="D227" s="5" t="inlineStr">
        <is>
          <t>ダイアナ スモール ショルダーバッグ</t>
        </is>
      </c>
      <c r="E227" s="5" t="inlineStr">
        <is>
          <t>746251 UAAAY 9043</t>
        </is>
      </c>
      <c r="F227" s="5" t="inlineStr">
        <is>
          <t>ホワイト レザー</t>
        </is>
      </c>
      <c r="G227" s="10" t="inlineStr">
        <is>
          <t>OneSize</t>
        </is>
      </c>
      <c r="H227" s="17" t="inlineStr">
        <is>
          <t>OneSize</t>
        </is>
      </c>
      <c r="I227" s="18" t="n">
        <v>346500</v>
      </c>
      <c r="J227" s="19" t="n">
        <v>346500</v>
      </c>
      <c r="K227" s="20" t="n">
        <v>5</v>
      </c>
      <c r="L227" s="4" t="inlineStr">
        <is>
          <t>https://www.gucci.com/jp/ja/pr/women/handbags/mini-bags-for-women/gucci-diana-small-shoulder-bag-p-746251UAAAY9043</t>
        </is>
      </c>
      <c r="M227" s="5">
        <f t="array" ref="M227">_xlfn.IFS(J227="NOTFOUND",I227,J227&gt;=I227,J227)</f>
        <v/>
      </c>
    </row>
    <row r="228" ht="18" customHeight="1" s="16">
      <c r="A228" s="5" t="n">
        <v>227</v>
      </c>
      <c r="B228" s="5" t="inlineStr">
        <is>
          <t>GU-2479</t>
        </is>
      </c>
      <c r="D228" s="5" t="inlineStr">
        <is>
          <t>ダイアナ スモール ショルダーバッグ</t>
        </is>
      </c>
      <c r="E228" s="5" t="inlineStr">
        <is>
          <t>746251 UAAAY 5742</t>
        </is>
      </c>
      <c r="F228" s="5" t="inlineStr">
        <is>
          <t>ライトベージュ レザー</t>
        </is>
      </c>
      <c r="G228" s="11" t="inlineStr">
        <is>
          <t>SOLD</t>
        </is>
      </c>
      <c r="H228" s="22" t="inlineStr">
        <is>
          <t>SOLD</t>
        </is>
      </c>
      <c r="I228" s="18" t="n">
        <v>346500</v>
      </c>
      <c r="J228" s="23" t="inlineStr">
        <is>
          <t>NOTFOUND</t>
        </is>
      </c>
      <c r="K228" s="20" t="n">
        <v>0</v>
      </c>
      <c r="L228" s="4" t="inlineStr">
        <is>
          <t>https://www.gucci.com/jp/ja/pr/women/handbags/mini-bags-for-women/gucci-diana-small-shoulder-bag-p-746251UAAAY5742</t>
        </is>
      </c>
      <c r="M228" s="5">
        <f t="array" ref="M228">_xlfn.IFS(J228="NOTFOUND",I228,J228&gt;=I228,J228)</f>
        <v/>
      </c>
    </row>
    <row r="229" ht="18" customHeight="1" s="16">
      <c r="A229" s="5" t="n">
        <v>228</v>
      </c>
      <c r="B229" s="5" t="inlineStr">
        <is>
          <t>GU-2480</t>
        </is>
      </c>
      <c r="D229" s="5" t="inlineStr">
        <is>
          <t>ダイアナ スモール ショルダーバッグ</t>
        </is>
      </c>
      <c r="E229" s="5" t="inlineStr">
        <is>
          <t>746251 UAAAY 3441</t>
        </is>
      </c>
      <c r="F229" s="5" t="inlineStr">
        <is>
          <t>ペールグリーン レザー</t>
        </is>
      </c>
      <c r="G229" s="11" t="inlineStr">
        <is>
          <t>SOLD</t>
        </is>
      </c>
      <c r="H229" s="22" t="inlineStr">
        <is>
          <t>SOLD</t>
        </is>
      </c>
      <c r="I229" s="18" t="n">
        <v>346500</v>
      </c>
      <c r="J229" s="23" t="inlineStr">
        <is>
          <t>NOTFOUND</t>
        </is>
      </c>
      <c r="K229" s="20" t="n">
        <v>0</v>
      </c>
      <c r="L229" s="4" t="inlineStr">
        <is>
          <t>https://www.gucci.com/jp/ja/pr/women/handbags/mini-bags-for-women/gucci-diana-small-shoulder-bag-p-746251UAAAY3441</t>
        </is>
      </c>
      <c r="M229" s="5">
        <f t="array" ref="M229">_xlfn.IFS(J229="NOTFOUND",I229,J229&gt;=I229,J229)</f>
        <v/>
      </c>
    </row>
    <row r="230" ht="18" customHeight="1" s="16">
      <c r="A230" s="5" t="n">
        <v>229</v>
      </c>
      <c r="B230" s="5" t="inlineStr">
        <is>
          <t>GU-2481</t>
        </is>
      </c>
      <c r="D230" s="5" t="inlineStr">
        <is>
          <t>ダイアナ スモール ショルダーバッグ</t>
        </is>
      </c>
      <c r="E230" s="5" t="inlineStr">
        <is>
          <t>746251 UAAAY 4949</t>
        </is>
      </c>
      <c r="F230" s="5" t="inlineStr">
        <is>
          <t>ペールブルー レザー</t>
        </is>
      </c>
      <c r="G230" s="11" t="inlineStr">
        <is>
          <t>SOLD</t>
        </is>
      </c>
      <c r="H230" s="22" t="inlineStr">
        <is>
          <t>SOLD</t>
        </is>
      </c>
      <c r="I230" s="18" t="n">
        <v>346500</v>
      </c>
      <c r="J230" s="23" t="inlineStr">
        <is>
          <t>NOTFOUND</t>
        </is>
      </c>
      <c r="K230" s="20" t="n">
        <v>0</v>
      </c>
      <c r="L230" s="4" t="inlineStr">
        <is>
          <t>https://www.gucci.com/jp/ja/pr/women/handbags/mini-bags-for-women/gucci-diana-small-shoulder-bag-p-746251UAAAY4949</t>
        </is>
      </c>
      <c r="M230" s="5">
        <f t="array" ref="M230">_xlfn.IFS(J230="NOTFOUND",I230,J230&gt;=I230,J230)</f>
        <v/>
      </c>
    </row>
    <row r="231" ht="18" customHeight="1" s="16">
      <c r="A231" s="5" t="n">
        <v>230</v>
      </c>
      <c r="B231" s="5" t="inlineStr">
        <is>
          <t>GU-2482</t>
        </is>
      </c>
      <c r="D231" s="5" t="inlineStr">
        <is>
          <t>ダイアナ ラージ ショルダーバッグ</t>
        </is>
      </c>
      <c r="E231" s="5" t="inlineStr">
        <is>
          <t>746245 UAAAY 1092</t>
        </is>
      </c>
      <c r="F231" s="5" t="inlineStr">
        <is>
          <t xml:space="preserve">  -</t>
        </is>
      </c>
      <c r="G231" s="10" t="inlineStr">
        <is>
          <t>OneSize</t>
        </is>
      </c>
      <c r="H231" s="17" t="inlineStr">
        <is>
          <t>OneSize</t>
        </is>
      </c>
      <c r="I231" s="18" t="n">
        <v>473000</v>
      </c>
      <c r="J231" s="19" t="n">
        <v>495000</v>
      </c>
      <c r="K231" s="20" t="n">
        <v>5</v>
      </c>
      <c r="L231" s="4" t="inlineStr">
        <is>
          <t>https://www.gucci.com/jp/ja/pr/women/handbags/top-handle-bags-for-women/gucci-diana-large-shoulder-bag-p-746245UAAAY1092</t>
        </is>
      </c>
      <c r="M231" s="5">
        <f t="array" ref="M231">_xlfn.IFS(J231="NOTFOUND",I231,J231&gt;=I231,J231)</f>
        <v/>
      </c>
    </row>
    <row r="232" ht="18" customHeight="1" s="16">
      <c r="A232" s="5" t="n">
        <v>231</v>
      </c>
      <c r="B232" s="5" t="inlineStr">
        <is>
          <t>GU-2483</t>
        </is>
      </c>
      <c r="D232" s="5" t="inlineStr">
        <is>
          <t>ダイアナ ミディアム ショルダーバッグ</t>
        </is>
      </c>
      <c r="E232" s="5" t="inlineStr">
        <is>
          <t>746124 UAAAY 9043</t>
        </is>
      </c>
      <c r="F232" s="5" t="inlineStr">
        <is>
          <t>ホワイト レザー</t>
        </is>
      </c>
      <c r="G232" s="10" t="inlineStr">
        <is>
          <t>OneSize</t>
        </is>
      </c>
      <c r="H232" s="17" t="inlineStr">
        <is>
          <t>OneSize</t>
        </is>
      </c>
      <c r="I232" s="18" t="n">
        <v>401500</v>
      </c>
      <c r="J232" s="19" t="n">
        <v>412500</v>
      </c>
      <c r="K232" s="20" t="n">
        <v>5</v>
      </c>
      <c r="L232" s="4" t="inlineStr">
        <is>
          <t>https://www.gucci.com/jp/ja/pr/women/handbags/top-handle-bags-for-women/gucci-diana-medium-shoulder-bag-p-746124UAAAY9043</t>
        </is>
      </c>
      <c r="M232" s="5">
        <f t="array" ref="M232">_xlfn.IFS(J232="NOTFOUND",I232,J232&gt;=I232,J232)</f>
        <v/>
      </c>
    </row>
    <row r="233" ht="18" customHeight="1" s="16">
      <c r="A233" s="5" t="n">
        <v>232</v>
      </c>
      <c r="B233" s="5" t="inlineStr">
        <is>
          <t>GU-2484</t>
        </is>
      </c>
      <c r="D233" s="5" t="inlineStr">
        <is>
          <t>ダイアナ ミディアム ショルダーバッグ</t>
        </is>
      </c>
      <c r="E233" s="5" t="inlineStr">
        <is>
          <t>746124 UAAAY 5742</t>
        </is>
      </c>
      <c r="F233" s="5" t="inlineStr">
        <is>
          <t>ライトベージュ レザー</t>
        </is>
      </c>
      <c r="G233" s="11" t="inlineStr">
        <is>
          <t>SOLD</t>
        </is>
      </c>
      <c r="H233" s="22" t="inlineStr">
        <is>
          <t>SOLD</t>
        </is>
      </c>
      <c r="I233" s="18" t="n">
        <v>401500</v>
      </c>
      <c r="J233" s="23" t="inlineStr">
        <is>
          <t>NOTFOUND</t>
        </is>
      </c>
      <c r="K233" s="20" t="n">
        <v>0</v>
      </c>
      <c r="L233" s="4" t="inlineStr">
        <is>
          <t>https://www.gucci.com/jp/ja/pr/women/handbags/top-handle-bags-for-women/gucci-diana-medium-shoulder-bag-p-746124UAAAY5742</t>
        </is>
      </c>
      <c r="M233" s="5">
        <f t="array" ref="M233">_xlfn.IFS(J233="NOTFOUND",I233,J233&gt;=I233,J233)</f>
        <v/>
      </c>
    </row>
    <row r="234" ht="18" customHeight="1" s="16">
      <c r="A234" s="5" t="n">
        <v>233</v>
      </c>
      <c r="B234" s="5" t="inlineStr">
        <is>
          <t>GU-2485</t>
        </is>
      </c>
      <c r="D234" s="5" t="inlineStr">
        <is>
          <t>ダイアナ ミディアム ショルダーバッグ</t>
        </is>
      </c>
      <c r="E234" s="5" t="inlineStr">
        <is>
          <t>746124 UAAAY 2548</t>
        </is>
      </c>
      <c r="F234" s="5" t="inlineStr">
        <is>
          <t>ブラウン レザー</t>
        </is>
      </c>
      <c r="G234" s="11" t="inlineStr">
        <is>
          <t>SOLD</t>
        </is>
      </c>
      <c r="H234" s="22" t="inlineStr">
        <is>
          <t>SOLD</t>
        </is>
      </c>
      <c r="I234" s="18" t="n">
        <v>401500</v>
      </c>
      <c r="J234" s="19" t="n">
        <v>412500</v>
      </c>
      <c r="K234" s="20" t="n">
        <v>0</v>
      </c>
      <c r="L234" s="4" t="inlineStr">
        <is>
          <t>https://www.gucci.com/jp/ja/pr/women/handbags/top-handle-bags-for-women/gucci-diana-medium-shoulder-bag-p-746124UAAAY2548</t>
        </is>
      </c>
      <c r="M234" s="5">
        <f t="array" ref="M234">_xlfn.IFS(J234="NOTFOUND",I234,J234&gt;=I234,J234)</f>
        <v/>
      </c>
    </row>
    <row r="235" ht="18" customHeight="1" s="16">
      <c r="A235" s="5" t="n">
        <v>234</v>
      </c>
      <c r="B235" s="5" t="inlineStr">
        <is>
          <t>GU-2486</t>
        </is>
      </c>
      <c r="D235" s="5" t="inlineStr">
        <is>
          <t>ダイアナ ミディアム ショルダーバッグ</t>
        </is>
      </c>
      <c r="E235" s="5" t="inlineStr">
        <is>
          <t>746124 UAAAY 1092</t>
        </is>
      </c>
      <c r="F235" s="5" t="inlineStr">
        <is>
          <t>ブラック レザー</t>
        </is>
      </c>
      <c r="G235" s="10" t="inlineStr">
        <is>
          <t>OneSize</t>
        </is>
      </c>
      <c r="H235" s="17" t="inlineStr">
        <is>
          <t>OneSize</t>
        </is>
      </c>
      <c r="I235" s="18" t="n">
        <v>401500</v>
      </c>
      <c r="J235" s="19" t="n">
        <v>412500</v>
      </c>
      <c r="K235" s="20" t="n">
        <v>5</v>
      </c>
      <c r="L235" s="4" t="inlineStr">
        <is>
          <t>https://www.gucci.com/jp/ja/pr/women/handbags/top-handle-bags-for-women/gucci-diana-medium-shoulder-bag-p-746124UAAAY1092</t>
        </is>
      </c>
      <c r="M235" s="5">
        <f t="array" ref="M235">_xlfn.IFS(J235="NOTFOUND",I235,J235&gt;=I235,J235)</f>
        <v/>
      </c>
    </row>
    <row r="236" ht="18" customHeight="1" s="16">
      <c r="A236" s="5" t="n">
        <v>235</v>
      </c>
      <c r="B236" s="5" t="inlineStr">
        <is>
          <t>GU-2487</t>
        </is>
      </c>
      <c r="D236" s="5" t="inlineStr">
        <is>
          <t>ダイアナ ミニ トートバッグ</t>
        </is>
      </c>
      <c r="E236" s="5" t="inlineStr">
        <is>
          <t>739079 DJ24T 9058</t>
        </is>
      </c>
      <c r="F236" s="5" t="inlineStr">
        <is>
          <t>ホワイト レザー</t>
        </is>
      </c>
      <c r="G236" s="10" t="inlineStr">
        <is>
          <t>OneSize</t>
        </is>
      </c>
      <c r="H236" s="17" t="inlineStr">
        <is>
          <t>OneSize</t>
        </is>
      </c>
      <c r="I236" s="18" t="n">
        <v>308000</v>
      </c>
      <c r="J236" s="19" t="n">
        <v>308000</v>
      </c>
      <c r="K236" s="20" t="n">
        <v>5</v>
      </c>
      <c r="L236" s="4" t="inlineStr">
        <is>
          <t>https://www.gucci.com/jp/ja/pr/women/handbags/shoulder-bags-for-women/gucci-diana-mini-tote-bag-p-739079DJ24T9058</t>
        </is>
      </c>
      <c r="M236" s="5">
        <f t="array" ref="M236">_xlfn.IFS(J236="NOTFOUND",I236,J236&gt;=I236,J236)</f>
        <v/>
      </c>
    </row>
    <row r="237" ht="18" customHeight="1" s="16">
      <c r="A237" s="5" t="n">
        <v>236</v>
      </c>
      <c r="B237" s="5" t="inlineStr">
        <is>
          <t>GU-2488</t>
        </is>
      </c>
      <c r="D237" s="5" t="inlineStr">
        <is>
          <t>ダイアナ スモール ショルダーバッグ</t>
        </is>
      </c>
      <c r="E237" s="5" t="inlineStr">
        <is>
          <t>746251 UAAAY 3441</t>
        </is>
      </c>
      <c r="F237" s="5" t="inlineStr">
        <is>
          <t>ペールグリーン レザー</t>
        </is>
      </c>
      <c r="G237" s="11" t="inlineStr">
        <is>
          <t>SOLD</t>
        </is>
      </c>
      <c r="H237" s="22" t="inlineStr">
        <is>
          <t>SOLD</t>
        </is>
      </c>
      <c r="I237" s="18" t="n">
        <v>346500</v>
      </c>
      <c r="J237" s="23" t="inlineStr">
        <is>
          <t>NOTFOUND</t>
        </is>
      </c>
      <c r="K237" s="20" t="n">
        <v>0</v>
      </c>
      <c r="L237" s="4" t="inlineStr">
        <is>
          <t>https://www.gucci.com/jp/ja/pr/women/handbags/mini-bags-for-women/gucci-diana-small-shoulder-bag-p-746251UAAAY3441</t>
        </is>
      </c>
      <c r="M237" s="5">
        <f t="array" ref="M237">_xlfn.IFS(J237="NOTFOUND",I237,J237&gt;=I237,J237)</f>
        <v/>
      </c>
    </row>
    <row r="238" ht="18" customHeight="1" s="16">
      <c r="A238" s="5" t="n">
        <v>237</v>
      </c>
      <c r="B238" s="5" t="inlineStr">
        <is>
          <t>GU-2489</t>
        </is>
      </c>
      <c r="D238" s="5" t="inlineStr">
        <is>
          <t>ダイアナ スモール ショルダーバッグ</t>
        </is>
      </c>
      <c r="E238" s="5" t="inlineStr">
        <is>
          <t>746251 UAAAY 4949</t>
        </is>
      </c>
      <c r="F238" s="5" t="inlineStr">
        <is>
          <t>ペールブルー レザー</t>
        </is>
      </c>
      <c r="G238" s="11" t="inlineStr">
        <is>
          <t>SOLD</t>
        </is>
      </c>
      <c r="H238" s="22" t="inlineStr">
        <is>
          <t>SOLD</t>
        </is>
      </c>
      <c r="I238" s="18" t="n">
        <v>346500</v>
      </c>
      <c r="J238" s="23" t="inlineStr">
        <is>
          <t>NOTFOUND</t>
        </is>
      </c>
      <c r="K238" s="20" t="n">
        <v>0</v>
      </c>
      <c r="L238" s="4" t="inlineStr">
        <is>
          <t>https://www.gucci.com/jp/ja/pr/women/handbags/mini-bags-for-women/gucci-diana-small-shoulder-bag-p-746251UAAAY4949</t>
        </is>
      </c>
      <c r="M238" s="5">
        <f t="array" ref="M238">_xlfn.IFS(J238="NOTFOUND",I238,J238&gt;=I238,J238)</f>
        <v/>
      </c>
    </row>
    <row r="239" ht="18" customHeight="1" s="16">
      <c r="A239" s="5" t="n">
        <v>238</v>
      </c>
      <c r="B239" s="5" t="inlineStr">
        <is>
          <t>GU-2490</t>
        </is>
      </c>
      <c r="D239" s="5" t="inlineStr">
        <is>
          <t>ダイアナ ラージ ショルダーバッグ</t>
        </is>
      </c>
      <c r="E239" s="5" t="inlineStr">
        <is>
          <t>746245 UAAAY 1092</t>
        </is>
      </c>
      <c r="F239" s="5" t="inlineStr">
        <is>
          <t xml:space="preserve">  -</t>
        </is>
      </c>
      <c r="G239" s="10" t="inlineStr">
        <is>
          <t>OneSize</t>
        </is>
      </c>
      <c r="H239" s="17" t="inlineStr">
        <is>
          <t>OneSize</t>
        </is>
      </c>
      <c r="I239" s="18" t="n">
        <v>473000</v>
      </c>
      <c r="J239" s="19" t="n">
        <v>495000</v>
      </c>
      <c r="K239" s="20" t="n">
        <v>5</v>
      </c>
      <c r="L239" s="4" t="inlineStr">
        <is>
          <t>https://www.gucci.com/jp/ja/pr/women/handbags/top-handle-bags-for-women/gucci-diana-large-shoulder-bag-p-746245UAAAY1092</t>
        </is>
      </c>
      <c r="M239" s="5">
        <f t="array" ref="M239">_xlfn.IFS(J239="NOTFOUND",I239,J239&gt;=I239,J239)</f>
        <v/>
      </c>
    </row>
    <row r="240" ht="18" customHeight="1" s="16">
      <c r="A240" s="5" t="n">
        <v>239</v>
      </c>
      <c r="B240" s="5" t="inlineStr">
        <is>
          <t>GU-2491</t>
        </is>
      </c>
      <c r="D240" s="5" t="inlineStr">
        <is>
          <t>ダイアナ ミディアム ショルダーバッグ</t>
        </is>
      </c>
      <c r="E240" s="5" t="inlineStr">
        <is>
          <t>746124 UAAAY 9043</t>
        </is>
      </c>
      <c r="F240" s="5" t="inlineStr">
        <is>
          <t>ホワイト レザー</t>
        </is>
      </c>
      <c r="G240" s="10" t="inlineStr">
        <is>
          <t>OneSize</t>
        </is>
      </c>
      <c r="H240" s="17" t="inlineStr">
        <is>
          <t>OneSize</t>
        </is>
      </c>
      <c r="I240" s="18" t="n">
        <v>401500</v>
      </c>
      <c r="J240" s="19" t="n">
        <v>412500</v>
      </c>
      <c r="K240" s="20" t="n">
        <v>5</v>
      </c>
      <c r="L240" s="4" t="inlineStr">
        <is>
          <t>https://www.gucci.com/jp/ja/pr/women/handbags/top-handle-bags-for-women/gucci-diana-medium-shoulder-bag-p-746124UAAAY9043</t>
        </is>
      </c>
      <c r="M240" s="5">
        <f t="array" ref="M240">_xlfn.IFS(J240="NOTFOUND",I240,J240&gt;=I240,J240)</f>
        <v/>
      </c>
    </row>
    <row r="241" ht="18" customHeight="1" s="16">
      <c r="A241" s="5" t="n">
        <v>240</v>
      </c>
      <c r="B241" s="5" t="inlineStr">
        <is>
          <t>GU-2492</t>
        </is>
      </c>
      <c r="D241" s="5" t="inlineStr">
        <is>
          <t>ダイアナ ミディアム ショルダーバッグ</t>
        </is>
      </c>
      <c r="E241" s="5" t="inlineStr">
        <is>
          <t>746124 UAAAY 5742</t>
        </is>
      </c>
      <c r="F241" s="5" t="inlineStr">
        <is>
          <t>ライトベージュ レザー</t>
        </is>
      </c>
      <c r="G241" s="11" t="inlineStr">
        <is>
          <t>SOLD</t>
        </is>
      </c>
      <c r="H241" s="22" t="inlineStr">
        <is>
          <t>SOLD</t>
        </is>
      </c>
      <c r="I241" s="18" t="n">
        <v>401500</v>
      </c>
      <c r="J241" s="23" t="inlineStr">
        <is>
          <t>NOTFOUND</t>
        </is>
      </c>
      <c r="K241" s="20" t="n">
        <v>0</v>
      </c>
      <c r="L241" s="4" t="inlineStr">
        <is>
          <t>https://www.gucci.com/jp/ja/pr/women/handbags/top-handle-bags-for-women/gucci-diana-medium-shoulder-bag-p-746124UAAAY5742</t>
        </is>
      </c>
      <c r="M241" s="5">
        <f t="array" ref="M241">_xlfn.IFS(J241="NOTFOUND",I241,J241&gt;=I241,J241)</f>
        <v/>
      </c>
    </row>
    <row r="242" ht="18" customHeight="1" s="16">
      <c r="A242" s="5" t="n">
        <v>241</v>
      </c>
      <c r="B242" s="5" t="inlineStr">
        <is>
          <t>GU-2493</t>
        </is>
      </c>
      <c r="D242" s="5" t="inlineStr">
        <is>
          <t>ダイアナ ミディアム ショルダーバッグ</t>
        </is>
      </c>
      <c r="E242" s="5" t="inlineStr">
        <is>
          <t>746124 UAAAY 2548</t>
        </is>
      </c>
      <c r="F242" s="5" t="inlineStr">
        <is>
          <t>ブラウン レザー</t>
        </is>
      </c>
      <c r="G242" s="11" t="inlineStr">
        <is>
          <t>SOLD</t>
        </is>
      </c>
      <c r="H242" s="22" t="inlineStr">
        <is>
          <t>SOLD</t>
        </is>
      </c>
      <c r="I242" s="18" t="n">
        <v>401500</v>
      </c>
      <c r="J242" s="19" t="n">
        <v>412500</v>
      </c>
      <c r="K242" s="20" t="n">
        <v>0</v>
      </c>
      <c r="L242" s="4" t="inlineStr">
        <is>
          <t>https://www.gucci.com/jp/ja/pr/women/handbags/top-handle-bags-for-women/gucci-diana-medium-shoulder-bag-p-746124UAAAY2548</t>
        </is>
      </c>
      <c r="M242" s="5">
        <f t="array" ref="M242">_xlfn.IFS(J242="NOTFOUND",I242,J242&gt;=I242,J242)</f>
        <v/>
      </c>
    </row>
    <row r="243" ht="18" customHeight="1" s="16">
      <c r="A243" s="5" t="n">
        <v>242</v>
      </c>
      <c r="B243" s="5" t="inlineStr">
        <is>
          <t>GU-2494</t>
        </is>
      </c>
      <c r="D243" s="5" t="inlineStr">
        <is>
          <t>ダイアナ ミディアム ショルダーバッグ</t>
        </is>
      </c>
      <c r="E243" s="5" t="inlineStr">
        <is>
          <t>746124 UAAAY 1092</t>
        </is>
      </c>
      <c r="F243" s="5" t="inlineStr">
        <is>
          <t>ブラック レザー</t>
        </is>
      </c>
      <c r="G243" s="10" t="inlineStr">
        <is>
          <t>OneSize</t>
        </is>
      </c>
      <c r="H243" s="17" t="inlineStr">
        <is>
          <t>OneSize</t>
        </is>
      </c>
      <c r="I243" s="18" t="n">
        <v>401500</v>
      </c>
      <c r="J243" s="19" t="n">
        <v>412500</v>
      </c>
      <c r="K243" s="20" t="n">
        <v>5</v>
      </c>
      <c r="L243" s="4" t="inlineStr">
        <is>
          <t>https://www.gucci.com/jp/ja/pr/women/handbags/top-handle-bags-for-women/gucci-diana-medium-shoulder-bag-p-746124UAAAY1092</t>
        </is>
      </c>
      <c r="M243" s="5">
        <f t="array" ref="M243">_xlfn.IFS(J243="NOTFOUND",I243,J243&gt;=I243,J243)</f>
        <v/>
      </c>
    </row>
    <row r="244" ht="18" customHeight="1" s="16">
      <c r="A244" s="5" t="n">
        <v>243</v>
      </c>
      <c r="B244" s="5" t="inlineStr">
        <is>
          <t>GU-2495</t>
        </is>
      </c>
      <c r="D244" s="5" t="inlineStr">
        <is>
          <t>ダイアナ ミニ トートバッグ</t>
        </is>
      </c>
      <c r="E244" s="5" t="inlineStr">
        <is>
          <t>739079 DJ24T 9058</t>
        </is>
      </c>
      <c r="F244" s="5" t="inlineStr">
        <is>
          <t>ホワイト レザー</t>
        </is>
      </c>
      <c r="G244" s="10" t="inlineStr">
        <is>
          <t>OneSize</t>
        </is>
      </c>
      <c r="H244" s="17" t="inlineStr">
        <is>
          <t>OneSize</t>
        </is>
      </c>
      <c r="I244" s="18" t="n">
        <v>308000</v>
      </c>
      <c r="J244" s="19" t="n">
        <v>308000</v>
      </c>
      <c r="K244" s="20" t="n">
        <v>5</v>
      </c>
      <c r="L244" s="4" t="inlineStr">
        <is>
          <t>https://www.gucci.com/jp/ja/pr/women/handbags/shoulder-bags-for-women/gucci-diana-mini-tote-bag-p-739079DJ24T9058</t>
        </is>
      </c>
      <c r="M244" s="5">
        <f t="array" ref="M244">_xlfn.IFS(J244="NOTFOUND",I244,J244&gt;=I244,J244)</f>
        <v/>
      </c>
    </row>
    <row r="245" ht="18" customHeight="1" s="16">
      <c r="A245" s="5" t="n">
        <v>244</v>
      </c>
      <c r="B245" s="5" t="inlineStr">
        <is>
          <t>GU-2496</t>
        </is>
      </c>
      <c r="D245" s="5" t="inlineStr">
        <is>
          <t>ダイアナ ミニ トートバッグ</t>
        </is>
      </c>
      <c r="E245" s="5" t="inlineStr">
        <is>
          <t>739079 DJ24T 2548</t>
        </is>
      </c>
      <c r="F245" s="5" t="inlineStr">
        <is>
          <t>ブラウン レザー</t>
        </is>
      </c>
      <c r="G245" s="10" t="inlineStr">
        <is>
          <t>OneSize</t>
        </is>
      </c>
      <c r="H245" s="17" t="inlineStr">
        <is>
          <t>OneSize</t>
        </is>
      </c>
      <c r="I245" s="18" t="n">
        <v>308000</v>
      </c>
      <c r="J245" s="19" t="n">
        <v>308000</v>
      </c>
      <c r="K245" s="20" t="n">
        <v>5</v>
      </c>
      <c r="L245" s="4" t="inlineStr">
        <is>
          <t>https://www.gucci.com/jp/ja/pr/women/handbags/shoulder-bags-for-women/gucci-diana-mini-tote-bag-p-739079DJ24T2548</t>
        </is>
      </c>
      <c r="M245" s="5">
        <f t="array" ref="M245">_xlfn.IFS(J245="NOTFOUND",I245,J245&gt;=I245,J245)</f>
        <v/>
      </c>
    </row>
    <row r="246" ht="18" customHeight="1" s="16">
      <c r="A246" s="5" t="n">
        <v>245</v>
      </c>
      <c r="B246" s="5" t="inlineStr">
        <is>
          <t>GU-2497</t>
        </is>
      </c>
      <c r="D246" s="5" t="inlineStr">
        <is>
          <t>ダイアナ ミニ トートバッグ</t>
        </is>
      </c>
      <c r="E246" s="5" t="inlineStr">
        <is>
          <t>739079 DJ24T 1092</t>
        </is>
      </c>
      <c r="F246" s="5" t="inlineStr">
        <is>
          <t>ブラック レザー</t>
        </is>
      </c>
      <c r="G246" s="10" t="inlineStr">
        <is>
          <t>OneSize</t>
        </is>
      </c>
      <c r="H246" s="17" t="inlineStr">
        <is>
          <t>OneSize</t>
        </is>
      </c>
      <c r="I246" s="18" t="n">
        <v>308000</v>
      </c>
      <c r="J246" s="19" t="n">
        <v>308000</v>
      </c>
      <c r="K246" s="20" t="n">
        <v>5</v>
      </c>
      <c r="L246" s="4" t="inlineStr">
        <is>
          <t>https://www.gucci.com/jp/ja/pr/women/handbags/shoulder-bags-for-women/gucci-diana-mini-tote-bag-p-739079DJ24T1092</t>
        </is>
      </c>
      <c r="M246" s="5">
        <f t="array" ref="M246">_xlfn.IFS(J246="NOTFOUND",I246,J246&gt;=I246,J246)</f>
        <v/>
      </c>
    </row>
    <row r="247" ht="18" customHeight="1" s="16">
      <c r="A247" s="5" t="n">
        <v>246</v>
      </c>
      <c r="B247" s="5" t="inlineStr">
        <is>
          <t>GU-2498</t>
        </is>
      </c>
      <c r="D247" s="5" t="inlineStr">
        <is>
          <t>ダイアナ ミニ トートバッグ</t>
        </is>
      </c>
      <c r="E247" s="5" t="inlineStr">
        <is>
          <t>707449 21HRG 2687</t>
        </is>
      </c>
      <c r="F247" s="5" t="inlineStr">
        <is>
          <t xml:space="preserve">  -</t>
        </is>
      </c>
      <c r="G247" s="10" t="inlineStr">
        <is>
          <t>OneSize</t>
        </is>
      </c>
      <c r="H247" s="17" t="inlineStr">
        <is>
          <t>OneSize</t>
        </is>
      </c>
      <c r="I247" s="18" t="n">
        <v>539000</v>
      </c>
      <c r="J247" s="19" t="n">
        <v>550000</v>
      </c>
      <c r="K247" s="20" t="n">
        <v>5</v>
      </c>
      <c r="L247" s="4" t="inlineStr">
        <is>
          <t>https://www.gucci.com/jp/ja/pr/women/handbags/mini-bags-for-women/gucci-diana-mini-tote-bag-p-70744921HRG2687</t>
        </is>
      </c>
      <c r="M247" s="5">
        <f t="array" ref="M247">_xlfn.IFS(J247="NOTFOUND",I247,J247&gt;=I247,J247)</f>
        <v/>
      </c>
    </row>
    <row r="248" ht="18" customHeight="1" s="16">
      <c r="A248" s="5" t="n">
        <v>247</v>
      </c>
      <c r="B248" s="5" t="inlineStr">
        <is>
          <t>GU-2499</t>
        </is>
      </c>
      <c r="D248" s="5" t="inlineStr">
        <is>
          <t>ダイアナ ミニ トートバッグ</t>
        </is>
      </c>
      <c r="E248" s="5" t="inlineStr">
        <is>
          <t>702732 AAA5Y 1060</t>
        </is>
      </c>
      <c r="F248" s="5" t="inlineStr">
        <is>
          <t>ブラック レザー</t>
        </is>
      </c>
      <c r="G248" s="11" t="inlineStr">
        <is>
          <t>SOLD</t>
        </is>
      </c>
      <c r="H248" s="22" t="inlineStr">
        <is>
          <t>SOLD</t>
        </is>
      </c>
      <c r="I248" s="18" t="n">
        <v>473000</v>
      </c>
      <c r="J248" s="19" t="n">
        <v>506000</v>
      </c>
      <c r="K248" s="20" t="n">
        <v>0</v>
      </c>
      <c r="L248" s="4" t="inlineStr">
        <is>
          <t>https://www.gucci.com/jp/ja/pr/women/handbags/shoulder-bags-for-women/gucci-diana-mini-tote-bag-p-702732AAA5Y1060</t>
        </is>
      </c>
      <c r="M248" s="5">
        <f t="array" ref="M248">_xlfn.IFS(J248="NOTFOUND",I248,J248&gt;=I248,J248)</f>
        <v/>
      </c>
    </row>
    <row r="249" ht="18" customHeight="1" s="16">
      <c r="A249" s="5" t="n">
        <v>248</v>
      </c>
      <c r="B249" s="5" t="inlineStr">
        <is>
          <t>GU-2500</t>
        </is>
      </c>
      <c r="D249" s="5" t="inlineStr">
        <is>
          <t>ダイアナ ミニ トートバッグ</t>
        </is>
      </c>
      <c r="E249" s="5" t="inlineStr">
        <is>
          <t>702732 U3ZDT 9244</t>
        </is>
      </c>
      <c r="F249" s="5" t="inlineStr">
        <is>
          <t>ホワイト レザー</t>
        </is>
      </c>
      <c r="G249" s="10" t="inlineStr">
        <is>
          <t>OneSize</t>
        </is>
      </c>
      <c r="H249" s="17" t="inlineStr">
        <is>
          <t>OneSize</t>
        </is>
      </c>
      <c r="I249" s="18" t="n">
        <v>473000</v>
      </c>
      <c r="J249" s="19" t="n">
        <v>506000</v>
      </c>
      <c r="K249" s="20" t="n">
        <v>5</v>
      </c>
      <c r="L249" s="4" t="inlineStr">
        <is>
          <t>https://www.gucci.com/jp/ja/pr/women/handbags/shoulder-bags-for-women/gucci-diana-mini-tote-bag-p-702732U3ZDT9244</t>
        </is>
      </c>
      <c r="M249" s="5">
        <f t="array" ref="M249">_xlfn.IFS(J249="NOTFOUND",I249,J249&gt;=I249,J249)</f>
        <v/>
      </c>
    </row>
    <row r="250" ht="18" customHeight="1" s="16">
      <c r="A250" s="5" t="n">
        <v>249</v>
      </c>
      <c r="B250" s="5" t="inlineStr">
        <is>
          <t>GU-2501</t>
        </is>
      </c>
      <c r="D250" s="5" t="inlineStr">
        <is>
          <t>ダイアナ ミニ トートバッグ</t>
        </is>
      </c>
      <c r="E250" s="5" t="inlineStr">
        <is>
          <t>702732 U3ZDT 7480</t>
        </is>
      </c>
      <c r="F250" s="5" t="inlineStr">
        <is>
          <t>イエロー レザー</t>
        </is>
      </c>
      <c r="G250" s="11" t="inlineStr">
        <is>
          <t>SOLD</t>
        </is>
      </c>
      <c r="H250" s="22" t="inlineStr">
        <is>
          <t>SOLD</t>
        </is>
      </c>
      <c r="I250" s="18" t="n">
        <v>473000</v>
      </c>
      <c r="J250" s="23" t="inlineStr">
        <is>
          <t>NOTFOUND</t>
        </is>
      </c>
      <c r="K250" s="20" t="n">
        <v>0</v>
      </c>
      <c r="L250" s="4" t="inlineStr">
        <is>
          <t>https://www.gucci.com/jp/ja/pr/women/handbags/shoulder-bags-for-women/gucci-diana-mini-tote-bag-p-702732U3ZDT7480</t>
        </is>
      </c>
      <c r="M250" s="5">
        <f t="array" ref="M250">_xlfn.IFS(J250="NOTFOUND",I250,J250&gt;=I250,J250)</f>
        <v/>
      </c>
    </row>
    <row r="251" ht="18" customHeight="1" s="16">
      <c r="A251" s="5" t="n">
        <v>250</v>
      </c>
      <c r="B251" s="5" t="inlineStr">
        <is>
          <t>GU-2502</t>
        </is>
      </c>
      <c r="D251" s="5" t="inlineStr">
        <is>
          <t>ダイアナ ミニ トートバッグ</t>
        </is>
      </c>
      <c r="E251" s="5" t="inlineStr">
        <is>
          <t>702732 U3ZDT 5479</t>
        </is>
      </c>
      <c r="F251" s="5" t="inlineStr">
        <is>
          <t>ピンク レザー</t>
        </is>
      </c>
      <c r="G251" s="10" t="inlineStr">
        <is>
          <t>OneSize</t>
        </is>
      </c>
      <c r="H251" s="17" t="inlineStr">
        <is>
          <t>OneSize</t>
        </is>
      </c>
      <c r="I251" s="18" t="n">
        <v>473000</v>
      </c>
      <c r="J251" s="19" t="n">
        <v>506000</v>
      </c>
      <c r="K251" s="20" t="n">
        <v>5</v>
      </c>
      <c r="L251" s="4" t="inlineStr">
        <is>
          <t>https://www.gucci.com/jp/ja/pr/women/handbags/shoulder-bags-for-women/gucci-diana-mini-tote-bag-p-702732U3ZDT5479</t>
        </is>
      </c>
      <c r="M251" s="5">
        <f t="array" ref="M251">_xlfn.IFS(J251="NOTFOUND",I251,J251&gt;=I251,J251)</f>
        <v/>
      </c>
    </row>
    <row r="252" ht="18" customHeight="1" s="16">
      <c r="A252" s="5" t="n">
        <v>251</v>
      </c>
      <c r="B252" s="5" t="inlineStr">
        <is>
          <t>GU-2503</t>
        </is>
      </c>
      <c r="D252" s="5" t="inlineStr">
        <is>
          <t>ダイアナ ミニ トートバッグ</t>
        </is>
      </c>
      <c r="E252" s="5" t="inlineStr">
        <is>
          <t>702732 U3ZDT 4377</t>
        </is>
      </c>
      <c r="F252" s="5" t="inlineStr">
        <is>
          <t>ライトブルー レザー</t>
        </is>
      </c>
      <c r="G252" s="11" t="inlineStr">
        <is>
          <t>SOLD</t>
        </is>
      </c>
      <c r="H252" s="22" t="inlineStr">
        <is>
          <t>SOLD</t>
        </is>
      </c>
      <c r="I252" s="18" t="n">
        <v>473000</v>
      </c>
      <c r="J252" s="23" t="inlineStr">
        <is>
          <t>NOTFOUND</t>
        </is>
      </c>
      <c r="K252" s="20" t="n">
        <v>0</v>
      </c>
      <c r="L252" s="4" t="inlineStr">
        <is>
          <t>https://www.gucci.com/jp/ja/pr/women/handbags/shoulder-bags-for-women/gucci-diana-mini-tote-bag-p-702732U3ZDT4377</t>
        </is>
      </c>
      <c r="M252" s="5">
        <f t="array" ref="M252">_xlfn.IFS(J252="NOTFOUND",I252,J252&gt;=I252,J252)</f>
        <v/>
      </c>
    </row>
    <row r="253" ht="18" customHeight="1" s="16">
      <c r="A253" s="5" t="n">
        <v>252</v>
      </c>
      <c r="B253" s="5" t="inlineStr">
        <is>
          <t>GU-2504</t>
        </is>
      </c>
      <c r="D253" s="5" t="inlineStr">
        <is>
          <t>ダイアナ ミニ トートバッグ</t>
        </is>
      </c>
      <c r="E253" s="5" t="inlineStr">
        <is>
          <t>702732 U3ZDT 4862</t>
        </is>
      </c>
      <c r="F253" s="5" t="inlineStr">
        <is>
          <t>ロイヤルブルー レザー</t>
        </is>
      </c>
      <c r="G253" s="11" t="inlineStr">
        <is>
          <t>SOLD</t>
        </is>
      </c>
      <c r="H253" s="22" t="inlineStr">
        <is>
          <t>SOLD</t>
        </is>
      </c>
      <c r="I253" s="18" t="n">
        <v>473000</v>
      </c>
      <c r="J253" s="23" t="inlineStr">
        <is>
          <t>NOTFOUND</t>
        </is>
      </c>
      <c r="K253" s="20" t="n">
        <v>0</v>
      </c>
      <c r="L253" s="4" t="inlineStr">
        <is>
          <t>https://www.gucci.com/jp/ja/pr/women/handbags/shoulder-bags-for-women/gucci-diana-mini-tote-bag-p-702732U3ZDT4862</t>
        </is>
      </c>
      <c r="M253" s="5">
        <f t="array" ref="M253">_xlfn.IFS(J253="NOTFOUND",I253,J253&gt;=I253,J253)</f>
        <v/>
      </c>
    </row>
    <row r="254" ht="18" customHeight="1" s="16">
      <c r="A254" s="5" t="n">
        <v>253</v>
      </c>
      <c r="B254" s="5" t="inlineStr">
        <is>
          <t>GU-2505</t>
        </is>
      </c>
      <c r="D254" s="5" t="inlineStr">
        <is>
          <t>ダイアナ スモール トートバッグ</t>
        </is>
      </c>
      <c r="E254" s="5" t="inlineStr">
        <is>
          <t>702721 U3ZDT 9244</t>
        </is>
      </c>
      <c r="F254" s="5" t="inlineStr">
        <is>
          <t>ホワイト レザー</t>
        </is>
      </c>
      <c r="G254" s="10" t="inlineStr">
        <is>
          <t>OneSize</t>
        </is>
      </c>
      <c r="H254" s="17" t="inlineStr">
        <is>
          <t>OneSize</t>
        </is>
      </c>
      <c r="I254" s="18" t="n">
        <v>572000</v>
      </c>
      <c r="J254" s="19" t="n">
        <v>605000</v>
      </c>
      <c r="K254" s="20" t="n">
        <v>5</v>
      </c>
      <c r="L254" s="4" t="inlineStr">
        <is>
          <t>https://www.gucci.com/jp/ja/pr/women/handbags/shoulder-bags-for-women/gucci-diana-small-tote-bag-p-702721U3ZDT9244</t>
        </is>
      </c>
      <c r="M254" s="5">
        <f t="array" ref="M254">_xlfn.IFS(J254="NOTFOUND",I254,J254&gt;=I254,J254)</f>
        <v/>
      </c>
    </row>
    <row r="255" ht="18" customHeight="1" s="16">
      <c r="A255" s="5" t="n">
        <v>254</v>
      </c>
      <c r="B255" s="5" t="inlineStr">
        <is>
          <t>GU-2506</t>
        </is>
      </c>
      <c r="D255" s="5" t="inlineStr">
        <is>
          <t>ダイアナ スモール トートバッグ</t>
        </is>
      </c>
      <c r="E255" s="5" t="inlineStr">
        <is>
          <t>702721 U3ZDT 3670</t>
        </is>
      </c>
      <c r="F255" s="5" t="inlineStr">
        <is>
          <t>グリーン レザー</t>
        </is>
      </c>
      <c r="G255" s="10" t="inlineStr">
        <is>
          <t>OneSize</t>
        </is>
      </c>
      <c r="H255" s="17" t="inlineStr">
        <is>
          <t>OneSize</t>
        </is>
      </c>
      <c r="I255" s="18" t="n">
        <v>572000</v>
      </c>
      <c r="J255" s="19" t="n">
        <v>605000</v>
      </c>
      <c r="K255" s="20" t="n">
        <v>5</v>
      </c>
      <c r="L255" s="4" t="inlineStr">
        <is>
          <t>https://www.gucci.com/jp/ja/pr/women/handbags/shoulder-bags-for-women/gucci-diana-small-tote-bag-p-702721U3ZDT3670</t>
        </is>
      </c>
      <c r="M255" s="5">
        <f t="array" ref="M255">_xlfn.IFS(J255="NOTFOUND",I255,J255&gt;=I255,J255)</f>
        <v/>
      </c>
    </row>
    <row r="256" ht="18" customHeight="1" s="16">
      <c r="A256" s="5" t="n">
        <v>255</v>
      </c>
      <c r="B256" s="5" t="inlineStr">
        <is>
          <t>GU-2507</t>
        </is>
      </c>
      <c r="D256" s="5" t="inlineStr">
        <is>
          <t>ダイアナ スモール トートバッグ</t>
        </is>
      </c>
      <c r="E256" s="5" t="inlineStr">
        <is>
          <t>702721 U3ZDT 4862</t>
        </is>
      </c>
      <c r="F256" s="5" t="inlineStr">
        <is>
          <t>ロイヤルブルー レザー</t>
        </is>
      </c>
      <c r="G256" s="11" t="inlineStr">
        <is>
          <t>SOLD</t>
        </is>
      </c>
      <c r="H256" s="22" t="inlineStr">
        <is>
          <t>SOLD</t>
        </is>
      </c>
      <c r="I256" s="18" t="n">
        <v>572000</v>
      </c>
      <c r="J256" s="23" t="inlineStr">
        <is>
          <t>NOTFOUND</t>
        </is>
      </c>
      <c r="K256" s="20" t="n">
        <v>0</v>
      </c>
      <c r="L256" s="4" t="inlineStr">
        <is>
          <t>https://www.gucci.com/jp/ja/pr/women/handbags/shoulder-bags-for-women/gucci-diana-small-tote-bag-p-702721U3ZDT4862</t>
        </is>
      </c>
      <c r="M256" s="5">
        <f t="array" ref="M256">_xlfn.IFS(J256="NOTFOUND",I256,J256&gt;=I256,J256)</f>
        <v/>
      </c>
    </row>
    <row r="257" ht="18" customHeight="1" s="16">
      <c r="A257" s="5" t="n">
        <v>256</v>
      </c>
      <c r="B257" s="5" t="inlineStr">
        <is>
          <t>GU-2508</t>
        </is>
      </c>
      <c r="D257" s="5" t="inlineStr">
        <is>
          <t>ダイアナ スモール トートバッグ</t>
        </is>
      </c>
      <c r="E257" s="5" t="inlineStr">
        <is>
          <t>702721 U3ZDT 2549</t>
        </is>
      </c>
      <c r="F257" s="5" t="inlineStr">
        <is>
          <t>ブラウン レザー</t>
        </is>
      </c>
      <c r="G257" s="10" t="inlineStr">
        <is>
          <t>OneSize</t>
        </is>
      </c>
      <c r="H257" s="17" t="inlineStr">
        <is>
          <t>OneSize</t>
        </is>
      </c>
      <c r="I257" s="18" t="n">
        <v>572000</v>
      </c>
      <c r="J257" s="19" t="n">
        <v>605000</v>
      </c>
      <c r="K257" s="20" t="n">
        <v>5</v>
      </c>
      <c r="L257" s="4" t="inlineStr">
        <is>
          <t>https://www.gucci.com/jp/ja/pr/women/handbags/shoulder-bags-for-women/gucci-diana-small-tote-bag-p-702721U3ZDT2549</t>
        </is>
      </c>
      <c r="M257" s="5">
        <f t="array" ref="M257">_xlfn.IFS(J257="NOTFOUND",I257,J257&gt;=I257,J257)</f>
        <v/>
      </c>
    </row>
    <row r="258" ht="18" customHeight="1" s="16">
      <c r="A258" s="5" t="n">
        <v>257</v>
      </c>
      <c r="B258" s="5" t="inlineStr">
        <is>
          <t>GU-2509</t>
        </is>
      </c>
      <c r="D258" s="5" t="inlineStr">
        <is>
          <t>ダイアナ スモール トートバッグ</t>
        </is>
      </c>
      <c r="E258" s="5" t="inlineStr">
        <is>
          <t>702721 U3ZDT 1073</t>
        </is>
      </c>
      <c r="F258" s="5" t="inlineStr">
        <is>
          <t>ブラック レザー</t>
        </is>
      </c>
      <c r="G258" s="10" t="inlineStr">
        <is>
          <t>OneSize</t>
        </is>
      </c>
      <c r="H258" s="17" t="inlineStr">
        <is>
          <t>OneSize</t>
        </is>
      </c>
      <c r="I258" s="18" t="n">
        <v>572000</v>
      </c>
      <c r="J258" s="19" t="n">
        <v>605000</v>
      </c>
      <c r="K258" s="20" t="n">
        <v>5</v>
      </c>
      <c r="L258" s="4" t="inlineStr">
        <is>
          <t>https://www.gucci.com/jp/ja/pr/women/handbags/shoulder-bags-for-women/gucci-diana-small-tote-bag-p-702721U3ZDT1073</t>
        </is>
      </c>
      <c r="M258" s="5">
        <f t="array" ref="M258">_xlfn.IFS(J258="NOTFOUND",I258,J258&gt;=I258,J258)</f>
        <v/>
      </c>
    </row>
    <row r="259" ht="18" customHeight="1" s="16">
      <c r="A259" s="5" t="n">
        <v>258</v>
      </c>
      <c r="B259" s="5" t="inlineStr">
        <is>
          <t>GU-2510</t>
        </is>
      </c>
      <c r="D259" s="5" t="inlineStr">
        <is>
          <t>ダイアナ ミディアム トートバッグ</t>
        </is>
      </c>
      <c r="E259" s="5" t="inlineStr">
        <is>
          <t>678842 U3ZDT 2549</t>
        </is>
      </c>
      <c r="F259" s="5" t="inlineStr">
        <is>
          <t>ブラウン レザー</t>
        </is>
      </c>
      <c r="G259" s="10" t="inlineStr">
        <is>
          <t>OneSize</t>
        </is>
      </c>
      <c r="H259" s="17" t="inlineStr">
        <is>
          <t>OneSize</t>
        </is>
      </c>
      <c r="I259" s="18" t="n">
        <v>660000</v>
      </c>
      <c r="J259" s="19" t="n">
        <v>660000</v>
      </c>
      <c r="K259" s="20" t="n">
        <v>5</v>
      </c>
      <c r="L259" s="4" t="inlineStr">
        <is>
          <t>https://www.gucci.com/jp/ja/pr/women/handbags/tote-bags-for-women/gucci-diana-medium-tote-bag-p-678842U3ZDT2549</t>
        </is>
      </c>
      <c r="M259" s="5">
        <f t="array" ref="M259">_xlfn.IFS(J259="NOTFOUND",I259,J259&gt;=I259,J259)</f>
        <v/>
      </c>
    </row>
    <row r="260" ht="18" customHeight="1" s="16">
      <c r="A260" s="5" t="n">
        <v>259</v>
      </c>
      <c r="B260" s="5" t="inlineStr">
        <is>
          <t>GU-2511</t>
        </is>
      </c>
      <c r="D260" s="5" t="inlineStr">
        <is>
          <t>ダイアナ ミディアム トートバッグ</t>
        </is>
      </c>
      <c r="E260" s="5" t="inlineStr">
        <is>
          <t>678842 U3ZDT 1073</t>
        </is>
      </c>
      <c r="F260" s="5" t="inlineStr">
        <is>
          <t>ブラック レザー</t>
        </is>
      </c>
      <c r="G260" s="10" t="inlineStr">
        <is>
          <t>OneSize</t>
        </is>
      </c>
      <c r="H260" s="17" t="inlineStr">
        <is>
          <t>OneSize</t>
        </is>
      </c>
      <c r="I260" s="18" t="n">
        <v>660000</v>
      </c>
      <c r="J260" s="19" t="n">
        <v>660000</v>
      </c>
      <c r="K260" s="20" t="n">
        <v>5</v>
      </c>
      <c r="L260" s="4" t="inlineStr">
        <is>
          <t>https://www.gucci.com/jp/ja/pr/women/handbags/tote-bags-for-women/gucci-diana-medium-tote-bag-p-678842U3ZDT1073</t>
        </is>
      </c>
      <c r="M260" s="5">
        <f t="array" ref="M260">_xlfn.IFS(J260="NOTFOUND",I260,J260&gt;=I260,J260)</f>
        <v/>
      </c>
    </row>
    <row r="261" ht="18" customHeight="1" s="16">
      <c r="A261" s="5" t="n">
        <v>260</v>
      </c>
      <c r="B261" s="5" t="inlineStr">
        <is>
          <t>GU-2512</t>
        </is>
      </c>
      <c r="D261" s="5" t="inlineStr">
        <is>
          <t>ディオニュソス スモール トップハンドルバッグ</t>
        </is>
      </c>
      <c r="E261" s="5" t="inlineStr">
        <is>
          <t>739496 KHNRN 8642</t>
        </is>
      </c>
      <c r="F261" s="5" t="inlineStr">
        <is>
          <t xml:space="preserve">  -</t>
        </is>
      </c>
      <c r="G261" s="11" t="inlineStr">
        <is>
          <t>SOLD</t>
        </is>
      </c>
      <c r="H261" s="22" t="inlineStr">
        <is>
          <t>SOLD</t>
        </is>
      </c>
      <c r="I261" s="18" t="n">
        <v>385000</v>
      </c>
      <c r="J261" s="23" t="inlineStr">
        <is>
          <t>NOTFOUND</t>
        </is>
      </c>
      <c r="K261" s="20" t="n">
        <v>0</v>
      </c>
      <c r="L261" s="4" t="inlineStr">
        <is>
          <t>https://www.gucci.com/jp/ja/pr/women/handbags/top-handle-bags-for-women/small-dionysus-top-handle-bag-p-739496KHNRN8642</t>
        </is>
      </c>
      <c r="M261" s="5">
        <f t="array" ref="M261">_xlfn.IFS(J261="NOTFOUND",I261,J261&gt;=I261,J261)</f>
        <v/>
      </c>
    </row>
    <row r="262" ht="18" customHeight="1" s="16">
      <c r="A262" s="5" t="n">
        <v>261</v>
      </c>
      <c r="B262" s="5" t="inlineStr">
        <is>
          <t>GU-2513</t>
        </is>
      </c>
      <c r="D262" s="5" t="inlineStr">
        <is>
          <t>ディオニュソス GG スモール レクタングルバッグ</t>
        </is>
      </c>
      <c r="E262" s="5" t="inlineStr">
        <is>
          <t>499623 92TJN 8660</t>
        </is>
      </c>
      <c r="F262" s="5" t="inlineStr">
        <is>
          <t xml:space="preserve">  -</t>
        </is>
      </c>
      <c r="G262" s="10" t="inlineStr">
        <is>
          <t>OneSize</t>
        </is>
      </c>
      <c r="H262" s="17" t="inlineStr">
        <is>
          <t>OneSize</t>
        </is>
      </c>
      <c r="I262" s="18" t="n">
        <v>451000</v>
      </c>
      <c r="J262" s="19" t="n">
        <v>462000</v>
      </c>
      <c r="K262" s="20" t="n">
        <v>5</v>
      </c>
      <c r="L262" s="4" t="inlineStr">
        <is>
          <t>https://www.gucci.com/jp/ja/pr/women/handbags/crossbody-bags-for-women/dionysus-small-rectangular-bag-p-49962392TJN8660</t>
        </is>
      </c>
      <c r="M262" s="5">
        <f t="array" ref="M262">_xlfn.IFS(J262="NOTFOUND",I262,J262&gt;=I262,J262)</f>
        <v/>
      </c>
    </row>
    <row r="263" ht="18" customHeight="1" s="16">
      <c r="A263" s="5" t="n">
        <v>262</v>
      </c>
      <c r="B263" s="5" t="inlineStr">
        <is>
          <t>GU-2514</t>
        </is>
      </c>
      <c r="D263" s="5" t="inlineStr">
        <is>
          <t>ディオニュソス GGスプリーム ミニ バッグ</t>
        </is>
      </c>
      <c r="E263" s="5" t="inlineStr">
        <is>
          <t>421970 KHNRN 8642</t>
        </is>
      </c>
      <c r="F263" s="5" t="inlineStr">
        <is>
          <t xml:space="preserve">  -</t>
        </is>
      </c>
      <c r="G263" s="10" t="inlineStr">
        <is>
          <t>OneSize</t>
        </is>
      </c>
      <c r="H263" s="17" t="inlineStr">
        <is>
          <t>OneSize</t>
        </is>
      </c>
      <c r="I263" s="18" t="n">
        <v>335500</v>
      </c>
      <c r="J263" s="19" t="n">
        <v>368500</v>
      </c>
      <c r="K263" s="20" t="n">
        <v>5</v>
      </c>
      <c r="L263" s="4" t="inlineStr">
        <is>
          <t>https://www.gucci.com/jp/ja/pr/women/handbags/mini-bags-for-women/dionysus-gg-supreme-mini-bag-p-421970KHNRN8642</t>
        </is>
      </c>
      <c r="M263" s="5">
        <f t="array" ref="M263">_xlfn.IFS(J263="NOTFOUND",I263,J263&gt;=I263,J263)</f>
        <v/>
      </c>
    </row>
    <row r="264" ht="18" customHeight="1" s="16">
      <c r="A264" s="5" t="n">
        <v>263</v>
      </c>
      <c r="B264" s="5" t="inlineStr">
        <is>
          <t>GU-2515</t>
        </is>
      </c>
      <c r="D264" s="5" t="inlineStr">
        <is>
          <t>ディオニュソス GG スモール ショルダーバッグ</t>
        </is>
      </c>
      <c r="E264" s="5" t="inlineStr">
        <is>
          <t>400249 KHNRN 8642</t>
        </is>
      </c>
      <c r="F264" s="5" t="inlineStr">
        <is>
          <t xml:space="preserve">  -</t>
        </is>
      </c>
      <c r="G264" s="10" t="inlineStr">
        <is>
          <t>OneSize</t>
        </is>
      </c>
      <c r="H264" s="17" t="inlineStr">
        <is>
          <t>OneSize</t>
        </is>
      </c>
      <c r="I264" s="18" t="n">
        <v>451000</v>
      </c>
      <c r="J264" s="19" t="n">
        <v>462000</v>
      </c>
      <c r="K264" s="20" t="n">
        <v>5</v>
      </c>
      <c r="L264" s="4" t="inlineStr">
        <is>
          <t>https://www.gucci.com/jp/ja/pr/women/handbags/shoulder-bags-for-women/chain-bags-for-women/dionysus-gg-small-shoulder-bag-p-400249KHNRN8642</t>
        </is>
      </c>
      <c r="M264" s="5">
        <f t="array" ref="M264">_xlfn.IFS(J264="NOTFOUND",I264,J264&gt;=I264,J264)</f>
        <v/>
      </c>
    </row>
    <row r="265" ht="18" customHeight="1" s="16">
      <c r="A265" s="5" t="n">
        <v>264</v>
      </c>
      <c r="B265" s="5" t="inlineStr">
        <is>
          <t>GU-2516</t>
        </is>
      </c>
      <c r="D265" s="5" t="inlineStr">
        <is>
          <t>ストラップ付き GG スーパーミニバッグ</t>
        </is>
      </c>
      <c r="E265" s="5" t="inlineStr">
        <is>
          <t>790133 AAC1Q 5820</t>
        </is>
      </c>
      <c r="F265" s="5" t="inlineStr">
        <is>
          <t>ローズベージュ レザー</t>
        </is>
      </c>
      <c r="G265" s="11" t="inlineStr">
        <is>
          <t>SOLD</t>
        </is>
      </c>
      <c r="H265" s="22" t="inlineStr">
        <is>
          <t>SOLD</t>
        </is>
      </c>
      <c r="I265" s="18" t="n">
        <v>214500</v>
      </c>
      <c r="J265" s="23" t="inlineStr">
        <is>
          <t>NOTFOUND</t>
        </is>
      </c>
      <c r="K265" s="20" t="n">
        <v>0</v>
      </c>
      <c r="L265" s="4" t="inlineStr">
        <is>
          <t>https://www.gucci.com/jp/ja/pr/women/handbags/mini-bags-for-women/gg-super-mini-bag-with-strap-p-790133AAC1Q5820</t>
        </is>
      </c>
      <c r="M265" s="5">
        <f t="array" ref="M265">_xlfn.IFS(J265="NOTFOUND",I265,J265&gt;=I265,J265)</f>
        <v/>
      </c>
    </row>
    <row r="266" ht="18" customHeight="1" s="16">
      <c r="A266" s="5" t="n">
        <v>265</v>
      </c>
      <c r="B266" s="5" t="inlineStr">
        <is>
          <t>GU-2517</t>
        </is>
      </c>
      <c r="D266" s="5" t="inlineStr">
        <is>
          <t>ストラップ付き GG スーパーミニバッグ</t>
        </is>
      </c>
      <c r="E266" s="5" t="inlineStr">
        <is>
          <t>790133 AADLO 1000</t>
        </is>
      </c>
      <c r="F266" s="5" t="inlineStr">
        <is>
          <t>ブラック GGレザー</t>
        </is>
      </c>
      <c r="G266" s="11" t="inlineStr">
        <is>
          <t>SOLD</t>
        </is>
      </c>
      <c r="H266" s="22" t="inlineStr">
        <is>
          <t>SOLD</t>
        </is>
      </c>
      <c r="I266" s="18" t="n">
        <v>214500</v>
      </c>
      <c r="J266" s="23" t="inlineStr">
        <is>
          <t>NOTFOUND</t>
        </is>
      </c>
      <c r="K266" s="20" t="n">
        <v>0</v>
      </c>
      <c r="L266" s="4" t="inlineStr">
        <is>
          <t>https://www.gucci.com/jp/ja/pr/women/handbags/mini-bags-for-women/gg-super-mini-bag-with-strap-p-790133AADLO1000</t>
        </is>
      </c>
      <c r="M266" s="5">
        <f t="array" ref="M266">_xlfn.IFS(J266="NOTFOUND",I266,J266&gt;=I266,J266)</f>
        <v/>
      </c>
    </row>
    <row r="267" ht="18" customHeight="1" s="16">
      <c r="A267" s="5" t="n">
        <v>266</v>
      </c>
      <c r="B267" s="5" t="inlineStr">
        <is>
          <t>GU-2518</t>
        </is>
      </c>
      <c r="D267" s="5" t="inlineStr">
        <is>
          <t>GG スーパーミニ トップハンドルバッグ</t>
        </is>
      </c>
      <c r="E267" s="5" t="inlineStr">
        <is>
          <t>790130 AAC1Q 5820</t>
        </is>
      </c>
      <c r="F267" s="5" t="inlineStr">
        <is>
          <t xml:space="preserve">  -</t>
        </is>
      </c>
      <c r="G267" s="11" t="inlineStr">
        <is>
          <t>SOLD</t>
        </is>
      </c>
      <c r="H267" s="22" t="inlineStr">
        <is>
          <t>SOLD</t>
        </is>
      </c>
      <c r="I267" s="18" t="n">
        <v>242000</v>
      </c>
      <c r="J267" s="23" t="inlineStr">
        <is>
          <t>NOTFOUND</t>
        </is>
      </c>
      <c r="K267" s="20" t="n">
        <v>0</v>
      </c>
      <c r="L267" s="4" t="inlineStr">
        <is>
          <t>https://www.gucci.com/jp/ja/pr/women/handbags/mini-bags-for-women/gg-super-mini-top-handle-bag-p-790130AAC1Q5820</t>
        </is>
      </c>
      <c r="M267" s="5">
        <f t="array" ref="M267">_xlfn.IFS(J267="NOTFOUND",I267,J267&gt;=I267,J267)</f>
        <v/>
      </c>
    </row>
    <row r="268" ht="18" customHeight="1" s="16">
      <c r="A268" s="5" t="n">
        <v>267</v>
      </c>
      <c r="B268" s="5" t="inlineStr">
        <is>
          <t>GU-2519</t>
        </is>
      </c>
      <c r="D268" s="5" t="inlineStr">
        <is>
          <t>GG スーパーミニ ショルダーバッグ</t>
        </is>
      </c>
      <c r="E268" s="5" t="inlineStr">
        <is>
          <t>772794 AAC1Q 5820</t>
        </is>
      </c>
      <c r="F268" s="5" t="inlineStr">
        <is>
          <t>ローズベージュ レザー</t>
        </is>
      </c>
      <c r="G268" s="11" t="inlineStr">
        <is>
          <t>SOLD</t>
        </is>
      </c>
      <c r="H268" s="22" t="inlineStr">
        <is>
          <t>SOLD</t>
        </is>
      </c>
      <c r="I268" s="18" t="n">
        <v>176000</v>
      </c>
      <c r="J268" s="23" t="inlineStr">
        <is>
          <t>NOTFOUND</t>
        </is>
      </c>
      <c r="K268" s="20" t="n">
        <v>0</v>
      </c>
      <c r="L268" s="4" t="inlineStr">
        <is>
          <t>https://www.gucci.com/jp/ja/pr/women/handbags/shoulder-bags-for-women/gg-super-mini-shoulder-bag-p-772794AAC1Q5820</t>
        </is>
      </c>
      <c r="M268" s="5">
        <f t="array" ref="M268">_xlfn.IFS(J268="NOTFOUND",I268,J268&gt;=I268,J268)</f>
        <v/>
      </c>
    </row>
    <row r="269" ht="18" customHeight="1" s="16">
      <c r="A269" s="5" t="n">
        <v>268</v>
      </c>
      <c r="B269" s="5" t="inlineStr">
        <is>
          <t>GU-2520</t>
        </is>
      </c>
      <c r="D269" s="5" t="inlineStr">
        <is>
          <t>GG スーパーミニ ショルダーバッグ</t>
        </is>
      </c>
      <c r="E269" s="5" t="inlineStr">
        <is>
          <t>772794 AAC1Q 5701</t>
        </is>
      </c>
      <c r="F269" s="5" t="inlineStr">
        <is>
          <t>ライトベージュ レザー</t>
        </is>
      </c>
      <c r="G269" s="11" t="inlineStr">
        <is>
          <t>SOLD</t>
        </is>
      </c>
      <c r="H269" s="22" t="inlineStr">
        <is>
          <t>SOLD</t>
        </is>
      </c>
      <c r="I269" s="18" t="n">
        <v>176000</v>
      </c>
      <c r="J269" s="23" t="inlineStr">
        <is>
          <t>NOTFOUND</t>
        </is>
      </c>
      <c r="K269" s="20" t="n">
        <v>0</v>
      </c>
      <c r="L269" s="4" t="inlineStr">
        <is>
          <t>https://www.gucci.com/jp/ja/pr/women/handbags/shoulder-bags-for-women/gg-super-mini-shoulder-bag-p-772794AAC1Q5701</t>
        </is>
      </c>
      <c r="M269" s="5">
        <f t="array" ref="M269">_xlfn.IFS(J269="NOTFOUND",I269,J269&gt;=I269,J269)</f>
        <v/>
      </c>
    </row>
    <row r="270" ht="18" customHeight="1" s="16">
      <c r="A270" s="5" t="n">
        <v>269</v>
      </c>
      <c r="B270" s="5" t="inlineStr">
        <is>
          <t>GU-2521</t>
        </is>
      </c>
      <c r="D270" s="5" t="inlineStr">
        <is>
          <t>GG スーパーミニ ショルダーバッグ</t>
        </is>
      </c>
      <c r="E270" s="5" t="inlineStr">
        <is>
          <t>772794 AADLO 1000</t>
        </is>
      </c>
      <c r="F270" s="5" t="inlineStr">
        <is>
          <t>ブラック GGレザー</t>
        </is>
      </c>
      <c r="G270" s="11" t="inlineStr">
        <is>
          <t>SOLD</t>
        </is>
      </c>
      <c r="H270" s="22" t="inlineStr">
        <is>
          <t>SOLD</t>
        </is>
      </c>
      <c r="I270" s="18" t="n">
        <v>176000</v>
      </c>
      <c r="J270" s="23" t="inlineStr">
        <is>
          <t>NOTFOUND</t>
        </is>
      </c>
      <c r="K270" s="20" t="n">
        <v>0</v>
      </c>
      <c r="L270" s="4" t="inlineStr">
        <is>
          <t>https://www.gucci.com/jp/ja/pr/women/handbags/shoulder-bags-for-women/gg-super-mini-shoulder-bag-p-772794AADLO1000</t>
        </is>
      </c>
      <c r="M270" s="5">
        <f t="array" ref="M270">_xlfn.IFS(J270="NOTFOUND",I270,J270&gt;=I270,J270)</f>
        <v/>
      </c>
    </row>
    <row r="271" ht="18" customHeight="1" s="16">
      <c r="A271" s="5" t="n">
        <v>270</v>
      </c>
      <c r="B271" s="5" t="inlineStr">
        <is>
          <t>GU-2522</t>
        </is>
      </c>
      <c r="D271" s="5" t="inlineStr">
        <is>
          <t>ルーチェ スモール ショルダーバッグ</t>
        </is>
      </c>
      <c r="E271" s="5" t="inlineStr">
        <is>
          <t>786027 FADGF 9041</t>
        </is>
      </c>
      <c r="F271" s="5" t="inlineStr">
        <is>
          <t>ホワイト キャンバス</t>
        </is>
      </c>
      <c r="G271" s="11" t="inlineStr">
        <is>
          <t>SOLD</t>
        </is>
      </c>
      <c r="H271" s="22" t="inlineStr">
        <is>
          <t>SOLD</t>
        </is>
      </c>
      <c r="I271" s="18" t="n">
        <v>451000</v>
      </c>
      <c r="J271" s="23" t="inlineStr">
        <is>
          <t>NOTFOUND</t>
        </is>
      </c>
      <c r="K271" s="20" t="n">
        <v>0</v>
      </c>
      <c r="L271" s="4" t="inlineStr">
        <is>
          <t>https://www.gucci.com/jp/ja/pr/women/handbags/shoulder-bags-for-women/gucci-luce-small-shoulder-bag-p-786027FADGF9041</t>
        </is>
      </c>
      <c r="M271" s="5">
        <f t="array" ref="M271">_xlfn.IFS(J271="NOTFOUND",I271,J271&gt;=I271,J271)</f>
        <v/>
      </c>
    </row>
    <row r="272" ht="18" customHeight="1" s="16">
      <c r="A272" s="5" t="n">
        <v>271</v>
      </c>
      <c r="B272" s="5" t="inlineStr">
        <is>
          <t>GU-2523</t>
        </is>
      </c>
      <c r="D272" s="5" t="inlineStr">
        <is>
          <t>ジャッキー スモール ショルダーバッグ</t>
        </is>
      </c>
      <c r="E272" s="5" t="inlineStr">
        <is>
          <t>782849 FADGF 9041</t>
        </is>
      </c>
      <c r="F272" s="5" t="inlineStr">
        <is>
          <t>ホワイト キャンバス</t>
        </is>
      </c>
      <c r="G272" s="11" t="inlineStr">
        <is>
          <t>SOLD</t>
        </is>
      </c>
      <c r="H272" s="22" t="inlineStr">
        <is>
          <t>SOLD</t>
        </is>
      </c>
      <c r="I272" s="18" t="n">
        <v>396000</v>
      </c>
      <c r="J272" s="23" t="inlineStr">
        <is>
          <t>NOTFOUND</t>
        </is>
      </c>
      <c r="K272" s="20" t="n">
        <v>0</v>
      </c>
      <c r="L272" s="4" t="inlineStr">
        <is>
          <t>https://www.gucci.com/jp/ja/pr/women/handbags/shoulder-bags-for-women/half-moon-bags-for-women/gucci-jackie-small-shoulder-bag-p-782849FADGF9041</t>
        </is>
      </c>
      <c r="M272" s="5">
        <f t="array" ref="M272">_xlfn.IFS(J272="NOTFOUND",I272,J272&gt;=I272,J272)</f>
        <v/>
      </c>
    </row>
    <row r="273" ht="18" customHeight="1" s="16">
      <c r="A273" s="5" t="n">
        <v>272</v>
      </c>
      <c r="B273" s="5" t="inlineStr">
        <is>
          <t>GU-2524</t>
        </is>
      </c>
      <c r="D273" s="5" t="inlineStr">
        <is>
          <t>ジャッキー スモール ショルダーバッグ</t>
        </is>
      </c>
      <c r="E273" s="5" t="inlineStr">
        <is>
          <t>782849 AABHE 2141</t>
        </is>
      </c>
      <c r="F273" s="5" t="inlineStr">
        <is>
          <t>ブラウン レザー</t>
        </is>
      </c>
      <c r="G273" s="11" t="inlineStr">
        <is>
          <t>SOLD</t>
        </is>
      </c>
      <c r="H273" s="22" t="inlineStr">
        <is>
          <t>SOLD</t>
        </is>
      </c>
      <c r="I273" s="18" t="n">
        <v>517000</v>
      </c>
      <c r="J273" s="23" t="inlineStr">
        <is>
          <t>NOTFOUND</t>
        </is>
      </c>
      <c r="K273" s="20" t="n">
        <v>0</v>
      </c>
      <c r="L273" s="4" t="inlineStr">
        <is>
          <t>https://www.gucci.com/jp/ja/pr/women/handbags/shoulder-bags-for-women/half-moon-bags-for-women/gucci-jackie-small-shoulder-bag-p-782849AABHE2141</t>
        </is>
      </c>
      <c r="M273" s="5">
        <f t="array" ref="M273">_xlfn.IFS(J273="NOTFOUND",I273,J273&gt;=I273,J273)</f>
        <v/>
      </c>
    </row>
    <row r="274" ht="18" customHeight="1" s="16">
      <c r="A274" s="5" t="n">
        <v>273</v>
      </c>
      <c r="B274" s="5" t="inlineStr">
        <is>
          <t>GU-2525</t>
        </is>
      </c>
      <c r="D274" s="5" t="inlineStr">
        <is>
          <t>ロゴ ミニ ストロー トートバッグ</t>
        </is>
      </c>
      <c r="E274" s="5" t="inlineStr">
        <is>
          <t>782381 9AAE6 9563</t>
        </is>
      </c>
      <c r="F274" s="5" t="inlineStr">
        <is>
          <t xml:space="preserve">  -</t>
        </is>
      </c>
      <c r="G274" s="11" t="inlineStr">
        <is>
          <t>SOLD</t>
        </is>
      </c>
      <c r="H274" s="22" t="inlineStr">
        <is>
          <t>SOLD</t>
        </is>
      </c>
      <c r="I274" s="18" t="n">
        <v>205700</v>
      </c>
      <c r="J274" s="23" t="inlineStr">
        <is>
          <t>NOTFOUND</t>
        </is>
      </c>
      <c r="K274" s="20" t="n">
        <v>0</v>
      </c>
      <c r="L274" s="4" t="inlineStr">
        <is>
          <t>https://www.gucci.com/jp/ja/pr/women/handbags/tote-bags-for-women/mini-straw-tote-with-gucci-logo-p-7823819AAE69563</t>
        </is>
      </c>
      <c r="M274" s="5">
        <f t="array" ref="M274">_xlfn.IFS(J274="NOTFOUND",I274,J274&gt;=I274,J274)</f>
        <v/>
      </c>
    </row>
    <row r="275" ht="18" customHeight="1" s="16">
      <c r="A275" s="5" t="n">
        <v>274</v>
      </c>
      <c r="B275" s="5" t="inlineStr">
        <is>
          <t>GU-2526</t>
        </is>
      </c>
      <c r="D275" s="5" t="inlineStr">
        <is>
          <t>GGマーモント スーパーミニバッグ</t>
        </is>
      </c>
      <c r="E275" s="5" t="inlineStr">
        <is>
          <t>780182 FAC46 8654</t>
        </is>
      </c>
      <c r="F275" s="5" t="inlineStr">
        <is>
          <t xml:space="preserve">  -</t>
        </is>
      </c>
      <c r="G275" s="11" t="inlineStr">
        <is>
          <t>SOLD</t>
        </is>
      </c>
      <c r="H275" s="22" t="inlineStr">
        <is>
          <t>SOLD</t>
        </is>
      </c>
      <c r="I275" s="18" t="n">
        <v>213400</v>
      </c>
      <c r="J275" s="23" t="inlineStr">
        <is>
          <t>NOTFOUND</t>
        </is>
      </c>
      <c r="K275" s="20" t="n">
        <v>0</v>
      </c>
      <c r="L275" s="4" t="inlineStr">
        <is>
          <t>https://www.gucci.com/jp/ja/pr/women/handbags/mini-bags-for-women/gg-marmont-super-mini-bag-p-780182FAC468654</t>
        </is>
      </c>
      <c r="M275" s="5">
        <f t="array" ref="M275">_xlfn.IFS(J275="NOTFOUND",I275,J275&gt;=I275,J275)</f>
        <v/>
      </c>
    </row>
    <row r="276" ht="18" customHeight="1" s="16">
      <c r="A276" s="5" t="n">
        <v>275</v>
      </c>
      <c r="B276" s="5" t="inlineStr">
        <is>
          <t>GU-2527</t>
        </is>
      </c>
      <c r="D276" s="5" t="inlineStr">
        <is>
          <t>スーパーミニ ストロー エフェクト バッグ</t>
        </is>
      </c>
      <c r="E276" s="5" t="inlineStr">
        <is>
          <t>780083 FAC42 9561</t>
        </is>
      </c>
      <c r="F276" s="5" t="inlineStr">
        <is>
          <t>ナチュラル ラフィア＆ヴィスコース</t>
        </is>
      </c>
      <c r="G276" s="11" t="inlineStr">
        <is>
          <t>SOLD</t>
        </is>
      </c>
      <c r="H276" s="22" t="inlineStr">
        <is>
          <t>SOLD</t>
        </is>
      </c>
      <c r="I276" s="18" t="n">
        <v>220000</v>
      </c>
      <c r="J276" s="23" t="inlineStr">
        <is>
          <t>NOTFOUND</t>
        </is>
      </c>
      <c r="K276" s="20" t="n">
        <v>0</v>
      </c>
      <c r="L276" s="4" t="inlineStr">
        <is>
          <t>https://www.gucci.com/jp/ja/pr/women/handbags/mini-bags-for-women/super-mini-straw-effect-bag-p-780083FAC429561</t>
        </is>
      </c>
      <c r="M276" s="5">
        <f t="array" ref="M276">_xlfn.IFS(J276="NOTFOUND",I276,J276&gt;=I276,J276)</f>
        <v/>
      </c>
    </row>
    <row r="277" ht="18" customHeight="1" s="16">
      <c r="A277" s="5" t="n">
        <v>276</v>
      </c>
      <c r="B277" s="5" t="inlineStr">
        <is>
          <t>GU-2528</t>
        </is>
      </c>
      <c r="D277" s="5" t="inlineStr">
        <is>
          <t>ロゴ スーパーミニ ジュート バッグ</t>
        </is>
      </c>
      <c r="E277" s="5" t="inlineStr">
        <is>
          <t>780083 FAC5A 8655</t>
        </is>
      </c>
      <c r="F277" s="5" t="inlineStr">
        <is>
          <t>マルチカラー ジュート</t>
        </is>
      </c>
      <c r="G277" s="11" t="inlineStr">
        <is>
          <t>SOLD</t>
        </is>
      </c>
      <c r="H277" s="22" t="inlineStr">
        <is>
          <t>SOLD</t>
        </is>
      </c>
      <c r="I277" s="18" t="n">
        <v>220000</v>
      </c>
      <c r="J277" s="23" t="inlineStr">
        <is>
          <t>NOTFOUND</t>
        </is>
      </c>
      <c r="K277" s="20" t="n">
        <v>0</v>
      </c>
      <c r="L277" s="4" t="inlineStr">
        <is>
          <t>https://www.gucci.com/jp/ja/pr/women/handbags/mini-bags-for-women/super-mini-jute-bag-with-gucci-logo-p-780083FAC5A8655</t>
        </is>
      </c>
      <c r="M277" s="5">
        <f t="array" ref="M277">_xlfn.IFS(J277="NOTFOUND",I277,J277&gt;=I277,J277)</f>
        <v/>
      </c>
    </row>
    <row r="278" ht="18" customHeight="1" s="16">
      <c r="A278" s="5" t="n">
        <v>277</v>
      </c>
      <c r="B278" s="5" t="inlineStr">
        <is>
          <t>GU-2529</t>
        </is>
      </c>
      <c r="D278" s="5" t="inlineStr">
        <is>
          <t>パッチ スモール ジュート トートバッグ</t>
        </is>
      </c>
      <c r="E278" s="5" t="inlineStr">
        <is>
          <t>779670 FAC5A 8655</t>
        </is>
      </c>
      <c r="F278" s="5" t="inlineStr">
        <is>
          <t xml:space="preserve">  -</t>
        </is>
      </c>
      <c r="G278" s="11" t="inlineStr">
        <is>
          <t>SOLD</t>
        </is>
      </c>
      <c r="H278" s="22" t="inlineStr">
        <is>
          <t>SOLD</t>
        </is>
      </c>
      <c r="I278" s="18" t="n">
        <v>275000</v>
      </c>
      <c r="J278" s="23" t="inlineStr">
        <is>
          <t>NOTFOUND</t>
        </is>
      </c>
      <c r="K278" s="20" t="n">
        <v>0</v>
      </c>
      <c r="L278" s="4" t="inlineStr">
        <is>
          <t>https://www.gucci.com/jp/ja/pr/women/handbags/tote-bags-for-women/small-jute-tote-with-gucci-patch-p-779670FAC5A8655</t>
        </is>
      </c>
      <c r="M278" s="5">
        <f t="array" ref="M278">_xlfn.IFS(J278="NOTFOUND",I278,J278&gt;=I278,J278)</f>
        <v/>
      </c>
    </row>
    <row r="279" ht="18" customHeight="1" s="16">
      <c r="A279" s="5" t="n">
        <v>278</v>
      </c>
      <c r="B279" s="5" t="inlineStr">
        <is>
          <t>GU-2530</t>
        </is>
      </c>
      <c r="D279" s="5" t="inlineStr">
        <is>
          <t>ミディアム ストロー エフェクト トートバッグ</t>
        </is>
      </c>
      <c r="E279" s="5" t="inlineStr">
        <is>
          <t>779666 FAC42 9561</t>
        </is>
      </c>
      <c r="F279" s="5" t="inlineStr">
        <is>
          <t xml:space="preserve">  -</t>
        </is>
      </c>
      <c r="G279" s="11" t="inlineStr">
        <is>
          <t>SOLD</t>
        </is>
      </c>
      <c r="H279" s="22" t="inlineStr">
        <is>
          <t>SOLD</t>
        </is>
      </c>
      <c r="I279" s="18" t="n">
        <v>297000</v>
      </c>
      <c r="J279" s="23" t="inlineStr">
        <is>
          <t>NOTFOUND</t>
        </is>
      </c>
      <c r="K279" s="20" t="n">
        <v>0</v>
      </c>
      <c r="L279" s="4" t="inlineStr">
        <is>
          <t>https://www.gucci.com/jp/ja/pr/women/handbags/tote-bags-for-women/medium-straw-effect-tote-p-779666FAC429561</t>
        </is>
      </c>
      <c r="M279" s="5">
        <f t="array" ref="M279">_xlfn.IFS(J279="NOTFOUND",I279,J279&gt;=I279,J279)</f>
        <v/>
      </c>
    </row>
    <row r="280" ht="18" customHeight="1" s="16">
      <c r="A280" s="5" t="n">
        <v>279</v>
      </c>
      <c r="B280" s="5" t="inlineStr">
        <is>
          <t>GU-2531</t>
        </is>
      </c>
      <c r="D280" s="5" t="inlineStr">
        <is>
          <t>パッチ スモール ストロー ショルダーバッグ</t>
        </is>
      </c>
      <c r="E280" s="5" t="inlineStr">
        <is>
          <t>779531 9AAFH 9566</t>
        </is>
      </c>
      <c r="F280" s="5" t="inlineStr">
        <is>
          <t xml:space="preserve">  -</t>
        </is>
      </c>
      <c r="G280" s="11" t="inlineStr">
        <is>
          <t>SOLD</t>
        </is>
      </c>
      <c r="H280" s="22" t="inlineStr">
        <is>
          <t>SOLD</t>
        </is>
      </c>
      <c r="I280" s="18" t="n">
        <v>374000</v>
      </c>
      <c r="J280" s="23" t="inlineStr">
        <is>
          <t>NOTFOUND</t>
        </is>
      </c>
      <c r="K280" s="20" t="n">
        <v>0</v>
      </c>
      <c r="L280" s="4" t="inlineStr">
        <is>
          <t>https://www.gucci.com/jp/ja/pr/women/handbags/shoulder-bags-for-women/bucket-bags-for-women/small-straw-shoulder-bag-with-gucci-patch-p-7795319AAFH9566</t>
        </is>
      </c>
      <c r="M280" s="5">
        <f t="array" ref="M280">_xlfn.IFS(J280="NOTFOUND",I280,J280&gt;=I280,J280)</f>
        <v/>
      </c>
    </row>
    <row r="281" ht="18" customHeight="1" s="16">
      <c r="A281" s="5" t="n">
        <v>280</v>
      </c>
      <c r="B281" s="5" t="inlineStr">
        <is>
          <t>GU-2532</t>
        </is>
      </c>
      <c r="D281" s="5" t="inlineStr">
        <is>
          <t>パッチ ミディアム ストロー トートバッグ</t>
        </is>
      </c>
      <c r="E281" s="5" t="inlineStr">
        <is>
          <t>779530 9AAE9 9541</t>
        </is>
      </c>
      <c r="F281" s="5" t="inlineStr">
        <is>
          <t xml:space="preserve">  -</t>
        </is>
      </c>
      <c r="G281" s="11" t="inlineStr">
        <is>
          <t>SOLD</t>
        </is>
      </c>
      <c r="H281" s="22" t="inlineStr">
        <is>
          <t>SOLD</t>
        </is>
      </c>
      <c r="I281" s="18" t="n">
        <v>385000</v>
      </c>
      <c r="J281" s="23" t="inlineStr">
        <is>
          <t>NOTFOUND</t>
        </is>
      </c>
      <c r="K281" s="20" t="n">
        <v>0</v>
      </c>
      <c r="L281" s="4" t="inlineStr">
        <is>
          <t>https://www.gucci.com/jp/ja/pr/women/handbags/tote-bags-for-women/medium-straw-tote-with-gucci-patch-p-7795309AAE99541</t>
        </is>
      </c>
      <c r="M281" s="5">
        <f t="array" ref="M281">_xlfn.IFS(J281="NOTFOUND",I281,J281&gt;=I281,J281)</f>
        <v/>
      </c>
    </row>
    <row r="282" ht="18" customHeight="1" s="16">
      <c r="A282" s="5" t="n">
        <v>281</v>
      </c>
      <c r="B282" s="5" t="inlineStr">
        <is>
          <t>GU-2533</t>
        </is>
      </c>
      <c r="D282" s="5" t="inlineStr">
        <is>
          <t>ロゴ スモール ストロー トートバッグ</t>
        </is>
      </c>
      <c r="E282" s="5" t="inlineStr">
        <is>
          <t>779524 9AAE6 9562</t>
        </is>
      </c>
      <c r="F282" s="5" t="inlineStr">
        <is>
          <t xml:space="preserve">  -</t>
        </is>
      </c>
      <c r="G282" s="11" t="inlineStr">
        <is>
          <t>SOLD</t>
        </is>
      </c>
      <c r="H282" s="22" t="inlineStr">
        <is>
          <t>SOLD</t>
        </is>
      </c>
      <c r="I282" s="18" t="n">
        <v>249700</v>
      </c>
      <c r="J282" s="23" t="inlineStr">
        <is>
          <t>NOTFOUND</t>
        </is>
      </c>
      <c r="K282" s="20" t="n">
        <v>0</v>
      </c>
      <c r="L282" s="4" t="inlineStr">
        <is>
          <t>https://www.gucci.com/jp/ja/pr/women/handbags/tote-bags-for-women/small-straw-tote-with-gucci-logo-p-7795249AAE69562</t>
        </is>
      </c>
      <c r="M282" s="5">
        <f t="array" ref="M282">_xlfn.IFS(J282="NOTFOUND",I282,J282&gt;=I282,J282)</f>
        <v/>
      </c>
    </row>
    <row r="283" ht="18" customHeight="1" s="16">
      <c r="A283" s="5" t="n">
        <v>282</v>
      </c>
      <c r="B283" s="5" t="inlineStr">
        <is>
          <t>GU-2534</t>
        </is>
      </c>
      <c r="D283" s="5" t="inlineStr">
        <is>
          <t>GGマーモント スモール ショルダーバッグ</t>
        </is>
      </c>
      <c r="E283" s="5" t="inlineStr">
        <is>
          <t>443497 FAC46 8654</t>
        </is>
      </c>
      <c r="F283" s="5" t="inlineStr">
        <is>
          <t>マルチカラー</t>
        </is>
      </c>
      <c r="G283" s="11" t="inlineStr">
        <is>
          <t>SOLD</t>
        </is>
      </c>
      <c r="H283" s="22" t="inlineStr">
        <is>
          <t>SOLD</t>
        </is>
      </c>
      <c r="I283" s="18" t="n">
        <v>305800</v>
      </c>
      <c r="J283" s="23" t="inlineStr">
        <is>
          <t>NOTFOUND</t>
        </is>
      </c>
      <c r="K283" s="20" t="n">
        <v>0</v>
      </c>
      <c r="L283" s="4" t="inlineStr">
        <is>
          <t>https://www.gucci.com/jp/ja/pr/women/handbags/shoulder-bags-for-women/chain-bags-for-women/gg-marmont-small-shoulder-bag-p-443497FAC468654</t>
        </is>
      </c>
      <c r="M283" s="5">
        <f t="array" ref="M283">_xlfn.IFS(J283="NOTFOUND",I283,J283&gt;=I283,J283)</f>
        <v/>
      </c>
    </row>
    <row r="284" ht="18" customHeight="1" s="16">
      <c r="A284" s="5" t="n">
        <v>283</v>
      </c>
      <c r="B284" s="5" t="inlineStr">
        <is>
          <t>GU-2535</t>
        </is>
      </c>
      <c r="D284" s="5" t="inlineStr">
        <is>
          <t>キャンバス スーパーミニショルダーバッグ</t>
        </is>
      </c>
      <c r="E284" s="5" t="inlineStr">
        <is>
          <t>799300 FACUL 8451</t>
        </is>
      </c>
      <c r="F284" s="5" t="inlineStr">
        <is>
          <t xml:space="preserve">  -</t>
        </is>
      </c>
      <c r="G284" s="11" t="inlineStr">
        <is>
          <t>SOLD</t>
        </is>
      </c>
      <c r="H284" s="22" t="inlineStr">
        <is>
          <t>SOLD</t>
        </is>
      </c>
      <c r="I284" s="18" t="n">
        <v>191400</v>
      </c>
      <c r="J284" s="23" t="inlineStr">
        <is>
          <t>NOTFOUND</t>
        </is>
      </c>
      <c r="K284" s="20" t="n">
        <v>0</v>
      </c>
      <c r="L284" s="4" t="inlineStr">
        <is>
          <t>https://www.gucci.com/jp/ja/pr/women/handbags/mini-bags-for-women/super-mini-canvas-shoulder-bag-p-799300FACUL8451</t>
        </is>
      </c>
      <c r="M284" s="5">
        <f t="array" ref="M284">_xlfn.IFS(J284="NOTFOUND",I284,J284&gt;=I284,J284)</f>
        <v/>
      </c>
    </row>
    <row r="285" ht="18" customHeight="1" s="16">
      <c r="A285" s="5" t="n">
        <v>284</v>
      </c>
      <c r="B285" s="5" t="inlineStr">
        <is>
          <t>GU-2536</t>
        </is>
      </c>
      <c r="D285" s="5" t="inlineStr">
        <is>
          <t>GG スーパーミニ ショルダーバッグ</t>
        </is>
      </c>
      <c r="E285" s="5" t="inlineStr">
        <is>
          <t>783141 FADAT 8741</t>
        </is>
      </c>
      <c r="F285" s="5" t="inlineStr">
        <is>
          <t xml:space="preserve">  -</t>
        </is>
      </c>
      <c r="G285" s="11" t="inlineStr">
        <is>
          <t>SOLD</t>
        </is>
      </c>
      <c r="H285" s="22" t="inlineStr">
        <is>
          <t>SOLD</t>
        </is>
      </c>
      <c r="I285" s="18" t="n">
        <v>162800</v>
      </c>
      <c r="J285" s="23" t="inlineStr">
        <is>
          <t>NOTFOUND</t>
        </is>
      </c>
      <c r="K285" s="20" t="n">
        <v>0</v>
      </c>
      <c r="L285" s="4" t="inlineStr">
        <is>
          <t>https://www.gucci.com/jp/ja/pr/women/handbags/mini-bags-for-women/gg-super-mini-shoulder-bag-p-783141FADAT8741</t>
        </is>
      </c>
      <c r="M285" s="5">
        <f t="array" ref="M285">_xlfn.IFS(J285="NOTFOUND",I285,J285&gt;=I285,J285)</f>
        <v/>
      </c>
    </row>
    <row r="286" ht="18" customHeight="1" s="16">
      <c r="A286" s="5" t="n">
        <v>285</v>
      </c>
      <c r="B286" s="5" t="inlineStr">
        <is>
          <t>GU-2537</t>
        </is>
      </c>
      <c r="D286" s="5" t="inlineStr">
        <is>
          <t>ルーチェ スモール ショルダーバッグ</t>
        </is>
      </c>
      <c r="E286" s="5" t="inlineStr">
        <is>
          <t>788061 FADGE 8542</t>
        </is>
      </c>
      <c r="F286" s="5" t="inlineStr">
        <is>
          <t xml:space="preserve">イエロー </t>
        </is>
      </c>
      <c r="G286" s="11" t="inlineStr">
        <is>
          <t>SOLD</t>
        </is>
      </c>
      <c r="H286" s="22" t="inlineStr">
        <is>
          <t>SOLD</t>
        </is>
      </c>
      <c r="I286" s="18" t="n">
        <v>423500</v>
      </c>
      <c r="J286" s="23" t="inlineStr">
        <is>
          <t>NOTFOUND</t>
        </is>
      </c>
      <c r="K286" s="20" t="n">
        <v>0</v>
      </c>
      <c r="L286" s="4" t="inlineStr">
        <is>
          <t>https://www.gucci.com/jp/ja/pr/women/handbags/shoulder-bags-for-women/gucci-luce-small-shoulder-bag-p-788061FADGE8542</t>
        </is>
      </c>
      <c r="M286" s="5">
        <f t="array" ref="M286">_xlfn.IFS(J286="NOTFOUND",I286,J286&gt;=I286,J286)</f>
        <v/>
      </c>
    </row>
    <row r="287" ht="18" customHeight="1" s="16">
      <c r="A287" s="5" t="n">
        <v>286</v>
      </c>
      <c r="B287" s="5" t="inlineStr">
        <is>
          <t>GU-2538</t>
        </is>
      </c>
      <c r="D287" s="5" t="inlineStr">
        <is>
          <t>ルーチェ スモール ショルダーバッグ</t>
        </is>
      </c>
      <c r="E287" s="5" t="inlineStr">
        <is>
          <t>788061 FADGE 8543</t>
        </is>
      </c>
      <c r="F287" s="5" t="inlineStr">
        <is>
          <t xml:space="preserve">オレンジ </t>
        </is>
      </c>
      <c r="G287" s="11" t="inlineStr">
        <is>
          <t>SOLD</t>
        </is>
      </c>
      <c r="H287" s="22" t="inlineStr">
        <is>
          <t>SOLD</t>
        </is>
      </c>
      <c r="I287" s="18" t="n">
        <v>423500</v>
      </c>
      <c r="J287" s="23" t="inlineStr">
        <is>
          <t>NOTFOUND</t>
        </is>
      </c>
      <c r="K287" s="20" t="n">
        <v>0</v>
      </c>
      <c r="L287" s="4" t="inlineStr">
        <is>
          <t>https://www.gucci.com/jp/ja/pr/women/handbags/shoulder-bags-for-women/gucci-luce-small-shoulder-bag-p-788061FADGE8543</t>
        </is>
      </c>
      <c r="M287" s="5">
        <f t="array" ref="M287">_xlfn.IFS(J287="NOTFOUND",I287,J287&gt;=I287,J287)</f>
        <v/>
      </c>
    </row>
    <row r="288" ht="18" customHeight="1" s="16">
      <c r="A288" s="5" t="n">
        <v>287</v>
      </c>
      <c r="B288" s="5" t="inlineStr">
        <is>
          <t>GU-2539</t>
        </is>
      </c>
      <c r="D288" s="5" t="inlineStr">
        <is>
          <t>ルーチェ スモール ショルダーバッグ</t>
        </is>
      </c>
      <c r="E288" s="5" t="inlineStr">
        <is>
          <t>788061 FADGE 8544</t>
        </is>
      </c>
      <c r="F288" s="5" t="inlineStr">
        <is>
          <t xml:space="preserve">ピンク </t>
        </is>
      </c>
      <c r="G288" s="11" t="inlineStr">
        <is>
          <t>SOLD</t>
        </is>
      </c>
      <c r="H288" s="22" t="inlineStr">
        <is>
          <t>SOLD</t>
        </is>
      </c>
      <c r="I288" s="18" t="n">
        <v>423500</v>
      </c>
      <c r="J288" s="23" t="inlineStr">
        <is>
          <t>NOTFOUND</t>
        </is>
      </c>
      <c r="K288" s="20" t="n">
        <v>0</v>
      </c>
      <c r="L288" s="4" t="inlineStr">
        <is>
          <t>https://www.gucci.com/jp/ja/pr/women/handbags/shoulder-bags-for-women/gucci-luce-small-shoulder-bag-p-788061FADGE8544</t>
        </is>
      </c>
      <c r="M288" s="5">
        <f t="array" ref="M288">_xlfn.IFS(J288="NOTFOUND",I288,J288&gt;=I288,J288)</f>
        <v/>
      </c>
    </row>
    <row r="289" ht="18" customHeight="1" s="16">
      <c r="A289" s="5" t="n">
        <v>288</v>
      </c>
      <c r="B289" s="5" t="inlineStr">
        <is>
          <t>GU-2540</t>
        </is>
      </c>
      <c r="D289" s="5" t="inlineStr">
        <is>
          <t>ルーチェ スモール ショルダーバッグ</t>
        </is>
      </c>
      <c r="E289" s="5" t="inlineStr">
        <is>
          <t>788061 FADGE 8546</t>
        </is>
      </c>
      <c r="F289" s="5" t="inlineStr">
        <is>
          <t xml:space="preserve">ライトブルー </t>
        </is>
      </c>
      <c r="G289" s="11" t="inlineStr">
        <is>
          <t>SOLD</t>
        </is>
      </c>
      <c r="H289" s="22" t="inlineStr">
        <is>
          <t>SOLD</t>
        </is>
      </c>
      <c r="I289" s="18" t="n">
        <v>423500</v>
      </c>
      <c r="J289" s="23" t="inlineStr">
        <is>
          <t>NOTFOUND</t>
        </is>
      </c>
      <c r="K289" s="20" t="n">
        <v>0</v>
      </c>
      <c r="L289" s="4" t="inlineStr">
        <is>
          <t>https://www.gucci.com/jp/ja/pr/women/handbags/shoulder-bags-for-women/gucci-luce-small-shoulder-bag-p-788061FADGE8546</t>
        </is>
      </c>
      <c r="M289" s="5">
        <f t="array" ref="M289">_xlfn.IFS(J289="NOTFOUND",I289,J289&gt;=I289,J289)</f>
        <v/>
      </c>
    </row>
    <row r="290" ht="18" customHeight="1" s="16">
      <c r="A290" s="5" t="n">
        <v>289</v>
      </c>
      <c r="B290" s="5" t="inlineStr">
        <is>
          <t>GU-2541</t>
        </is>
      </c>
      <c r="D290" s="5" t="inlineStr">
        <is>
          <t>ムーンサイド ミニ ショルダーバッグ</t>
        </is>
      </c>
      <c r="E290" s="5" t="inlineStr">
        <is>
          <t>786035 FADGE 8542</t>
        </is>
      </c>
      <c r="F290" s="5" t="inlineStr">
        <is>
          <t xml:space="preserve">イエロー </t>
        </is>
      </c>
      <c r="G290" s="11" t="inlineStr">
        <is>
          <t>SOLD</t>
        </is>
      </c>
      <c r="H290" s="22" t="inlineStr">
        <is>
          <t>SOLD</t>
        </is>
      </c>
      <c r="I290" s="18" t="n">
        <v>330000</v>
      </c>
      <c r="J290" s="23" t="inlineStr">
        <is>
          <t>NOTFOUND</t>
        </is>
      </c>
      <c r="K290" s="20" t="n">
        <v>0</v>
      </c>
      <c r="L290" s="4" t="inlineStr">
        <is>
          <t>https://www.gucci.com/jp/ja/pr/women/handbags/mini-bags-for-women/gucci-moon-side-mini-shoulder-bag-p-786035FADGE8542</t>
        </is>
      </c>
      <c r="M290" s="5">
        <f t="array" ref="M290">_xlfn.IFS(J290="NOTFOUND",I290,J290&gt;=I290,J290)</f>
        <v/>
      </c>
    </row>
    <row r="291" ht="18" customHeight="1" s="16">
      <c r="A291" s="5" t="n">
        <v>290</v>
      </c>
      <c r="B291" s="5" t="inlineStr">
        <is>
          <t>GU-2542</t>
        </is>
      </c>
      <c r="D291" s="5" t="inlineStr">
        <is>
          <t>ムーンサイド ミニ ショルダーバッグ</t>
        </is>
      </c>
      <c r="E291" s="5" t="inlineStr">
        <is>
          <t>786035 FADGE 8543</t>
        </is>
      </c>
      <c r="F291" s="5" t="inlineStr">
        <is>
          <t xml:space="preserve">オレンジ </t>
        </is>
      </c>
      <c r="G291" s="11" t="inlineStr">
        <is>
          <t>SOLD</t>
        </is>
      </c>
      <c r="H291" s="22" t="inlineStr">
        <is>
          <t>SOLD</t>
        </is>
      </c>
      <c r="I291" s="18" t="n">
        <v>330000</v>
      </c>
      <c r="J291" s="23" t="inlineStr">
        <is>
          <t>NOTFOUND</t>
        </is>
      </c>
      <c r="K291" s="20" t="n">
        <v>0</v>
      </c>
      <c r="L291" s="4" t="inlineStr">
        <is>
          <t>https://www.gucci.com/jp/ja/pr/women/handbags/mini-bags-for-women/gucci-moon-side-mini-shoulder-bag-p-786035FADGE8543</t>
        </is>
      </c>
      <c r="M291" s="5">
        <f t="array" ref="M291">_xlfn.IFS(J291="NOTFOUND",I291,J291&gt;=I291,J291)</f>
        <v/>
      </c>
    </row>
    <row r="292" ht="18" customHeight="1" s="16">
      <c r="A292" s="5" t="n">
        <v>291</v>
      </c>
      <c r="B292" s="5" t="inlineStr">
        <is>
          <t>GU-2543</t>
        </is>
      </c>
      <c r="D292" s="5" t="inlineStr">
        <is>
          <t>ムーンサイド ミニ ショルダーバッグ</t>
        </is>
      </c>
      <c r="E292" s="5" t="inlineStr">
        <is>
          <t>786035 FADGE 8544</t>
        </is>
      </c>
      <c r="F292" s="5" t="inlineStr">
        <is>
          <t xml:space="preserve">ピンク </t>
        </is>
      </c>
      <c r="G292" s="11" t="inlineStr">
        <is>
          <t>SOLD</t>
        </is>
      </c>
      <c r="H292" s="22" t="inlineStr">
        <is>
          <t>SOLD</t>
        </is>
      </c>
      <c r="I292" s="18" t="n">
        <v>330000</v>
      </c>
      <c r="J292" s="23" t="inlineStr">
        <is>
          <t>NOTFOUND</t>
        </is>
      </c>
      <c r="K292" s="20" t="n">
        <v>0</v>
      </c>
      <c r="L292" s="4" t="inlineStr">
        <is>
          <t>https://www.gucci.com/jp/ja/pr/women/handbags/mini-bags-for-women/gucci-moon-side-mini-shoulder-bag-p-786035FADGE8544</t>
        </is>
      </c>
      <c r="M292" s="5">
        <f t="array" ref="M292">_xlfn.IFS(J292="NOTFOUND",I292,J292&gt;=I292,J292)</f>
        <v/>
      </c>
    </row>
    <row r="293" ht="18" customHeight="1" s="16">
      <c r="A293" s="5" t="n">
        <v>292</v>
      </c>
      <c r="B293" s="5" t="inlineStr">
        <is>
          <t>GU-2544</t>
        </is>
      </c>
      <c r="D293" s="5" t="inlineStr">
        <is>
          <t>ムーンサイド ミニ ショルダーバッグ</t>
        </is>
      </c>
      <c r="E293" s="5" t="inlineStr">
        <is>
          <t>786035 FADGE 8546</t>
        </is>
      </c>
      <c r="F293" s="5" t="inlineStr">
        <is>
          <t xml:space="preserve">ライトブルー </t>
        </is>
      </c>
      <c r="G293" s="11" t="inlineStr">
        <is>
          <t>SOLD</t>
        </is>
      </c>
      <c r="H293" s="22" t="inlineStr">
        <is>
          <t>SOLD</t>
        </is>
      </c>
      <c r="I293" s="18" t="n">
        <v>330000</v>
      </c>
      <c r="J293" s="23" t="inlineStr">
        <is>
          <t>NOTFOUND</t>
        </is>
      </c>
      <c r="K293" s="20" t="n">
        <v>0</v>
      </c>
      <c r="L293" s="4" t="inlineStr">
        <is>
          <t>https://www.gucci.com/jp/ja/pr/women/handbags/mini-bags-for-women/gucci-moon-side-mini-shoulder-bag-p-786035FADGE8546</t>
        </is>
      </c>
      <c r="M293" s="5">
        <f t="array" ref="M293">_xlfn.IFS(J293="NOTFOUND",I293,J293&gt;=I293,J293)</f>
        <v/>
      </c>
    </row>
    <row r="294" ht="18" customHeight="1" s="16">
      <c r="A294" s="5" t="n">
        <v>293</v>
      </c>
      <c r="B294" s="5" t="inlineStr">
        <is>
          <t>GU-2545</t>
        </is>
      </c>
      <c r="D294" s="5" t="inlineStr">
        <is>
          <t>トーティッシマ スモール トートバッグ</t>
        </is>
      </c>
      <c r="E294" s="5" t="inlineStr">
        <is>
          <t>788211 FADH5 7443</t>
        </is>
      </c>
      <c r="F294" s="5" t="inlineStr">
        <is>
          <t xml:space="preserve">イエロー </t>
        </is>
      </c>
      <c r="G294" s="11" t="inlineStr">
        <is>
          <t>SOLD</t>
        </is>
      </c>
      <c r="H294" s="22" t="inlineStr">
        <is>
          <t>SOLD</t>
        </is>
      </c>
      <c r="I294" s="18" t="n">
        <v>280500</v>
      </c>
      <c r="J294" s="23" t="inlineStr">
        <is>
          <t>NOTFOUND</t>
        </is>
      </c>
      <c r="K294" s="20" t="n">
        <v>0</v>
      </c>
      <c r="L294" s="4" t="inlineStr">
        <is>
          <t>https://www.gucci.com/jp/ja/pr/women/handbags/tote-bags-for-women/gucci-totissima-small-tote-bag-p-788211FADH57443</t>
        </is>
      </c>
      <c r="M294" s="5">
        <f t="array" ref="M294">_xlfn.IFS(J294="NOTFOUND",I294,J294&gt;=I294,J294)</f>
        <v/>
      </c>
    </row>
    <row r="295" ht="18" customHeight="1" s="16">
      <c r="A295" s="5" t="n">
        <v>294</v>
      </c>
      <c r="B295" s="5" t="inlineStr">
        <is>
          <t>GU-2546</t>
        </is>
      </c>
      <c r="D295" s="5" t="inlineStr">
        <is>
          <t>トーティッシマ スモール トートバッグ</t>
        </is>
      </c>
      <c r="E295" s="5" t="inlineStr">
        <is>
          <t>788211 FADH5 6441</t>
        </is>
      </c>
      <c r="F295" s="5" t="inlineStr">
        <is>
          <t xml:space="preserve">ダークレッド </t>
        </is>
      </c>
      <c r="G295" s="11" t="inlineStr">
        <is>
          <t>SOLD</t>
        </is>
      </c>
      <c r="H295" s="22" t="inlineStr">
        <is>
          <t>SOLD</t>
        </is>
      </c>
      <c r="I295" s="18" t="n">
        <v>280500</v>
      </c>
      <c r="J295" s="23" t="inlineStr">
        <is>
          <t>NOTFOUND</t>
        </is>
      </c>
      <c r="K295" s="20" t="n">
        <v>0</v>
      </c>
      <c r="L295" s="4" t="inlineStr">
        <is>
          <t>https://www.gucci.com/jp/ja/pr/women/handbags/tote-bags-for-women/gucci-totissima-small-tote-bag-p-788211FADH56441</t>
        </is>
      </c>
      <c r="M295" s="5">
        <f t="array" ref="M295">_xlfn.IFS(J295="NOTFOUND",I295,J295&gt;=I295,J295)</f>
        <v/>
      </c>
    </row>
    <row r="296" ht="18" customHeight="1" s="16">
      <c r="A296" s="5" t="n">
        <v>295</v>
      </c>
      <c r="B296" s="5" t="inlineStr">
        <is>
          <t>GU-2547</t>
        </is>
      </c>
      <c r="D296" s="5" t="inlineStr">
        <is>
          <t>トーティッシマ ミディアム トートバッグ</t>
        </is>
      </c>
      <c r="E296" s="5" t="inlineStr">
        <is>
          <t>788203 FADH5 7543</t>
        </is>
      </c>
      <c r="F296" s="5" t="inlineStr">
        <is>
          <t xml:space="preserve">オレンジ </t>
        </is>
      </c>
      <c r="G296" s="11" t="inlineStr">
        <is>
          <t>SOLD</t>
        </is>
      </c>
      <c r="H296" s="22" t="inlineStr">
        <is>
          <t>SOLD</t>
        </is>
      </c>
      <c r="I296" s="18" t="n">
        <v>341000</v>
      </c>
      <c r="J296" s="23" t="inlineStr">
        <is>
          <t>NOTFOUND</t>
        </is>
      </c>
      <c r="K296" s="20" t="n">
        <v>0</v>
      </c>
      <c r="L296" s="4" t="inlineStr">
        <is>
          <t>https://www.gucci.com/jp/ja/pr/women/handbags/tote-bags-for-women/gucci-totissima-medium-tote-bag-p-788203FADH57543</t>
        </is>
      </c>
      <c r="M296" s="5">
        <f t="array" ref="M296">_xlfn.IFS(J296="NOTFOUND",I296,J296&gt;=I296,J296)</f>
        <v/>
      </c>
    </row>
    <row r="297" ht="18" customHeight="1" s="16">
      <c r="A297" s="5" t="n">
        <v>296</v>
      </c>
      <c r="B297" s="5" t="inlineStr">
        <is>
          <t>GU-2548</t>
        </is>
      </c>
      <c r="D297" s="5" t="inlineStr">
        <is>
          <t>トーティッシマ ミディアム トートバッグ</t>
        </is>
      </c>
      <c r="E297" s="5" t="inlineStr">
        <is>
          <t>788203 FADH5 4241</t>
        </is>
      </c>
      <c r="F297" s="5" t="inlineStr">
        <is>
          <t xml:space="preserve">ブルー </t>
        </is>
      </c>
      <c r="G297" s="11" t="inlineStr">
        <is>
          <t>SOLD</t>
        </is>
      </c>
      <c r="H297" s="22" t="inlineStr">
        <is>
          <t>SOLD</t>
        </is>
      </c>
      <c r="I297" s="18" t="n">
        <v>341000</v>
      </c>
      <c r="J297" s="23" t="inlineStr">
        <is>
          <t>NOTFOUND</t>
        </is>
      </c>
      <c r="K297" s="20" t="n">
        <v>0</v>
      </c>
      <c r="L297" s="4" t="inlineStr">
        <is>
          <t>https://www.gucci.com/jp/ja/pr/women/handbags/tote-bags-for-women/gucci-totissima-medium-tote-bag-p-788203FADH54241</t>
        </is>
      </c>
      <c r="M297" s="5">
        <f t="array" ref="M297">_xlfn.IFS(J297="NOTFOUND",I297,J297&gt;=I297,J297)</f>
        <v/>
      </c>
    </row>
    <row r="298" ht="18" customHeight="1" s="16">
      <c r="A298" s="5" t="n">
        <v>297</v>
      </c>
      <c r="B298" s="5" t="inlineStr">
        <is>
          <t>GU-2549</t>
        </is>
      </c>
      <c r="D298" s="5" t="inlineStr">
        <is>
          <t>カットアウト モチーフ ミディアム トートバッグ</t>
        </is>
      </c>
      <c r="E298" s="5" t="inlineStr">
        <is>
          <t>772229 AAC1B 9022</t>
        </is>
      </c>
      <c r="F298" s="5" t="inlineStr">
        <is>
          <t>オフホワイト レザー</t>
        </is>
      </c>
      <c r="G298" s="11" t="inlineStr">
        <is>
          <t>SOLD</t>
        </is>
      </c>
      <c r="H298" s="22" t="inlineStr">
        <is>
          <t>SOLD</t>
        </is>
      </c>
      <c r="I298" s="18" t="n">
        <v>539000</v>
      </c>
      <c r="J298" s="23" t="inlineStr">
        <is>
          <t>NOTFOUND</t>
        </is>
      </c>
      <c r="K298" s="20" t="n">
        <v>0</v>
      </c>
      <c r="L298" s="4" t="inlineStr">
        <is>
          <t>https://www.gucci.com/jp/ja/pr/women/handbags/tote-bags-for-women/medium-tote-bag-with-cut-out-motif-p-772229AAC1B9022</t>
        </is>
      </c>
      <c r="M298" s="5">
        <f t="array" ref="M298">_xlfn.IFS(J298="NOTFOUND",I298,J298&gt;=I298,J298)</f>
        <v/>
      </c>
    </row>
    <row r="299" ht="18" customHeight="1" s="16">
      <c r="A299" s="5" t="n">
        <v>298</v>
      </c>
      <c r="B299" s="5" t="inlineStr">
        <is>
          <t>GU-2550</t>
        </is>
      </c>
      <c r="D299" s="5" t="inlineStr">
        <is>
          <t>カットアウト モチーフ ミディアム トートバッグ</t>
        </is>
      </c>
      <c r="E299" s="5" t="inlineStr">
        <is>
          <t>772229 AAC1B 1000</t>
        </is>
      </c>
      <c r="F299" s="5" t="inlineStr">
        <is>
          <t>ブラック レザー</t>
        </is>
      </c>
      <c r="G299" s="11" t="inlineStr">
        <is>
          <t>SOLD</t>
        </is>
      </c>
      <c r="H299" s="22" t="inlineStr">
        <is>
          <t>SOLD</t>
        </is>
      </c>
      <c r="I299" s="18" t="n">
        <v>539000</v>
      </c>
      <c r="J299" s="23" t="inlineStr">
        <is>
          <t>NOTFOUND</t>
        </is>
      </c>
      <c r="K299" s="20" t="n">
        <v>0</v>
      </c>
      <c r="L299" s="4" t="inlineStr">
        <is>
          <t>https://www.gucci.com/jp/ja/pr/women/handbags/tote-bags-for-women/medium-tote-bag-with-cut-out-motif-p-772229AAC1B1000</t>
        </is>
      </c>
      <c r="M299" s="5">
        <f t="array" ref="M299">_xlfn.IFS(J299="NOTFOUND",I299,J299&gt;=I299,J299)</f>
        <v/>
      </c>
    </row>
    <row r="300" ht="18" customHeight="1" s="16">
      <c r="A300" s="5" t="n">
        <v>299</v>
      </c>
      <c r="B300" s="5" t="inlineStr">
        <is>
          <t>GU-2551</t>
        </is>
      </c>
      <c r="D300" s="5" t="inlineStr">
        <is>
          <t>プリント ミニ ショルダーバッグ</t>
        </is>
      </c>
      <c r="E300" s="5" t="inlineStr">
        <is>
          <t>777166 FACV3 8455</t>
        </is>
      </c>
      <c r="F300" s="5" t="inlineStr">
        <is>
          <t xml:space="preserve">  -</t>
        </is>
      </c>
      <c r="G300" s="11" t="inlineStr">
        <is>
          <t>SOLD</t>
        </is>
      </c>
      <c r="H300" s="22" t="inlineStr">
        <is>
          <t>SOLD</t>
        </is>
      </c>
      <c r="I300" s="18" t="n">
        <v>264000</v>
      </c>
      <c r="J300" s="23" t="inlineStr">
        <is>
          <t>NOTFOUND</t>
        </is>
      </c>
      <c r="K300" s="20" t="n">
        <v>0</v>
      </c>
      <c r="L300" s="4" t="inlineStr">
        <is>
          <t>https://www.gucci.com/jp/ja/pr/women/handbags/shoulder-bags-for-women/bucket-bags-for-women/mini-shoulder-bag-with-gucci-print-p-777166FACV38455</t>
        </is>
      </c>
      <c r="M300" s="5">
        <f t="array" ref="M300">_xlfn.IFS(J300="NOTFOUND",I300,J300&gt;=I300,J300)</f>
        <v/>
      </c>
    </row>
    <row r="301" ht="18" customHeight="1" s="16">
      <c r="A301" s="5" t="n">
        <v>300</v>
      </c>
      <c r="B301" s="5" t="inlineStr">
        <is>
          <t>GU-2552</t>
        </is>
      </c>
      <c r="D301" s="5" t="inlineStr">
        <is>
          <t>プリント トートバッグ</t>
        </is>
      </c>
      <c r="E301" s="5" t="inlineStr">
        <is>
          <t>772177 FACUL 8451</t>
        </is>
      </c>
      <c r="F301" s="5" t="inlineStr">
        <is>
          <t>ベージュ キャンバス</t>
        </is>
      </c>
      <c r="G301" s="10" t="inlineStr">
        <is>
          <t>OneSize</t>
        </is>
      </c>
      <c r="H301" s="17" t="inlineStr">
        <is>
          <t>OneSize</t>
        </is>
      </c>
      <c r="I301" s="18" t="n">
        <v>286000</v>
      </c>
      <c r="J301" s="19" t="n">
        <v>286000</v>
      </c>
      <c r="K301" s="20" t="n">
        <v>5</v>
      </c>
      <c r="L301" s="4" t="inlineStr">
        <is>
          <t>https://www.gucci.com/jp/ja/pr/women/handbags/tote-bags-for-women/tote-bag-with-gucci-print-p-772177FACUL8451</t>
        </is>
      </c>
      <c r="M301" s="5">
        <f t="array" ref="M301">_xlfn.IFS(J301="NOTFOUND",I301,J301&gt;=I301,J301)</f>
        <v/>
      </c>
    </row>
    <row r="302" ht="18" customHeight="1" s="16">
      <c r="A302" s="5" t="n">
        <v>301</v>
      </c>
      <c r="B302" s="5" t="inlineStr">
        <is>
          <t>GU-2553</t>
        </is>
      </c>
      <c r="D302" s="5" t="inlineStr">
        <is>
          <t>プリント ラージ トートバッグ</t>
        </is>
      </c>
      <c r="E302" s="5" t="inlineStr">
        <is>
          <t>772177 FACUL 8574</t>
        </is>
      </c>
      <c r="F302" s="5" t="inlineStr">
        <is>
          <t>ベージュ キャンバス</t>
        </is>
      </c>
      <c r="G302" s="10" t="inlineStr">
        <is>
          <t>OneSize</t>
        </is>
      </c>
      <c r="H302" s="17" t="inlineStr">
        <is>
          <t>OneSize</t>
        </is>
      </c>
      <c r="I302" s="18" t="n">
        <v>286000</v>
      </c>
      <c r="J302" s="19" t="n">
        <v>286000</v>
      </c>
      <c r="K302" s="20" t="n">
        <v>5</v>
      </c>
      <c r="L302" s="4" t="inlineStr">
        <is>
          <t>https://www.gucci.com/jp/ja/pr/women/handbags/tote-bags-for-women/large-tote-bag-with-gucci-print-p-772177FACUL8574</t>
        </is>
      </c>
      <c r="M302" s="5">
        <f t="array" ref="M302">_xlfn.IFS(J302="NOTFOUND",I302,J302&gt;=I302,J302)</f>
        <v/>
      </c>
    </row>
    <row r="303" ht="18" customHeight="1" s="16">
      <c r="A303" s="5" t="n">
        <v>302</v>
      </c>
      <c r="B303" s="5" t="inlineStr">
        <is>
          <t>GU-2554</t>
        </is>
      </c>
      <c r="D303" s="5" t="inlineStr">
        <is>
          <t>プリント ミディアム トートバッグ</t>
        </is>
      </c>
      <c r="E303" s="5" t="inlineStr">
        <is>
          <t>772176 FACUL 8573</t>
        </is>
      </c>
      <c r="F303" s="5" t="inlineStr">
        <is>
          <t>ベージュ キャンバス</t>
        </is>
      </c>
      <c r="G303" s="10" t="inlineStr">
        <is>
          <t>OneSize</t>
        </is>
      </c>
      <c r="H303" s="17" t="inlineStr">
        <is>
          <t>OneSize</t>
        </is>
      </c>
      <c r="I303" s="18" t="n">
        <v>264000</v>
      </c>
      <c r="J303" s="19" t="n">
        <v>264000</v>
      </c>
      <c r="K303" s="20" t="n">
        <v>5</v>
      </c>
      <c r="L303" s="4" t="inlineStr">
        <is>
          <t>https://www.gucci.com/jp/ja/pr/women/handbags/tote-bags-for-women/medium-tote-bag-with-gucci-print-p-772176FACUL8573</t>
        </is>
      </c>
      <c r="M303" s="5">
        <f t="array" ref="M303">_xlfn.IFS(J303="NOTFOUND",I303,J303&gt;=I303,J303)</f>
        <v/>
      </c>
    </row>
    <row r="304" ht="18" customHeight="1" s="16">
      <c r="A304" s="5" t="n">
        <v>303</v>
      </c>
      <c r="B304" s="5" t="inlineStr">
        <is>
          <t>GU-2555</t>
        </is>
      </c>
      <c r="D304" s="5" t="inlineStr">
        <is>
          <t>プリント トートバッグ</t>
        </is>
      </c>
      <c r="E304" s="5" t="inlineStr">
        <is>
          <t>772176 FACUL 8451</t>
        </is>
      </c>
      <c r="F304" s="5" t="inlineStr">
        <is>
          <t>ベージュ キャンバス</t>
        </is>
      </c>
      <c r="G304" s="10" t="inlineStr">
        <is>
          <t>OneSize</t>
        </is>
      </c>
      <c r="H304" s="17" t="inlineStr">
        <is>
          <t>OneSize</t>
        </is>
      </c>
      <c r="I304" s="18" t="n">
        <v>264000</v>
      </c>
      <c r="J304" s="19" t="n">
        <v>264000</v>
      </c>
      <c r="K304" s="20" t="n">
        <v>5</v>
      </c>
      <c r="L304" s="4" t="inlineStr">
        <is>
          <t>https://www.gucci.com/jp/ja/pr/women/handbags/tote-bags-for-women/medium-tote-bag-with-gucci-print-p-772176FACUL8451</t>
        </is>
      </c>
      <c r="M304" s="5">
        <f t="array" ref="M304">_xlfn.IFS(J304="NOTFOUND",I304,J304&gt;=I304,J304)</f>
        <v/>
      </c>
    </row>
    <row r="305" ht="18" customHeight="1" s="16">
      <c r="A305" s="5" t="n">
        <v>304</v>
      </c>
      <c r="B305" s="5" t="inlineStr">
        <is>
          <t>GU-2556</t>
        </is>
      </c>
      <c r="D305" s="5" t="inlineStr">
        <is>
          <t>日本限定 プリント トートバッグ</t>
        </is>
      </c>
      <c r="E305" s="5" t="inlineStr">
        <is>
          <t>772176 FACVW 8941</t>
        </is>
      </c>
      <c r="F305" s="5" t="inlineStr">
        <is>
          <t>ベージュ キャンバス</t>
        </is>
      </c>
      <c r="G305" s="10" t="inlineStr">
        <is>
          <t>OneSize</t>
        </is>
      </c>
      <c r="H305" s="17" t="inlineStr">
        <is>
          <t>OneSize</t>
        </is>
      </c>
      <c r="I305" s="18" t="n">
        <v>264000</v>
      </c>
      <c r="J305" s="19" t="n">
        <v>264000</v>
      </c>
      <c r="K305" s="20" t="n">
        <v>5</v>
      </c>
      <c r="L305" s="4" t="inlineStr">
        <is>
          <t>https://www.gucci.com/jp/ja/pr/women/handbags/tote-bags-for-women/tote-bag-with-gucci-print-p-772176FACVW8941</t>
        </is>
      </c>
      <c r="M305" s="5">
        <f t="array" ref="M305">_xlfn.IFS(J305="NOTFOUND",I305,J305&gt;=I305,J305)</f>
        <v/>
      </c>
    </row>
    <row r="306" ht="18" customHeight="1" s="16">
      <c r="A306" s="5" t="n">
        <v>305</v>
      </c>
      <c r="B306" s="5" t="inlineStr">
        <is>
          <t>GU-2557</t>
        </is>
      </c>
      <c r="D306" s="5" t="inlineStr">
        <is>
          <t>プリント スモール トートバッグ</t>
        </is>
      </c>
      <c r="E306" s="5" t="inlineStr">
        <is>
          <t>772144 FACUL 8572</t>
        </is>
      </c>
      <c r="F306" s="5" t="inlineStr">
        <is>
          <t>ベージュ キャンバス</t>
        </is>
      </c>
      <c r="G306" s="10" t="inlineStr">
        <is>
          <t>OneSize</t>
        </is>
      </c>
      <c r="H306" s="17" t="inlineStr">
        <is>
          <t>OneSize</t>
        </is>
      </c>
      <c r="I306" s="18" t="n">
        <v>242000</v>
      </c>
      <c r="J306" s="19" t="n">
        <v>242000</v>
      </c>
      <c r="K306" s="20" t="n">
        <v>5</v>
      </c>
      <c r="L306" s="4" t="inlineStr">
        <is>
          <t>https://www.gucci.com/jp/ja/pr/women/handbags/tote-bags-for-women/small-tote-bag-with-gucci-print-p-772144FACUL8572</t>
        </is>
      </c>
      <c r="M306" s="5">
        <f t="array" ref="M306">_xlfn.IFS(J306="NOTFOUND",I306,J306&gt;=I306,J306)</f>
        <v/>
      </c>
    </row>
    <row r="307" ht="18" customHeight="1" s="16">
      <c r="A307" s="5" t="n">
        <v>306</v>
      </c>
      <c r="B307" s="5" t="inlineStr">
        <is>
          <t>GU-2558</t>
        </is>
      </c>
      <c r="D307" s="5" t="inlineStr">
        <is>
          <t>プリント ミニ トートバッグ</t>
        </is>
      </c>
      <c r="E307" s="5" t="inlineStr">
        <is>
          <t>772144 FACUL 8451</t>
        </is>
      </c>
      <c r="F307" s="5" t="inlineStr">
        <is>
          <t>ベージュ キャンバス</t>
        </is>
      </c>
      <c r="G307" s="10" t="inlineStr">
        <is>
          <t>OneSize</t>
        </is>
      </c>
      <c r="H307" s="17" t="inlineStr">
        <is>
          <t>OneSize</t>
        </is>
      </c>
      <c r="I307" s="18" t="n">
        <v>242000</v>
      </c>
      <c r="J307" s="19" t="n">
        <v>242000</v>
      </c>
      <c r="K307" s="20" t="n">
        <v>5</v>
      </c>
      <c r="L307" s="4" t="inlineStr">
        <is>
          <t>https://www.gucci.com/jp/ja/pr/women/handbags/tote-bags-for-women/mini-tote-bag-with-gucci-print-p-772144FACUL8451</t>
        </is>
      </c>
      <c r="M307" s="5">
        <f t="array" ref="M307">_xlfn.IFS(J307="NOTFOUND",I307,J307&gt;=I307,J307)</f>
        <v/>
      </c>
    </row>
    <row r="308" ht="18" customHeight="1" s="16">
      <c r="A308" s="5" t="n">
        <v>307</v>
      </c>
      <c r="B308" s="5" t="inlineStr">
        <is>
          <t>GU-2559</t>
        </is>
      </c>
      <c r="D308" s="5" t="inlineStr">
        <is>
          <t>日本限定 プリント ミニ トートバッグ</t>
        </is>
      </c>
      <c r="E308" s="5" t="inlineStr">
        <is>
          <t>772144 FACVW 8941</t>
        </is>
      </c>
      <c r="F308" s="5" t="inlineStr">
        <is>
          <t>ベージュ キャンバス</t>
        </is>
      </c>
      <c r="G308" s="10" t="inlineStr">
        <is>
          <t>OneSize</t>
        </is>
      </c>
      <c r="H308" s="17" t="inlineStr">
        <is>
          <t>OneSize</t>
        </is>
      </c>
      <c r="I308" s="18" t="n">
        <v>242000</v>
      </c>
      <c r="J308" s="19" t="n">
        <v>242000</v>
      </c>
      <c r="K308" s="20" t="n">
        <v>5</v>
      </c>
      <c r="L308" s="4" t="inlineStr">
        <is>
          <t>https://www.gucci.com/jp/ja/pr/women/handbags/tote-bags-for-women/small-tote-bag-with-gucci-print-p-772144FACVW8941</t>
        </is>
      </c>
      <c r="M308" s="5">
        <f t="array" ref="M308">_xlfn.IFS(J308="NOTFOUND",I308,J308&gt;=I308,J308)</f>
        <v/>
      </c>
    </row>
    <row r="309" ht="18" customHeight="1" s="16">
      <c r="A309" s="5" t="n">
        <v>308</v>
      </c>
      <c r="B309" s="5" t="inlineStr">
        <is>
          <t>GU-2560</t>
        </is>
      </c>
      <c r="D309" s="5" t="inlineStr">
        <is>
          <t>オフィディア スモール ショルダーバッグ</t>
        </is>
      </c>
      <c r="E309" s="5" t="inlineStr">
        <is>
          <t>784753 FAC8K 3446</t>
        </is>
      </c>
      <c r="F309" s="5" t="inlineStr">
        <is>
          <t xml:space="preserve">  -</t>
        </is>
      </c>
      <c r="G309" s="11" t="inlineStr">
        <is>
          <t>SOLD</t>
        </is>
      </c>
      <c r="H309" s="22" t="inlineStr">
        <is>
          <t>SOLD</t>
        </is>
      </c>
      <c r="I309" s="18" t="n">
        <v>286000</v>
      </c>
      <c r="J309" s="23" t="inlineStr">
        <is>
          <t>NOTFOUND</t>
        </is>
      </c>
      <c r="K309" s="20" t="n">
        <v>0</v>
      </c>
      <c r="L309" s="4" t="inlineStr">
        <is>
          <t>https://www.gucci.com/jp/ja/pr/women/handbags/mini-bags-for-women/ophidia-gg-small-handbag-p-784753FAC8K3446</t>
        </is>
      </c>
      <c r="M309" s="5">
        <f t="array" ref="M309">_xlfn.IFS(J309="NOTFOUND",I309,J309&gt;=I309,J309)</f>
        <v/>
      </c>
    </row>
    <row r="310" ht="18" customHeight="1" s="16">
      <c r="A310" s="5" t="n">
        <v>309</v>
      </c>
      <c r="B310" s="5" t="inlineStr">
        <is>
          <t>GU-2561</t>
        </is>
      </c>
      <c r="D310" s="5" t="inlineStr">
        <is>
          <t>GGデニム ミニ ショルダーバッグ</t>
        </is>
      </c>
      <c r="E310" s="5" t="inlineStr">
        <is>
          <t>772311 FAC8H 3446</t>
        </is>
      </c>
      <c r="F310" s="5" t="inlineStr">
        <is>
          <t>ペールグリーン デニム</t>
        </is>
      </c>
      <c r="G310" s="11" t="inlineStr">
        <is>
          <t>SOLD</t>
        </is>
      </c>
      <c r="H310" s="22" t="inlineStr">
        <is>
          <t>SOLD</t>
        </is>
      </c>
      <c r="I310" s="18" t="n">
        <v>149600</v>
      </c>
      <c r="J310" s="23" t="inlineStr">
        <is>
          <t>NOTFOUND</t>
        </is>
      </c>
      <c r="K310" s="20" t="n">
        <v>0</v>
      </c>
      <c r="L310" s="4" t="inlineStr">
        <is>
          <t>https://www.gucci.com/jp/ja/pr/women/handbags/mini-bags-for-women/ophidia-gg-mini-shoulder-bag-p-772311FAC8H3446</t>
        </is>
      </c>
      <c r="M310" s="5">
        <f t="array" ref="M310">_xlfn.IFS(J310="NOTFOUND",I310,J310&gt;=I310,J310)</f>
        <v/>
      </c>
    </row>
    <row r="311" ht="18" customHeight="1" s="16">
      <c r="A311" s="5" t="n">
        <v>310</v>
      </c>
      <c r="B311" s="5" t="inlineStr">
        <is>
          <t>GU-2562</t>
        </is>
      </c>
      <c r="D311" s="5" t="inlineStr">
        <is>
          <t>オフィディア ミニ トップハンドルバッグ</t>
        </is>
      </c>
      <c r="E311" s="5" t="inlineStr">
        <is>
          <t>772216 FAC8G 5701</t>
        </is>
      </c>
      <c r="F311" s="5" t="inlineStr">
        <is>
          <t>ライトベージュ デニム</t>
        </is>
      </c>
      <c r="G311" s="11" t="inlineStr">
        <is>
          <t>SOLD</t>
        </is>
      </c>
      <c r="H311" s="22" t="inlineStr">
        <is>
          <t>SOLD</t>
        </is>
      </c>
      <c r="I311" s="18" t="n">
        <v>308000</v>
      </c>
      <c r="J311" s="23" t="inlineStr">
        <is>
          <t>NOTFOUND</t>
        </is>
      </c>
      <c r="K311" s="20" t="n">
        <v>0</v>
      </c>
      <c r="L311" s="4" t="inlineStr">
        <is>
          <t>https://www.gucci.com/jp/ja/pr/women/handbags/shoulder-bags-for-women/ophidia-gg-mini-top-handle-bag-p-772216FAC8G5701</t>
        </is>
      </c>
      <c r="M311" s="5">
        <f t="array" ref="M311">_xlfn.IFS(J311="NOTFOUND",I311,J311&gt;=I311,J311)</f>
        <v/>
      </c>
    </row>
    <row r="312" ht="18" customHeight="1" s="16">
      <c r="A312" s="5" t="n">
        <v>311</v>
      </c>
      <c r="B312" s="5" t="inlineStr">
        <is>
          <t>GU-2563</t>
        </is>
      </c>
      <c r="D312" s="5" t="inlineStr">
        <is>
          <t>オフィディア ミニ トップハンドルバッグ</t>
        </is>
      </c>
      <c r="E312" s="5" t="inlineStr">
        <is>
          <t>772216 FAC8K 3446</t>
        </is>
      </c>
      <c r="F312" s="5" t="inlineStr">
        <is>
          <t>ペールグリーン デニム</t>
        </is>
      </c>
      <c r="G312" s="11" t="inlineStr">
        <is>
          <t>SOLD</t>
        </is>
      </c>
      <c r="H312" s="22" t="inlineStr">
        <is>
          <t>SOLD</t>
        </is>
      </c>
      <c r="I312" s="18" t="n">
        <v>308000</v>
      </c>
      <c r="J312" s="23" t="inlineStr">
        <is>
          <t>NOTFOUND</t>
        </is>
      </c>
      <c r="K312" s="20" t="n">
        <v>0</v>
      </c>
      <c r="L312" s="4" t="inlineStr">
        <is>
          <t>https://www.gucci.com/jp/ja/pr/women/handbags/shoulder-bags-for-women/ophidia-gg-mini-top-handle-bag-p-772216FAC8K3446</t>
        </is>
      </c>
      <c r="M312" s="5">
        <f t="array" ref="M312">_xlfn.IFS(J312="NOTFOUND",I312,J312&gt;=I312,J312)</f>
        <v/>
      </c>
    </row>
    <row r="313" ht="18" customHeight="1" s="16">
      <c r="A313" s="5" t="n">
        <v>312</v>
      </c>
      <c r="B313" s="5" t="inlineStr">
        <is>
          <t>GU-2564</t>
        </is>
      </c>
      <c r="D313" s="5" t="inlineStr">
        <is>
          <t>オフィディア ラージ トートバッグ</t>
        </is>
      </c>
      <c r="E313" s="5" t="inlineStr">
        <is>
          <t>772184 FAC8N 5701</t>
        </is>
      </c>
      <c r="F313" s="5" t="inlineStr">
        <is>
          <t>ライトベージュ デニム</t>
        </is>
      </c>
      <c r="G313" s="11" t="inlineStr">
        <is>
          <t>SOLD</t>
        </is>
      </c>
      <c r="H313" s="22" t="inlineStr">
        <is>
          <t>SOLD</t>
        </is>
      </c>
      <c r="I313" s="18" t="n">
        <v>319000</v>
      </c>
      <c r="J313" s="23" t="inlineStr">
        <is>
          <t>NOTFOUND</t>
        </is>
      </c>
      <c r="K313" s="20" t="n">
        <v>0</v>
      </c>
      <c r="L313" s="4" t="inlineStr">
        <is>
          <t>https://www.gucci.com/jp/ja/pr/women/handbags/tote-bags-for-women/ophidia-gg-large-tote-bag-p-772184FAC8N5701</t>
        </is>
      </c>
      <c r="M313" s="5">
        <f t="array" ref="M313">_xlfn.IFS(J313="NOTFOUND",I313,J313&gt;=I313,J313)</f>
        <v/>
      </c>
    </row>
    <row r="314" ht="18" customHeight="1" s="16">
      <c r="A314" s="5" t="n">
        <v>313</v>
      </c>
      <c r="B314" s="5" t="inlineStr">
        <is>
          <t>GU-2565</t>
        </is>
      </c>
      <c r="D314" s="5" t="inlineStr">
        <is>
          <t>オフィディア ラージ トートバッグ</t>
        </is>
      </c>
      <c r="E314" s="5" t="inlineStr">
        <is>
          <t>772184 FAC8Q 3446</t>
        </is>
      </c>
      <c r="F314" s="5" t="inlineStr">
        <is>
          <t>ペールグリーン デニム</t>
        </is>
      </c>
      <c r="G314" s="11" t="inlineStr">
        <is>
          <t>SOLD</t>
        </is>
      </c>
      <c r="H314" s="22" t="inlineStr">
        <is>
          <t>SOLD</t>
        </is>
      </c>
      <c r="I314" s="18" t="n">
        <v>319000</v>
      </c>
      <c r="J314" s="23" t="inlineStr">
        <is>
          <t>NOTFOUND</t>
        </is>
      </c>
      <c r="K314" s="20" t="n">
        <v>0</v>
      </c>
      <c r="L314" s="4" t="inlineStr">
        <is>
          <t>https://www.gucci.com/jp/ja/pr/women/handbags/tote-bags-for-women/ophidia-gg-large-tote-bag-p-772184FAC8Q3446</t>
        </is>
      </c>
      <c r="M314" s="5">
        <f t="array" ref="M314">_xlfn.IFS(J314="NOTFOUND",I314,J314&gt;=I314,J314)</f>
        <v/>
      </c>
    </row>
    <row r="315" ht="18" customHeight="1" s="16">
      <c r="A315" s="5" t="n">
        <v>314</v>
      </c>
      <c r="B315" s="5" t="inlineStr">
        <is>
          <t>GU-2566</t>
        </is>
      </c>
      <c r="D315" s="5" t="inlineStr">
        <is>
          <t>オフィディア ミディアム トートバッグ</t>
        </is>
      </c>
      <c r="E315" s="5" t="inlineStr">
        <is>
          <t>772183 FAC8N 5701</t>
        </is>
      </c>
      <c r="F315" s="5" t="inlineStr">
        <is>
          <t>ライトベージュ デニム</t>
        </is>
      </c>
      <c r="G315" s="11" t="inlineStr">
        <is>
          <t>SOLD</t>
        </is>
      </c>
      <c r="H315" s="22" t="inlineStr">
        <is>
          <t>SOLD</t>
        </is>
      </c>
      <c r="I315" s="18" t="n">
        <v>280500</v>
      </c>
      <c r="J315" s="23" t="inlineStr">
        <is>
          <t>NOTFOUND</t>
        </is>
      </c>
      <c r="K315" s="20" t="n">
        <v>0</v>
      </c>
      <c r="L315" s="4" t="inlineStr">
        <is>
          <t>https://www.gucci.com/jp/ja/pr/women/handbags/tote-bags-for-women/ophidia-gg-medium-tote-bag-p-772183FAC8N5701</t>
        </is>
      </c>
      <c r="M315" s="5">
        <f t="array" ref="M315">_xlfn.IFS(J315="NOTFOUND",I315,J315&gt;=I315,J315)</f>
        <v/>
      </c>
    </row>
    <row r="316" ht="18" customHeight="1" s="16">
      <c r="A316" s="5" t="n">
        <v>315</v>
      </c>
      <c r="B316" s="5" t="inlineStr">
        <is>
          <t>GU-2567</t>
        </is>
      </c>
      <c r="D316" s="5" t="inlineStr">
        <is>
          <t>オフィディア ミディアム トートバッグ</t>
        </is>
      </c>
      <c r="E316" s="5" t="inlineStr">
        <is>
          <t>772183 FAC8Q 3446</t>
        </is>
      </c>
      <c r="F316" s="5" t="inlineStr">
        <is>
          <t>ペールグリーン デニム</t>
        </is>
      </c>
      <c r="G316" s="11" t="inlineStr">
        <is>
          <t>SOLD</t>
        </is>
      </c>
      <c r="H316" s="22" t="inlineStr">
        <is>
          <t>SOLD</t>
        </is>
      </c>
      <c r="I316" s="18" t="n">
        <v>280500</v>
      </c>
      <c r="J316" s="23" t="inlineStr">
        <is>
          <t>NOTFOUND</t>
        </is>
      </c>
      <c r="K316" s="20" t="n">
        <v>0</v>
      </c>
      <c r="L316" s="4" t="inlineStr">
        <is>
          <t>https://www.gucci.com/jp/ja/pr/women/handbags/tote-bags-for-women/ophidia-gg-medium-tote-bag-p-772183FAC8Q3446</t>
        </is>
      </c>
      <c r="M316" s="5">
        <f t="array" ref="M316">_xlfn.IFS(J316="NOTFOUND",I316,J316&gt;=I316,J316)</f>
        <v/>
      </c>
    </row>
    <row r="317" ht="18" customHeight="1" s="16">
      <c r="A317" s="5" t="n">
        <v>316</v>
      </c>
      <c r="B317" s="5" t="inlineStr">
        <is>
          <t>GU-2568</t>
        </is>
      </c>
      <c r="D317" s="5" t="inlineStr">
        <is>
          <t>オフィディア スモール トップハンドルバッグ</t>
        </is>
      </c>
      <c r="E317" s="5" t="inlineStr">
        <is>
          <t>772061 FAC8G 5701</t>
        </is>
      </c>
      <c r="F317" s="5" t="inlineStr">
        <is>
          <t>ライトベージュ デニム</t>
        </is>
      </c>
      <c r="G317" s="11" t="inlineStr">
        <is>
          <t>SOLD</t>
        </is>
      </c>
      <c r="H317" s="22" t="inlineStr">
        <is>
          <t>SOLD</t>
        </is>
      </c>
      <c r="I317" s="18" t="n">
        <v>277200</v>
      </c>
      <c r="J317" s="23" t="inlineStr">
        <is>
          <t>NOTFOUND</t>
        </is>
      </c>
      <c r="K317" s="20" t="n">
        <v>0</v>
      </c>
      <c r="L317" s="4" t="inlineStr">
        <is>
          <t>https://www.gucci.com/jp/ja/pr/women/handbags/crossbody-bags-for-women/ophidia-gg-small-top-handle-bag-p-772061FAC8G5701</t>
        </is>
      </c>
      <c r="M317" s="5">
        <f t="array" ref="M317">_xlfn.IFS(J317="NOTFOUND",I317,J317&gt;=I317,J317)</f>
        <v/>
      </c>
    </row>
    <row r="318" ht="18" customHeight="1" s="16">
      <c r="A318" s="5" t="n">
        <v>317</v>
      </c>
      <c r="B318" s="5" t="inlineStr">
        <is>
          <t>GU-2569</t>
        </is>
      </c>
      <c r="D318" s="5" t="inlineStr">
        <is>
          <t>オフィディア スモール トップハンドルバッグ</t>
        </is>
      </c>
      <c r="E318" s="5" t="inlineStr">
        <is>
          <t>772061 FAC8K 3446</t>
        </is>
      </c>
      <c r="F318" s="5" t="inlineStr">
        <is>
          <t>ペールグリーン デニム</t>
        </is>
      </c>
      <c r="G318" s="11" t="inlineStr">
        <is>
          <t>SOLD</t>
        </is>
      </c>
      <c r="H318" s="22" t="inlineStr">
        <is>
          <t>SOLD</t>
        </is>
      </c>
      <c r="I318" s="18" t="n">
        <v>277200</v>
      </c>
      <c r="J318" s="23" t="inlineStr">
        <is>
          <t>NOTFOUND</t>
        </is>
      </c>
      <c r="K318" s="20" t="n">
        <v>0</v>
      </c>
      <c r="L318" s="4" t="inlineStr">
        <is>
          <t>https://www.gucci.com/jp/ja/pr/women/handbags/crossbody-bags-for-women/ophidia-gg-small-top-handle-bag-p-772061FAC8K3446</t>
        </is>
      </c>
      <c r="M318" s="5">
        <f t="array" ref="M318">_xlfn.IFS(J318="NOTFOUND",I318,J318&gt;=I318,J318)</f>
        <v/>
      </c>
    </row>
    <row r="319" ht="18" customHeight="1" s="16">
      <c r="A319" s="5" t="n">
        <v>318</v>
      </c>
      <c r="B319" s="5" t="inlineStr">
        <is>
          <t>GU-2570</t>
        </is>
      </c>
      <c r="D319" s="5" t="inlineStr">
        <is>
          <t>オフィディア ミニ バッグ</t>
        </is>
      </c>
      <c r="E319" s="5" t="inlineStr">
        <is>
          <t>773730 FAC2F 8450</t>
        </is>
      </c>
      <c r="F319" s="5" t="inlineStr">
        <is>
          <t xml:space="preserve">  -</t>
        </is>
      </c>
      <c r="G319" s="11" t="inlineStr">
        <is>
          <t>SOLD</t>
        </is>
      </c>
      <c r="H319" s="22" t="inlineStr">
        <is>
          <t>SOLD</t>
        </is>
      </c>
      <c r="I319" s="18" t="n">
        <v>236500</v>
      </c>
      <c r="J319" s="23" t="inlineStr">
        <is>
          <t>NOTFOUND</t>
        </is>
      </c>
      <c r="K319" s="20" t="n">
        <v>0</v>
      </c>
      <c r="L319" s="4" t="inlineStr">
        <is>
          <t>https://www.gucci.com/jp/ja/pr/women/handbags/mini-bags-for-women/ophidia-gg-mini-bag-p-773730FAC2F8450</t>
        </is>
      </c>
      <c r="M319" s="5">
        <f t="array" ref="M319">_xlfn.IFS(J319="NOTFOUND",I319,J319&gt;=I319,J319)</f>
        <v/>
      </c>
    </row>
    <row r="320" ht="18" customHeight="1" s="16">
      <c r="A320" s="5" t="n">
        <v>319</v>
      </c>
      <c r="B320" s="5" t="inlineStr">
        <is>
          <t>GU-2571</t>
        </is>
      </c>
      <c r="D320" s="5" t="inlineStr">
        <is>
          <t>オフィディア ラージ トートバッグ</t>
        </is>
      </c>
      <c r="E320" s="5" t="inlineStr">
        <is>
          <t>772184 FAC2F 8450</t>
        </is>
      </c>
      <c r="F320" s="5" t="inlineStr">
        <is>
          <t>ブラック＆グレー デニム</t>
        </is>
      </c>
      <c r="G320" s="11" t="inlineStr">
        <is>
          <t>SOLD</t>
        </is>
      </c>
      <c r="H320" s="22" t="inlineStr">
        <is>
          <t>SOLD</t>
        </is>
      </c>
      <c r="I320" s="18" t="n">
        <v>319000</v>
      </c>
      <c r="J320" s="23" t="inlineStr">
        <is>
          <t>NOTFOUND</t>
        </is>
      </c>
      <c r="K320" s="20" t="n">
        <v>0</v>
      </c>
      <c r="L320" s="4" t="inlineStr">
        <is>
          <t>https://www.gucci.com/jp/ja/pr/women/handbags/tote-bags-for-women/ophidia-gg-large-tote-bag-p-772184FAC2F8450</t>
        </is>
      </c>
      <c r="M320" s="5">
        <f t="array" ref="M320">_xlfn.IFS(J320="NOTFOUND",I320,J320&gt;=I320,J320)</f>
        <v/>
      </c>
    </row>
    <row r="321" ht="18" customHeight="1" s="16">
      <c r="A321" s="5" t="n">
        <v>320</v>
      </c>
      <c r="B321" s="5" t="inlineStr">
        <is>
          <t>GU-2572</t>
        </is>
      </c>
      <c r="D321" s="5" t="inlineStr">
        <is>
          <t>オフィディア ミディアム トートバッグ</t>
        </is>
      </c>
      <c r="E321" s="5" t="inlineStr">
        <is>
          <t>772183 FAC2F 8450</t>
        </is>
      </c>
      <c r="F321" s="5" t="inlineStr">
        <is>
          <t>ブラック＆グレー デニム</t>
        </is>
      </c>
      <c r="G321" s="11" t="inlineStr">
        <is>
          <t>SOLD</t>
        </is>
      </c>
      <c r="H321" s="22" t="inlineStr">
        <is>
          <t>SOLD</t>
        </is>
      </c>
      <c r="I321" s="18" t="n">
        <v>280500</v>
      </c>
      <c r="J321" s="23" t="inlineStr">
        <is>
          <t>NOTFOUND</t>
        </is>
      </c>
      <c r="K321" s="20" t="n">
        <v>0</v>
      </c>
      <c r="L321" s="4" t="inlineStr">
        <is>
          <t>https://www.gucci.com/jp/ja/pr/women/handbags/tote-bags-for-women/ophidia-gg-medium-tote-bag-p-772183FAC2F8450</t>
        </is>
      </c>
      <c r="M321" s="5">
        <f t="array" ref="M321">_xlfn.IFS(J321="NOTFOUND",I321,J321&gt;=I321,J321)</f>
        <v/>
      </c>
    </row>
    <row r="322" ht="18" customHeight="1" s="16">
      <c r="A322" s="5" t="n">
        <v>321</v>
      </c>
      <c r="B322" s="5" t="inlineStr">
        <is>
          <t>GU-2573</t>
        </is>
      </c>
      <c r="D322" s="5" t="inlineStr">
        <is>
          <t>オフィディア GG スモール ショルダーバッグ</t>
        </is>
      </c>
      <c r="E322" s="5" t="inlineStr">
        <is>
          <t>499621 FAC2F 8450</t>
        </is>
      </c>
      <c r="F322" s="5" t="inlineStr">
        <is>
          <t>ブラック＆グレー デニム</t>
        </is>
      </c>
      <c r="G322" s="11" t="inlineStr">
        <is>
          <t>SOLD</t>
        </is>
      </c>
      <c r="H322" s="22" t="inlineStr">
        <is>
          <t>SOLD</t>
        </is>
      </c>
      <c r="I322" s="18" t="n">
        <v>242000</v>
      </c>
      <c r="J322" s="23" t="inlineStr">
        <is>
          <t>NOTFOUND</t>
        </is>
      </c>
      <c r="K322" s="20" t="n">
        <v>0</v>
      </c>
      <c r="L322" s="4" t="inlineStr">
        <is>
          <t>https://www.gucci.com/jp/ja/pr/women/handbags/crossbody-bags-for-women/ophidia-gg-small-shoulder-bag-p-499621FAC2F8450</t>
        </is>
      </c>
      <c r="M322" s="5">
        <f t="array" ref="M322">_xlfn.IFS(J322="NOTFOUND",I322,J322&gt;=I322,J322)</f>
        <v/>
      </c>
    </row>
    <row r="323" ht="18" customHeight="1" s="16">
      <c r="A323" s="5" t="n">
        <v>322</v>
      </c>
      <c r="B323" s="5" t="inlineStr">
        <is>
          <t>GU-2574</t>
        </is>
      </c>
      <c r="D323" s="5" t="inlineStr">
        <is>
          <t>GGマーモント スモール ショルダーバッグ</t>
        </is>
      </c>
      <c r="E323" s="5" t="inlineStr">
        <is>
          <t>802448 0AABA 1000</t>
        </is>
      </c>
      <c r="F323" s="5" t="inlineStr">
        <is>
          <t xml:space="preserve">  -</t>
        </is>
      </c>
      <c r="G323" s="11" t="inlineStr">
        <is>
          <t>SOLD</t>
        </is>
      </c>
      <c r="H323" s="22" t="inlineStr">
        <is>
          <t>SOLD</t>
        </is>
      </c>
      <c r="I323" s="18" t="n">
        <v>313500</v>
      </c>
      <c r="J323" s="23" t="inlineStr">
        <is>
          <t>NOTFOUND</t>
        </is>
      </c>
      <c r="K323" s="20" t="n">
        <v>0</v>
      </c>
      <c r="L323" s="4" t="inlineStr">
        <is>
          <t>https://www.gucci.com/jp/ja/pr/women/handbags/shoulder-bags-for-women/camera-bags-for-women/gg-marmont-small-shoulder-bag-p-8024480AABA1000</t>
        </is>
      </c>
      <c r="M323" s="5">
        <f t="array" ref="M323">_xlfn.IFS(J323="NOTFOUND",I323,J323&gt;=I323,J323)</f>
        <v/>
      </c>
    </row>
    <row r="324" ht="18" customHeight="1" s="16">
      <c r="A324" s="5" t="n">
        <v>323</v>
      </c>
      <c r="B324" s="5" t="inlineStr">
        <is>
          <t>GU-2575</t>
        </is>
      </c>
      <c r="D324" s="5" t="inlineStr">
        <is>
          <t>GGマーモント スーパーミニバッグ</t>
        </is>
      </c>
      <c r="E324" s="5" t="inlineStr">
        <is>
          <t>476433 AADP6 1000</t>
        </is>
      </c>
      <c r="F324" s="5" t="inlineStr">
        <is>
          <t>ブラック パテントレザー</t>
        </is>
      </c>
      <c r="G324" s="11" t="inlineStr">
        <is>
          <t>SOLD</t>
        </is>
      </c>
      <c r="H324" s="22" t="inlineStr">
        <is>
          <t>SOLD</t>
        </is>
      </c>
      <c r="I324" s="18" t="n">
        <v>275000</v>
      </c>
      <c r="J324" s="23" t="inlineStr">
        <is>
          <t>NOTFOUND</t>
        </is>
      </c>
      <c r="K324" s="20" t="n">
        <v>0</v>
      </c>
      <c r="L324" s="4" t="inlineStr">
        <is>
          <t>https://www.gucci.com/jp/ja/pr/women/handbags/mini-bags-for-women/gg-marmont-super-mini-bag-p-476433AADP61000</t>
        </is>
      </c>
      <c r="M324" s="5">
        <f t="array" ref="M324">_xlfn.IFS(J324="NOTFOUND",I324,J324&gt;=I324,J324)</f>
        <v/>
      </c>
    </row>
    <row r="325" ht="18" customHeight="1" s="16">
      <c r="A325" s="5" t="n">
        <v>324</v>
      </c>
      <c r="B325" s="5" t="inlineStr">
        <is>
          <t>GU-2576</t>
        </is>
      </c>
      <c r="D325" s="5" t="inlineStr">
        <is>
          <t>GGマーモント スモール ショルダーバッグ</t>
        </is>
      </c>
      <c r="E325" s="5" t="inlineStr">
        <is>
          <t>443497 0AAA9 1000</t>
        </is>
      </c>
      <c r="F325" s="5" t="inlineStr">
        <is>
          <t>ブラック パテントレザー</t>
        </is>
      </c>
      <c r="G325" s="11" t="inlineStr">
        <is>
          <t>SOLD</t>
        </is>
      </c>
      <c r="H325" s="22" t="inlineStr">
        <is>
          <t>SOLD</t>
        </is>
      </c>
      <c r="I325" s="18" t="n">
        <v>462000</v>
      </c>
      <c r="J325" s="23" t="inlineStr">
        <is>
          <t>NOTFOUND</t>
        </is>
      </c>
      <c r="K325" s="20" t="n">
        <v>0</v>
      </c>
      <c r="L325" s="4" t="inlineStr">
        <is>
          <t>https://www.gucci.com/jp/ja/pr/women/handbags/shoulder-bags-for-women/chain-bags-for-women/gg-marmont-small-shoulder-bag-p-4434970AAA91000</t>
        </is>
      </c>
      <c r="M325" s="5">
        <f t="array" ref="M325">_xlfn.IFS(J325="NOTFOUND",I325,J325&gt;=I325,J325)</f>
        <v/>
      </c>
    </row>
    <row r="326" ht="18" customHeight="1" s="16">
      <c r="A326" s="5" t="n">
        <v>325</v>
      </c>
      <c r="B326" s="5" t="inlineStr">
        <is>
          <t>GU-2577</t>
        </is>
      </c>
      <c r="D326" s="5" t="inlineStr">
        <is>
          <t>ディオニュソス スーパーミニバッグ</t>
        </is>
      </c>
      <c r="E326" s="5" t="inlineStr">
        <is>
          <t>795368 0AAA6 1712</t>
        </is>
      </c>
      <c r="F326" s="5" t="inlineStr">
        <is>
          <t>ライトグレー パテントレザー</t>
        </is>
      </c>
      <c r="G326" s="11" t="inlineStr">
        <is>
          <t>SOLD</t>
        </is>
      </c>
      <c r="H326" s="22" t="inlineStr">
        <is>
          <t>SOLD</t>
        </is>
      </c>
      <c r="I326" s="18" t="n">
        <v>214500</v>
      </c>
      <c r="J326" s="23" t="inlineStr">
        <is>
          <t>NOTFOUND</t>
        </is>
      </c>
      <c r="K326" s="20" t="n">
        <v>0</v>
      </c>
      <c r="L326" s="4" t="inlineStr">
        <is>
          <t>https://www.gucci.com/jp/ja/pr/women/handbags/mini-bags-for-women/dionysus-super-mini-bag-p-7953680AAA61712</t>
        </is>
      </c>
      <c r="M326" s="5">
        <f t="array" ref="M326">_xlfn.IFS(J326="NOTFOUND",I326,J326&gt;=I326,J326)</f>
        <v/>
      </c>
    </row>
    <row r="327" ht="18" customHeight="1" s="16">
      <c r="A327" s="5" t="n">
        <v>326</v>
      </c>
      <c r="B327" s="5" t="inlineStr">
        <is>
          <t>GU-2578</t>
        </is>
      </c>
      <c r="D327" s="5" t="inlineStr">
        <is>
          <t>ディオニュソス スーパーミニバッグ</t>
        </is>
      </c>
      <c r="E327" s="5" t="inlineStr">
        <is>
          <t>795368 0AAA6 1000</t>
        </is>
      </c>
      <c r="F327" s="5" t="inlineStr">
        <is>
          <t>ブラック パテントレザー</t>
        </is>
      </c>
      <c r="G327" s="11" t="inlineStr">
        <is>
          <t>SOLD</t>
        </is>
      </c>
      <c r="H327" s="22" t="inlineStr">
        <is>
          <t>SOLD</t>
        </is>
      </c>
      <c r="I327" s="18" t="n">
        <v>214500</v>
      </c>
      <c r="J327" s="23" t="inlineStr">
        <is>
          <t>NOTFOUND</t>
        </is>
      </c>
      <c r="K327" s="20" t="n">
        <v>0</v>
      </c>
      <c r="L327" s="4" t="inlineStr">
        <is>
          <t>https://www.gucci.com/jp/ja/pr/women/handbags/mini-bags-for-women/dionysus-super-mini-bag-p-7953680AAA61000</t>
        </is>
      </c>
      <c r="M327" s="5">
        <f t="array" ref="M327">_xlfn.IFS(J327="NOTFOUND",I327,J327&gt;=I327,J327)</f>
        <v/>
      </c>
    </row>
    <row r="328" ht="18" customHeight="1" s="16">
      <c r="A328" s="5" t="n">
        <v>327</v>
      </c>
      <c r="B328" s="5" t="inlineStr">
        <is>
          <t>GU-2579</t>
        </is>
      </c>
      <c r="D328" s="5" t="inlineStr">
        <is>
          <t>ホースビット 1955 ミニ トップハンドルバッグ</t>
        </is>
      </c>
      <c r="E328" s="5" t="inlineStr">
        <is>
          <t>781387 1AAQD 9022</t>
        </is>
      </c>
      <c r="F328" s="5" t="inlineStr">
        <is>
          <t>ホワイト レザー</t>
        </is>
      </c>
      <c r="G328" s="11" t="inlineStr">
        <is>
          <t>SOLD</t>
        </is>
      </c>
      <c r="H328" s="22" t="inlineStr">
        <is>
          <t>SOLD</t>
        </is>
      </c>
      <c r="I328" s="18" t="n">
        <v>429000</v>
      </c>
      <c r="J328" s="23" t="inlineStr">
        <is>
          <t>NOTFOUND</t>
        </is>
      </c>
      <c r="K328" s="20" t="n">
        <v>0</v>
      </c>
      <c r="L328" s="4" t="inlineStr">
        <is>
          <t>https://www.gucci.com/jp/ja/pr/women/handbags/shoulder-bags-for-women/gucci-horsebit-1955-mini-top-handle-bag-p-7813871AAQD9022</t>
        </is>
      </c>
      <c r="M328" s="5">
        <f t="array" ref="M328">_xlfn.IFS(J328="NOTFOUND",I328,J328&gt;=I328,J328)</f>
        <v/>
      </c>
    </row>
    <row r="329" ht="18" customHeight="1" s="16">
      <c r="A329" s="5" t="n">
        <v>328</v>
      </c>
      <c r="B329" s="5" t="inlineStr">
        <is>
          <t>GU-2580</t>
        </is>
      </c>
      <c r="D329" s="5" t="inlineStr">
        <is>
          <t>ホースビット 1955 ミニ ラウンドバッグ</t>
        </is>
      </c>
      <c r="E329" s="5" t="inlineStr">
        <is>
          <t>760191 1AAQD 9022</t>
        </is>
      </c>
      <c r="F329" s="5" t="inlineStr">
        <is>
          <t>ホワイト レザー</t>
        </is>
      </c>
      <c r="G329" s="11" t="inlineStr">
        <is>
          <t>SOLD</t>
        </is>
      </c>
      <c r="H329" s="22" t="inlineStr">
        <is>
          <t>SOLD</t>
        </is>
      </c>
      <c r="I329" s="18" t="n">
        <v>429000</v>
      </c>
      <c r="J329" s="23" t="inlineStr">
        <is>
          <t>NOTFOUND</t>
        </is>
      </c>
      <c r="K329" s="20" t="n">
        <v>0</v>
      </c>
      <c r="L329" s="4" t="inlineStr">
        <is>
          <t>https://www.gucci.com/jp/ja/pr/women/handbags/shoulder-bags-for-women/gucci-horsebit-1955-mini-rounded-bag-p-7601911AAQD9022</t>
        </is>
      </c>
      <c r="M329" s="5">
        <f t="array" ref="M329">_xlfn.IFS(J329="NOTFOUND",I329,J329&gt;=I329,J329)</f>
        <v/>
      </c>
    </row>
    <row r="330" ht="18" customHeight="1" s="16">
      <c r="A330" s="5" t="n">
        <v>329</v>
      </c>
      <c r="B330" s="5" t="inlineStr">
        <is>
          <t>GU-2581</t>
        </is>
      </c>
      <c r="D330" s="5" t="inlineStr">
        <is>
          <t>ホースビット 1955 ミニ ラウンドバッグ</t>
        </is>
      </c>
      <c r="E330" s="5" t="inlineStr">
        <is>
          <t>760191 1AAQD 1000</t>
        </is>
      </c>
      <c r="F330" s="5" t="inlineStr">
        <is>
          <t>ブラック レザー</t>
        </is>
      </c>
      <c r="G330" s="11" t="inlineStr">
        <is>
          <t>SOLD</t>
        </is>
      </c>
      <c r="H330" s="22" t="inlineStr">
        <is>
          <t>SOLD</t>
        </is>
      </c>
      <c r="I330" s="18" t="n">
        <v>429000</v>
      </c>
      <c r="J330" s="23" t="inlineStr">
        <is>
          <t>NOTFOUND</t>
        </is>
      </c>
      <c r="K330" s="20" t="n">
        <v>0</v>
      </c>
      <c r="L330" s="4" t="inlineStr">
        <is>
          <t>https://www.gucci.com/jp/ja/pr/women/handbags/shoulder-bags-for-women/gucci-horsebit-1955-mini-rounded-bag-p-7601911AAQD1000</t>
        </is>
      </c>
      <c r="M330" s="5">
        <f t="array" ref="M330">_xlfn.IFS(J330="NOTFOUND",I330,J330&gt;=I330,J330)</f>
        <v/>
      </c>
    </row>
    <row r="331" ht="18" customHeight="1" s="16">
      <c r="A331" s="5" t="n">
        <v>330</v>
      </c>
      <c r="B331" s="5" t="inlineStr">
        <is>
          <t>GU-2582</t>
        </is>
      </c>
      <c r="D331" s="5" t="inlineStr">
        <is>
          <t>ホースビット 1955 ミニ ラウンドバッグ</t>
        </is>
      </c>
      <c r="E331" s="5" t="inlineStr">
        <is>
          <t>760191 92TCG 8563</t>
        </is>
      </c>
      <c r="F331" s="5" t="inlineStr">
        <is>
          <t>GGスプリーム キャンバス</t>
        </is>
      </c>
      <c r="G331" s="11" t="inlineStr">
        <is>
          <t>SOLD</t>
        </is>
      </c>
      <c r="H331" s="22" t="inlineStr">
        <is>
          <t>SOLD</t>
        </is>
      </c>
      <c r="I331" s="18" t="n">
        <v>374000</v>
      </c>
      <c r="J331" s="23" t="inlineStr">
        <is>
          <t>NOTFOUND</t>
        </is>
      </c>
      <c r="K331" s="20" t="n">
        <v>0</v>
      </c>
      <c r="L331" s="4" t="inlineStr">
        <is>
          <t>https://www.gucci.com/jp/ja/pr/women/handbags/shoulder-bags-for-women/gucci-horsebit-1955-mini-rounded-bag-p-76019192TCG8563</t>
        </is>
      </c>
      <c r="M331" s="5">
        <f t="array" ref="M331">_xlfn.IFS(J331="NOTFOUND",I331,J331&gt;=I331,J331)</f>
        <v/>
      </c>
    </row>
    <row r="332" ht="18" customHeight="1" s="16">
      <c r="A332" s="5" t="n">
        <v>331</v>
      </c>
      <c r="B332" s="5" t="inlineStr">
        <is>
          <t>GU-2583</t>
        </is>
      </c>
      <c r="D332" s="5" t="inlineStr">
        <is>
          <t>ホースビット 1955 ミニバッグ</t>
        </is>
      </c>
      <c r="E332" s="5" t="inlineStr">
        <is>
          <t>703848 AAA7G 1000</t>
        </is>
      </c>
      <c r="F332" s="5" t="inlineStr">
        <is>
          <t>ブラック レザー</t>
        </is>
      </c>
      <c r="G332" s="10" t="inlineStr">
        <is>
          <t>OneSize</t>
        </is>
      </c>
      <c r="H332" s="17" t="inlineStr">
        <is>
          <t>OneSize</t>
        </is>
      </c>
      <c r="I332" s="18" t="n">
        <v>451000</v>
      </c>
      <c r="J332" s="19" t="n">
        <v>451000</v>
      </c>
      <c r="K332" s="20" t="n">
        <v>5</v>
      </c>
      <c r="L332" s="4" t="inlineStr">
        <is>
          <t>https://www.gucci.com/jp/ja/pr/women/handbags/shoulder-bags-for-women/chain-bags-for-women/gucci-horsebit-1955-mini-bag-p-703848AAA7G1000</t>
        </is>
      </c>
      <c r="M332" s="5">
        <f t="array" ref="M332">_xlfn.IFS(J332="NOTFOUND",I332,J332&gt;=I332,J332)</f>
        <v/>
      </c>
    </row>
    <row r="333" ht="18" customHeight="1" s="16">
      <c r="A333" s="5" t="n">
        <v>332</v>
      </c>
      <c r="B333" s="5" t="inlineStr">
        <is>
          <t>GU-2584</t>
        </is>
      </c>
      <c r="D333" s="5" t="inlineStr">
        <is>
          <t>ホースビット 1955 ミニバッグ</t>
        </is>
      </c>
      <c r="E333" s="5" t="inlineStr">
        <is>
          <t>703848 9AAAJ 8563</t>
        </is>
      </c>
      <c r="F333" s="5" t="inlineStr">
        <is>
          <t>ライトブラウン</t>
        </is>
      </c>
      <c r="G333" s="11" t="inlineStr">
        <is>
          <t>SOLD</t>
        </is>
      </c>
      <c r="H333" s="22" t="inlineStr">
        <is>
          <t>SOLD</t>
        </is>
      </c>
      <c r="I333" s="18" t="n">
        <v>412500</v>
      </c>
      <c r="J333" s="23" t="inlineStr">
        <is>
          <t>NOTFOUND</t>
        </is>
      </c>
      <c r="K333" s="20" t="n">
        <v>0</v>
      </c>
      <c r="L333" s="4" t="inlineStr">
        <is>
          <t>https://www.gucci.com/jp/ja/pr/women/handbags/shoulder-bags-for-women/chain-bags-for-women/gucci-horsebit-1955-mini-bag-p-7038489AAAJ8563</t>
        </is>
      </c>
      <c r="M333" s="5">
        <f t="array" ref="M333">_xlfn.IFS(J333="NOTFOUND",I333,J333&gt;=I333,J333)</f>
        <v/>
      </c>
    </row>
    <row r="334" ht="18" customHeight="1" s="16">
      <c r="A334" s="5" t="n">
        <v>333</v>
      </c>
      <c r="B334" s="5" t="inlineStr">
        <is>
          <t>GU-2585</t>
        </is>
      </c>
      <c r="D334" s="5" t="inlineStr">
        <is>
          <t>ホースビット 1955 ミディアムバッグ</t>
        </is>
      </c>
      <c r="E334" s="5" t="inlineStr">
        <is>
          <t>702049 9AAAJ 8563</t>
        </is>
      </c>
      <c r="F334" s="5" t="inlineStr">
        <is>
          <t xml:space="preserve">  -</t>
        </is>
      </c>
      <c r="G334" s="10" t="inlineStr">
        <is>
          <t>OneSize</t>
        </is>
      </c>
      <c r="H334" s="17" t="inlineStr">
        <is>
          <t>OneSize</t>
        </is>
      </c>
      <c r="I334" s="18" t="n">
        <v>434500</v>
      </c>
      <c r="J334" s="19" t="n">
        <v>434500</v>
      </c>
      <c r="K334" s="20" t="n">
        <v>5</v>
      </c>
      <c r="L334" s="4" t="inlineStr">
        <is>
          <t>https://www.gucci.com/jp/ja/pr/women/handbags/shoulder-bags-for-women/chain-bags-for-women/gucci-horsebit-1955-medium-bag-p-7020499AAAJ8563</t>
        </is>
      </c>
      <c r="M334" s="5">
        <f t="array" ref="M334">_xlfn.IFS(J334="NOTFOUND",I334,J334&gt;=I334,J334)</f>
        <v/>
      </c>
    </row>
    <row r="335" ht="18" customHeight="1" s="16">
      <c r="A335" s="5" t="n">
        <v>334</v>
      </c>
      <c r="B335" s="5" t="inlineStr">
        <is>
          <t>GU-2586</t>
        </is>
      </c>
      <c r="D335" s="5" t="inlineStr">
        <is>
          <t>ホースビット 1955 ミニ トップハンドルバッグ</t>
        </is>
      </c>
      <c r="E335" s="5" t="inlineStr">
        <is>
          <t>640716 92TCG 8563</t>
        </is>
      </c>
      <c r="F335" s="5" t="inlineStr">
        <is>
          <t xml:space="preserve">  -</t>
        </is>
      </c>
      <c r="G335" s="11" t="inlineStr">
        <is>
          <t>SOLD</t>
        </is>
      </c>
      <c r="H335" s="22" t="inlineStr">
        <is>
          <t>SOLD</t>
        </is>
      </c>
      <c r="I335" s="18" t="n">
        <v>308000</v>
      </c>
      <c r="J335" s="23" t="inlineStr">
        <is>
          <t>NOTFOUND</t>
        </is>
      </c>
      <c r="K335" s="20" t="n">
        <v>0</v>
      </c>
      <c r="L335" s="4" t="inlineStr">
        <is>
          <t>https://www.gucci.com/jp/ja/pr/women/handbags/mini-bags-for-women/gucci-horsebit-1955-mini-top-handle-bag-p-64071692TCG8563</t>
        </is>
      </c>
      <c r="M335" s="5">
        <f t="array" ref="M335">_xlfn.IFS(J335="NOTFOUND",I335,J335&gt;=I335,J335)</f>
        <v/>
      </c>
    </row>
    <row r="336" ht="18" customHeight="1" s="16">
      <c r="A336" s="5" t="n">
        <v>335</v>
      </c>
      <c r="B336" s="5" t="inlineStr">
        <is>
          <t>GU-2587</t>
        </is>
      </c>
      <c r="D336" s="5" t="inlineStr">
        <is>
          <t>ホースビット 1955 ミニバッグ</t>
        </is>
      </c>
      <c r="E336" s="5" t="inlineStr">
        <is>
          <t>752002 92TCG 8563</t>
        </is>
      </c>
      <c r="F336" s="5" t="inlineStr">
        <is>
          <t xml:space="preserve">  -</t>
        </is>
      </c>
      <c r="G336" s="10" t="inlineStr">
        <is>
          <t>OneSize</t>
        </is>
      </c>
      <c r="H336" s="17" t="inlineStr">
        <is>
          <t>OneSize</t>
        </is>
      </c>
      <c r="I336" s="18" t="n">
        <v>242000</v>
      </c>
      <c r="J336" s="19" t="n">
        <v>242000</v>
      </c>
      <c r="K336" s="20" t="n">
        <v>5</v>
      </c>
      <c r="L336" s="4" t="inlineStr">
        <is>
          <t>https://www.gucci.com/jp/ja/pr/women/handbags/mini-bags-for-women/gucci-horsebit-1955-mini-bag-p-75200292TCG8563</t>
        </is>
      </c>
      <c r="M336" s="5">
        <f t="array" ref="M336">_xlfn.IFS(J336="NOTFOUND",I336,J336&gt;=I336,J336)</f>
        <v/>
      </c>
    </row>
    <row r="337" ht="18" customHeight="1" s="16">
      <c r="A337" s="5" t="n">
        <v>336</v>
      </c>
      <c r="B337" s="5" t="inlineStr">
        <is>
          <t>GU-2588</t>
        </is>
      </c>
      <c r="D337" s="5" t="inlineStr">
        <is>
          <t>ホースビット 1955 スモール ショルダーバッグ</t>
        </is>
      </c>
      <c r="E337" s="5" t="inlineStr">
        <is>
          <t>735178 1DB0G 9022</t>
        </is>
      </c>
      <c r="F337" s="5" t="inlineStr">
        <is>
          <t>ホワイト レザー</t>
        </is>
      </c>
      <c r="G337" s="10" t="inlineStr">
        <is>
          <t>OneSize</t>
        </is>
      </c>
      <c r="H337" s="17" t="inlineStr">
        <is>
          <t>OneSize</t>
        </is>
      </c>
      <c r="I337" s="18" t="n">
        <v>429000</v>
      </c>
      <c r="J337" s="19" t="n">
        <v>462000</v>
      </c>
      <c r="K337" s="20" t="n">
        <v>5</v>
      </c>
      <c r="L337" s="4" t="inlineStr">
        <is>
          <t>https://www.gucci.com/jp/ja/pr/women/handbags/shoulder-bags-for-women/chain-bags-for-women/gucci-horsebit-1955-small-shoulder-bag-p-7351781DB0G9022</t>
        </is>
      </c>
      <c r="M337" s="5">
        <f t="array" ref="M337">_xlfn.IFS(J337="NOTFOUND",I337,J337&gt;=I337,J337)</f>
        <v/>
      </c>
    </row>
    <row r="338" ht="18" customHeight="1" s="16">
      <c r="A338" s="5" t="n">
        <v>337</v>
      </c>
      <c r="B338" s="5" t="inlineStr">
        <is>
          <t>GU-2589</t>
        </is>
      </c>
      <c r="D338" s="5" t="inlineStr">
        <is>
          <t>ホースビット 1955 スモール ショルダーバッグ</t>
        </is>
      </c>
      <c r="E338" s="5" t="inlineStr">
        <is>
          <t>735178 1DB0G 1000</t>
        </is>
      </c>
      <c r="F338" s="5" t="inlineStr">
        <is>
          <t>ブラック レザー</t>
        </is>
      </c>
      <c r="G338" s="10" t="inlineStr">
        <is>
          <t>OneSize</t>
        </is>
      </c>
      <c r="H338" s="17" t="inlineStr">
        <is>
          <t>OneSize</t>
        </is>
      </c>
      <c r="I338" s="18" t="n">
        <v>429000</v>
      </c>
      <c r="J338" s="19" t="n">
        <v>462000</v>
      </c>
      <c r="K338" s="20" t="n">
        <v>5</v>
      </c>
      <c r="L338" s="4" t="inlineStr">
        <is>
          <t>https://www.gucci.com/jp/ja/pr/women/handbags/shoulder-bags-for-women/chain-bags-for-women/gucci-horsebit-1955-small-shoulder-bag-p-7351781DB0G1000</t>
        </is>
      </c>
      <c r="M338" s="5">
        <f t="array" ref="M338">_xlfn.IFS(J338="NOTFOUND",I338,J338&gt;=I338,J338)</f>
        <v/>
      </c>
    </row>
    <row r="339" ht="18" customHeight="1" s="16">
      <c r="A339" s="5" t="n">
        <v>338</v>
      </c>
      <c r="B339" s="5" t="inlineStr">
        <is>
          <t>GU-2590</t>
        </is>
      </c>
      <c r="D339" s="5" t="inlineStr">
        <is>
          <t>ホースビット 1955 スモール ショルダーバッグ</t>
        </is>
      </c>
      <c r="E339" s="5" t="inlineStr">
        <is>
          <t>735178 AACSV 9041</t>
        </is>
      </c>
      <c r="F339" s="5" t="inlineStr">
        <is>
          <t>ホワイト レザー</t>
        </is>
      </c>
      <c r="G339" s="10" t="inlineStr">
        <is>
          <t>OneSize</t>
        </is>
      </c>
      <c r="H339" s="17" t="inlineStr">
        <is>
          <t>OneSize</t>
        </is>
      </c>
      <c r="I339" s="18" t="n">
        <v>489500</v>
      </c>
      <c r="J339" s="19" t="n">
        <v>517000</v>
      </c>
      <c r="K339" s="20" t="n">
        <v>5</v>
      </c>
      <c r="L339" s="4" t="inlineStr">
        <is>
          <t>https://www.gucci.com/jp/ja/pr/women/handbags/shoulder-bags-for-women/chain-bags-for-women/gucci-horsebit-1955-small-shoulder-bag-p-735178AACSV9041</t>
        </is>
      </c>
      <c r="M339" s="5">
        <f t="array" ref="M339">_xlfn.IFS(J339="NOTFOUND",I339,J339&gt;=I339,J339)</f>
        <v/>
      </c>
    </row>
    <row r="340" ht="18" customHeight="1" s="16">
      <c r="A340" s="5" t="n">
        <v>339</v>
      </c>
      <c r="B340" s="5" t="inlineStr">
        <is>
          <t>GU-2591</t>
        </is>
      </c>
      <c r="D340" s="5" t="inlineStr">
        <is>
          <t>ホースビット 1955 スモール ショルダーバッグ</t>
        </is>
      </c>
      <c r="E340" s="5" t="inlineStr">
        <is>
          <t>735178 AACSV 1155</t>
        </is>
      </c>
      <c r="F340" s="5" t="inlineStr">
        <is>
          <t>ブラック レザー</t>
        </is>
      </c>
      <c r="G340" s="10" t="inlineStr">
        <is>
          <t>OneSize</t>
        </is>
      </c>
      <c r="H340" s="17" t="inlineStr">
        <is>
          <t>OneSize</t>
        </is>
      </c>
      <c r="I340" s="18" t="n">
        <v>489500</v>
      </c>
      <c r="J340" s="19" t="n">
        <v>517000</v>
      </c>
      <c r="K340" s="20" t="n">
        <v>5</v>
      </c>
      <c r="L340" s="4" t="inlineStr">
        <is>
          <t>https://www.gucci.com/jp/ja/pr/women/handbags/shoulder-bags-for-women/chain-bags-for-women/gucci-horsebit-1955-small-shoulder-bag-p-735178AACSV1155</t>
        </is>
      </c>
      <c r="M340" s="5">
        <f t="array" ref="M340">_xlfn.IFS(J340="NOTFOUND",I340,J340&gt;=I340,J340)</f>
        <v/>
      </c>
    </row>
    <row r="341" ht="18" customHeight="1" s="16">
      <c r="A341" s="5" t="n">
        <v>340</v>
      </c>
      <c r="B341" s="5" t="inlineStr">
        <is>
          <t>GU-2592</t>
        </is>
      </c>
      <c r="D341" s="5" t="inlineStr">
        <is>
          <t>ホースビット 1955 ショルダーバッグ</t>
        </is>
      </c>
      <c r="E341" s="5" t="inlineStr">
        <is>
          <t>735178 92TCG 8563</t>
        </is>
      </c>
      <c r="F341" s="5" t="inlineStr">
        <is>
          <t xml:space="preserve">ベージュ＆エボニー </t>
        </is>
      </c>
      <c r="G341" s="10" t="inlineStr">
        <is>
          <t>OneSize</t>
        </is>
      </c>
      <c r="H341" s="17" t="inlineStr">
        <is>
          <t>OneSize</t>
        </is>
      </c>
      <c r="I341" s="18" t="n">
        <v>385000</v>
      </c>
      <c r="J341" s="19" t="n">
        <v>418000</v>
      </c>
      <c r="K341" s="20" t="n">
        <v>5</v>
      </c>
      <c r="L341" s="4" t="inlineStr">
        <is>
          <t>https://www.gucci.com/jp/ja/pr/women/handbags/shoulder-bags-for-women/chain-bags-for-women/gucci-horsebit-1955-shoulder-bag-p-73517892TCG8563</t>
        </is>
      </c>
      <c r="M341" s="5">
        <f t="array" ref="M341">_xlfn.IFS(J341="NOTFOUND",I341,J341&gt;=I341,J341)</f>
        <v/>
      </c>
    </row>
    <row r="342" ht="18" customHeight="1" s="16">
      <c r="A342" s="5" t="n">
        <v>341</v>
      </c>
      <c r="B342" s="5" t="inlineStr">
        <is>
          <t>GU-2593</t>
        </is>
      </c>
      <c r="D342" s="5" t="inlineStr">
        <is>
          <t>ホースビット 1955 ショルダーバッグ</t>
        </is>
      </c>
      <c r="E342" s="5" t="inlineStr">
        <is>
          <t>735178 FABLN 9897</t>
        </is>
      </c>
      <c r="F342" s="5" t="inlineStr">
        <is>
          <t>ベージュ＆ホワイト</t>
        </is>
      </c>
      <c r="G342" s="11" t="inlineStr">
        <is>
          <t>SOLD</t>
        </is>
      </c>
      <c r="H342" s="22" t="inlineStr">
        <is>
          <t>SOLD</t>
        </is>
      </c>
      <c r="I342" s="18" t="n">
        <v>385000</v>
      </c>
      <c r="J342" s="23" t="inlineStr">
        <is>
          <t>NOTFOUND</t>
        </is>
      </c>
      <c r="K342" s="20" t="n">
        <v>0</v>
      </c>
      <c r="L342" s="4" t="inlineStr">
        <is>
          <t>https://www.gucci.com/jp/ja/pr/women/handbags/shoulder-bags-for-women/chain-bags-for-women/gucci-horsebit-1955-shoulder-bag-p-735178FABLN9897</t>
        </is>
      </c>
      <c r="M342" s="5">
        <f t="array" ref="M342">_xlfn.IFS(J342="NOTFOUND",I342,J342&gt;=I342,J342)</f>
        <v/>
      </c>
    </row>
    <row r="343" ht="18" customHeight="1" s="16">
      <c r="A343" s="5" t="n">
        <v>342</v>
      </c>
      <c r="B343" s="5" t="inlineStr">
        <is>
          <t>GU-2594</t>
        </is>
      </c>
      <c r="D343" s="5" t="inlineStr">
        <is>
          <t>ホースビット 1955 ミニバッグ</t>
        </is>
      </c>
      <c r="E343" s="5" t="inlineStr">
        <is>
          <t>675801 AACSV 9041</t>
        </is>
      </c>
      <c r="F343" s="5" t="inlineStr">
        <is>
          <t>ホワイト レザー</t>
        </is>
      </c>
      <c r="G343" s="11" t="inlineStr">
        <is>
          <t>SOLD</t>
        </is>
      </c>
      <c r="H343" s="22" t="inlineStr">
        <is>
          <t>SOLD</t>
        </is>
      </c>
      <c r="I343" s="18" t="n">
        <v>539000</v>
      </c>
      <c r="J343" s="23" t="inlineStr">
        <is>
          <t>NOTFOUND</t>
        </is>
      </c>
      <c r="K343" s="20" t="n">
        <v>0</v>
      </c>
      <c r="L343" s="4" t="inlineStr">
        <is>
          <t>https://www.gucci.com/jp/ja/pr/women/handbags/shoulder-bags-for-women/chain-bags-for-women/gucci-horsebit-1955-mini-bag-p-675801AACSV9041</t>
        </is>
      </c>
      <c r="M343" s="5">
        <f t="array" ref="M343">_xlfn.IFS(J343="NOTFOUND",I343,J343&gt;=I343,J343)</f>
        <v/>
      </c>
    </row>
    <row r="344" ht="18" customHeight="1" s="16">
      <c r="A344" s="5" t="n">
        <v>343</v>
      </c>
      <c r="B344" s="5" t="inlineStr">
        <is>
          <t>GU-2595</t>
        </is>
      </c>
      <c r="D344" s="5" t="inlineStr">
        <is>
          <t>ホースビット 1955 ミニバッグ</t>
        </is>
      </c>
      <c r="E344" s="5" t="inlineStr">
        <is>
          <t>675801 AACSV 5842</t>
        </is>
      </c>
      <c r="F344" s="5" t="inlineStr">
        <is>
          <t>ピンク レザー</t>
        </is>
      </c>
      <c r="G344" s="11" t="inlineStr">
        <is>
          <t>SOLD</t>
        </is>
      </c>
      <c r="H344" s="22" t="inlineStr">
        <is>
          <t>SOLD</t>
        </is>
      </c>
      <c r="I344" s="18" t="n">
        <v>539000</v>
      </c>
      <c r="J344" s="23" t="inlineStr">
        <is>
          <t>NOTFOUND</t>
        </is>
      </c>
      <c r="K344" s="20" t="n">
        <v>0</v>
      </c>
      <c r="L344" s="4" t="inlineStr">
        <is>
          <t>https://www.gucci.com/jp/ja/pr/women/handbags/shoulder-bags-for-women/chain-bags-for-women/gucci-horsebit-1955-mini-bag-p-675801AACSV5842</t>
        </is>
      </c>
      <c r="M344" s="5">
        <f t="array" ref="M344">_xlfn.IFS(J344="NOTFOUND",I344,J344&gt;=I344,J344)</f>
        <v/>
      </c>
    </row>
    <row r="345" ht="18" customHeight="1" s="16">
      <c r="A345" s="5" t="n">
        <v>344</v>
      </c>
      <c r="B345" s="5" t="inlineStr">
        <is>
          <t>GU-2596</t>
        </is>
      </c>
      <c r="D345" s="5" t="inlineStr">
        <is>
          <t>ホースビット 1955 ミニバッグ</t>
        </is>
      </c>
      <c r="E345" s="5" t="inlineStr">
        <is>
          <t>675801 AACSV 4941</t>
        </is>
      </c>
      <c r="F345" s="5" t="inlineStr">
        <is>
          <t>ライトブルー レザー</t>
        </is>
      </c>
      <c r="G345" s="11" t="inlineStr">
        <is>
          <t>SOLD</t>
        </is>
      </c>
      <c r="H345" s="22" t="inlineStr">
        <is>
          <t>SOLD</t>
        </is>
      </c>
      <c r="I345" s="18" t="n">
        <v>539000</v>
      </c>
      <c r="J345" s="23" t="inlineStr">
        <is>
          <t>NOTFOUND</t>
        </is>
      </c>
      <c r="K345" s="20" t="n">
        <v>0</v>
      </c>
      <c r="L345" s="4" t="inlineStr">
        <is>
          <t>https://www.gucci.com/jp/ja/pr/women/handbags/shoulder-bags-for-women/chain-bags-for-women/gucci-horsebit-1955-mini-bag-p-675801AACSV4941</t>
        </is>
      </c>
      <c r="M345" s="5">
        <f t="array" ref="M345">_xlfn.IFS(J345="NOTFOUND",I345,J345&gt;=I345,J345)</f>
        <v/>
      </c>
    </row>
    <row r="346" ht="18" customHeight="1" s="16">
      <c r="A346" s="5" t="n">
        <v>345</v>
      </c>
      <c r="B346" s="5" t="inlineStr">
        <is>
          <t>GU-2597</t>
        </is>
      </c>
      <c r="D346" s="5" t="inlineStr">
        <is>
          <t>ホースビット 1955 ミニバッグ</t>
        </is>
      </c>
      <c r="E346" s="5" t="inlineStr">
        <is>
          <t>675801 AACSV 1155</t>
        </is>
      </c>
      <c r="F346" s="5" t="inlineStr">
        <is>
          <t>ブラック レザー</t>
        </is>
      </c>
      <c r="G346" s="11" t="inlineStr">
        <is>
          <t>SOLD</t>
        </is>
      </c>
      <c r="H346" s="22" t="inlineStr">
        <is>
          <t>SOLD</t>
        </is>
      </c>
      <c r="I346" s="18" t="n">
        <v>539000</v>
      </c>
      <c r="J346" s="23" t="inlineStr">
        <is>
          <t>NOTFOUND</t>
        </is>
      </c>
      <c r="K346" s="20" t="n">
        <v>0</v>
      </c>
      <c r="L346" s="4" t="inlineStr">
        <is>
          <t>https://www.gucci.com/jp/ja/pr/women/handbags/shoulder-bags-for-women/chain-bags-for-women/gucci-horsebit-1955-mini-bag-p-675801AACSV1155</t>
        </is>
      </c>
      <c r="M346" s="5">
        <f t="array" ref="M346">_xlfn.IFS(J346="NOTFOUND",I346,J346&gt;=I346,J346)</f>
        <v/>
      </c>
    </row>
    <row r="347" ht="18" customHeight="1" s="16">
      <c r="A347" s="5" t="n">
        <v>346</v>
      </c>
      <c r="B347" s="5" t="inlineStr">
        <is>
          <t>GU-2598</t>
        </is>
      </c>
      <c r="D347" s="5" t="inlineStr">
        <is>
          <t>ホースビットチェーン スモール ショルダーバッグ</t>
        </is>
      </c>
      <c r="E347" s="5" t="inlineStr">
        <is>
          <t>764339 AACU1 9014</t>
        </is>
      </c>
      <c r="F347" s="5" t="inlineStr">
        <is>
          <t>ホワイト レザー</t>
        </is>
      </c>
      <c r="G347" s="11" t="inlineStr">
        <is>
          <t>SOLD</t>
        </is>
      </c>
      <c r="H347" s="22" t="inlineStr">
        <is>
          <t>SOLD</t>
        </is>
      </c>
      <c r="I347" s="18" t="n">
        <v>539000</v>
      </c>
      <c r="J347" s="23" t="inlineStr">
        <is>
          <t>NOTFOUND</t>
        </is>
      </c>
      <c r="K347" s="20" t="n">
        <v>0</v>
      </c>
      <c r="L347" s="4" t="inlineStr">
        <is>
          <t>https://www.gucci.com/jp/ja/pr/women/handbags/shoulder-bags-for-women/chain-bags-for-women/gucci-horsebit-chain-small-shoulder-bag-p-764339AACU19014</t>
        </is>
      </c>
      <c r="M347" s="5">
        <f t="array" ref="M347">_xlfn.IFS(J347="NOTFOUND",I347,J347&gt;=I347,J347)</f>
        <v/>
      </c>
    </row>
    <row r="348" ht="18" customHeight="1" s="16">
      <c r="A348" s="5" t="n">
        <v>347</v>
      </c>
      <c r="B348" s="5" t="inlineStr">
        <is>
          <t>GU-2599</t>
        </is>
      </c>
      <c r="D348" s="5" t="inlineStr">
        <is>
          <t>ホースビットチェーン スモール ショルダーバッグ</t>
        </is>
      </c>
      <c r="E348" s="5" t="inlineStr">
        <is>
          <t>764339 AACU1 1000</t>
        </is>
      </c>
      <c r="F348" s="5" t="inlineStr">
        <is>
          <t>ブラック レザー</t>
        </is>
      </c>
      <c r="G348" s="11" t="inlineStr">
        <is>
          <t>SOLD</t>
        </is>
      </c>
      <c r="H348" s="22" t="inlineStr">
        <is>
          <t>SOLD</t>
        </is>
      </c>
      <c r="I348" s="18" t="n">
        <v>539000</v>
      </c>
      <c r="J348" s="23" t="inlineStr">
        <is>
          <t>NOTFOUND</t>
        </is>
      </c>
      <c r="K348" s="20" t="n">
        <v>0</v>
      </c>
      <c r="L348" s="4" t="inlineStr">
        <is>
          <t>https://www.gucci.com/jp/ja/pr/women/handbags/shoulder-bags-for-women/chain-bags-for-women/gucci-horsebit-chain-small-shoulder-bag-p-764339AACU11000</t>
        </is>
      </c>
      <c r="M348" s="5">
        <f t="array" ref="M348">_xlfn.IFS(J348="NOTFOUND",I348,J348&gt;=I348,J348)</f>
        <v/>
      </c>
    </row>
    <row r="349" ht="18" customHeight="1" s="16">
      <c r="A349" s="5" t="n">
        <v>348</v>
      </c>
      <c r="B349" s="5" t="inlineStr">
        <is>
          <t>GU-2600</t>
        </is>
      </c>
      <c r="D349" s="5" t="inlineStr">
        <is>
          <t>ホースビットチェーン スモール ショルダーバッグ</t>
        </is>
      </c>
      <c r="E349" s="5" t="inlineStr">
        <is>
          <t>764339 AACY5 8106</t>
        </is>
      </c>
      <c r="F349" s="5" t="inlineStr">
        <is>
          <t>シルバー レザー</t>
        </is>
      </c>
      <c r="G349" s="11" t="inlineStr">
        <is>
          <t>SOLD</t>
        </is>
      </c>
      <c r="H349" s="22" t="inlineStr">
        <is>
          <t>SOLD</t>
        </is>
      </c>
      <c r="I349" s="18" t="n">
        <v>539000</v>
      </c>
      <c r="J349" s="23" t="inlineStr">
        <is>
          <t>NOTFOUND</t>
        </is>
      </c>
      <c r="K349" s="20" t="n">
        <v>0</v>
      </c>
      <c r="L349" s="4" t="inlineStr">
        <is>
          <t>https://www.gucci.com/jp/ja/pr/women/handbags/shoulder-bags-for-women/chain-bags-for-women/gucci-horsebit-chain-small-shoulder-bag-p-764339AACY58106</t>
        </is>
      </c>
      <c r="M349" s="5">
        <f t="array" ref="M349">_xlfn.IFS(J349="NOTFOUND",I349,J349&gt;=I349,J349)</f>
        <v/>
      </c>
    </row>
    <row r="350" ht="18" customHeight="1" s="16">
      <c r="A350" s="5" t="n">
        <v>349</v>
      </c>
      <c r="B350" s="5" t="inlineStr">
        <is>
          <t>GU-2601</t>
        </is>
      </c>
      <c r="D350" s="5" t="inlineStr">
        <is>
          <t>ホースビットチェーン スモール ショルダーバッグ</t>
        </is>
      </c>
      <c r="E350" s="5" t="inlineStr">
        <is>
          <t>764339 FACM2 8747</t>
        </is>
      </c>
      <c r="F350" s="5" t="inlineStr">
        <is>
          <t xml:space="preserve">ベージュ＆エボニー </t>
        </is>
      </c>
      <c r="G350" s="11" t="inlineStr">
        <is>
          <t>SOLD</t>
        </is>
      </c>
      <c r="H350" s="22" t="inlineStr">
        <is>
          <t>SOLD</t>
        </is>
      </c>
      <c r="I350" s="18" t="n">
        <v>418000</v>
      </c>
      <c r="J350" s="23" t="inlineStr">
        <is>
          <t>NOTFOUND</t>
        </is>
      </c>
      <c r="K350" s="20" t="n">
        <v>0</v>
      </c>
      <c r="L350" s="4" t="inlineStr">
        <is>
          <t>https://www.gucci.com/jp/ja/pr/women/handbags/shoulder-bags-for-women/chain-bags-for-women/gucci-horsebit-chain-small-shoulder-bag-p-764339FACM28747</t>
        </is>
      </c>
      <c r="M350" s="5">
        <f t="array" ref="M350">_xlfn.IFS(J350="NOTFOUND",I350,J350&gt;=I350,J350)</f>
        <v/>
      </c>
    </row>
    <row r="351" ht="18" customHeight="1" s="16">
      <c r="A351" s="5" t="n">
        <v>350</v>
      </c>
      <c r="B351" s="5" t="inlineStr">
        <is>
          <t>GU-2602</t>
        </is>
      </c>
      <c r="D351" s="5" t="inlineStr">
        <is>
          <t>ホースビットチェーン ミディアム ショルダーバッグ</t>
        </is>
      </c>
      <c r="E351" s="5" t="inlineStr">
        <is>
          <t>764255 AACU1 6404</t>
        </is>
      </c>
      <c r="F351" s="5" t="inlineStr">
        <is>
          <t>レッド レザー</t>
        </is>
      </c>
      <c r="G351" s="11" t="inlineStr">
        <is>
          <t>SOLD</t>
        </is>
      </c>
      <c r="H351" s="22" t="inlineStr">
        <is>
          <t>SOLD</t>
        </is>
      </c>
      <c r="I351" s="18" t="n">
        <v>577500</v>
      </c>
      <c r="J351" s="23" t="inlineStr">
        <is>
          <t>NOTFOUND</t>
        </is>
      </c>
      <c r="K351" s="20" t="n">
        <v>0</v>
      </c>
      <c r="L351" s="4" t="inlineStr">
        <is>
          <t>https://www.gucci.com/jp/ja/pr/women/handbags/shoulder-bags-for-women/chain-bags-for-women/gucci-horsebit-chain-medium-shoulder-bag-p-764255AACU16404</t>
        </is>
      </c>
      <c r="M351" s="5">
        <f t="array" ref="M351">_xlfn.IFS(J351="NOTFOUND",I351,J351&gt;=I351,J351)</f>
        <v/>
      </c>
    </row>
    <row r="352" ht="18" customHeight="1" s="16">
      <c r="A352" s="5" t="n">
        <v>351</v>
      </c>
      <c r="B352" s="5" t="inlineStr">
        <is>
          <t>GU-2603</t>
        </is>
      </c>
      <c r="D352" s="5" t="inlineStr">
        <is>
          <t>ホースビットチェーン ミディアム ショルダーバッグ</t>
        </is>
      </c>
      <c r="E352" s="5" t="inlineStr">
        <is>
          <t>764255 AACU1 1000</t>
        </is>
      </c>
      <c r="F352" s="5" t="inlineStr">
        <is>
          <t>ブラック レザー</t>
        </is>
      </c>
      <c r="G352" s="11" t="inlineStr">
        <is>
          <t>SOLD</t>
        </is>
      </c>
      <c r="H352" s="22" t="inlineStr">
        <is>
          <t>SOLD</t>
        </is>
      </c>
      <c r="I352" s="18" t="n">
        <v>577500</v>
      </c>
      <c r="J352" s="23" t="inlineStr">
        <is>
          <t>NOTFOUND</t>
        </is>
      </c>
      <c r="K352" s="20" t="n">
        <v>0</v>
      </c>
      <c r="L352" s="4" t="inlineStr">
        <is>
          <t>https://www.gucci.com/jp/ja/pr/women/handbags/shoulder-bags-for-women/chain-bags-for-women/gucci-horsebit-chain-medium-shoulder-bag-p-764255AACU11000</t>
        </is>
      </c>
      <c r="M352" s="5">
        <f t="array" ref="M352">_xlfn.IFS(J352="NOTFOUND",I352,J352&gt;=I352,J352)</f>
        <v/>
      </c>
    </row>
    <row r="353" ht="18" customHeight="1" s="16">
      <c r="A353" s="5" t="n">
        <v>352</v>
      </c>
      <c r="B353" s="5" t="inlineStr">
        <is>
          <t>GU-2604</t>
        </is>
      </c>
      <c r="D353" s="5" t="inlineStr">
        <is>
          <t>ホースビットチェーン ミディアム ショルダーバッグ</t>
        </is>
      </c>
      <c r="E353" s="5" t="inlineStr">
        <is>
          <t>764255 FACM2 8747</t>
        </is>
      </c>
      <c r="F353" s="5" t="inlineStr">
        <is>
          <t xml:space="preserve">ベージュ＆エボニー </t>
        </is>
      </c>
      <c r="G353" s="11" t="inlineStr">
        <is>
          <t>SOLD</t>
        </is>
      </c>
      <c r="H353" s="22" t="inlineStr">
        <is>
          <t>SOLD</t>
        </is>
      </c>
      <c r="I353" s="18" t="n">
        <v>456500</v>
      </c>
      <c r="J353" s="23" t="inlineStr">
        <is>
          <t>NOTFOUND</t>
        </is>
      </c>
      <c r="K353" s="20" t="n">
        <v>0</v>
      </c>
      <c r="L353" s="4" t="inlineStr">
        <is>
          <t>https://www.gucci.com/jp/ja/pr/women/handbags/shoulder-bags-for-women/chain-bags-for-women/gucci-horsebit-chain-medium-shoulder-bag-p-764255FACM28747</t>
        </is>
      </c>
      <c r="M353" s="5">
        <f t="array" ref="M353">_xlfn.IFS(J353="NOTFOUND",I353,J353&gt;=I353,J353)</f>
        <v/>
      </c>
    </row>
    <row r="354" ht="18" customHeight="1" s="16">
      <c r="A354" s="5" t="n">
        <v>353</v>
      </c>
      <c r="B354" s="5" t="inlineStr">
        <is>
          <t>GU-2605</t>
        </is>
      </c>
      <c r="D354" s="5" t="inlineStr">
        <is>
          <t>オフィディア ミニ バックパック</t>
        </is>
      </c>
      <c r="E354" s="5" t="inlineStr">
        <is>
          <t>795221 96IWN 4076</t>
        </is>
      </c>
      <c r="F354" s="5" t="inlineStr">
        <is>
          <t>ベージュ＆ブルー</t>
        </is>
      </c>
      <c r="G354" s="11" t="inlineStr">
        <is>
          <t>SOLD</t>
        </is>
      </c>
      <c r="H354" s="22" t="inlineStr">
        <is>
          <t>SOLD</t>
        </is>
      </c>
      <c r="I354" s="18" t="n">
        <v>349800</v>
      </c>
      <c r="J354" s="23" t="inlineStr">
        <is>
          <t>NOTFOUND</t>
        </is>
      </c>
      <c r="K354" s="20" t="n">
        <v>0</v>
      </c>
      <c r="L354" s="4" t="inlineStr">
        <is>
          <t>https://www.gucci.com/jp/ja/pr/women/handbags/belt-bags-backpacks-for-women/ophidia-mini-backpack-p-79522196IWN4076</t>
        </is>
      </c>
      <c r="M354" s="5">
        <f t="array" ref="M354">_xlfn.IFS(J354="NOTFOUND",I354,J354&gt;=I354,J354)</f>
        <v/>
      </c>
    </row>
    <row r="355" ht="18" customHeight="1" s="16">
      <c r="A355" s="5" t="n">
        <v>354</v>
      </c>
      <c r="B355" s="5" t="inlineStr">
        <is>
          <t>GU-2606</t>
        </is>
      </c>
      <c r="D355" s="5" t="inlineStr">
        <is>
          <t>オフィディア スモール ショルダーバッグ</t>
        </is>
      </c>
      <c r="E355" s="5" t="inlineStr">
        <is>
          <t>781402 96IWN 4076</t>
        </is>
      </c>
      <c r="F355" s="5" t="inlineStr">
        <is>
          <t>ベージュ＆ブルー</t>
        </is>
      </c>
      <c r="G355" s="11" t="inlineStr">
        <is>
          <t>SOLD</t>
        </is>
      </c>
      <c r="H355" s="22" t="inlineStr">
        <is>
          <t>SOLD</t>
        </is>
      </c>
      <c r="I355" s="18" t="n">
        <v>297000</v>
      </c>
      <c r="J355" s="23" t="inlineStr">
        <is>
          <t>NOTFOUND</t>
        </is>
      </c>
      <c r="K355" s="20" t="n">
        <v>0</v>
      </c>
      <c r="L355" s="4" t="inlineStr">
        <is>
          <t>https://www.gucci.com/jp/ja/pr/women/handbags/shoulder-bags-for-women/half-moon-bags-for-women/ophidia-gg-small-shoulder-bag-p-78140296IWN4076</t>
        </is>
      </c>
      <c r="M355" s="5">
        <f t="array" ref="M355">_xlfn.IFS(J355="NOTFOUND",I355,J355&gt;=I355,J355)</f>
        <v/>
      </c>
    </row>
    <row r="356" ht="18" customHeight="1" s="16">
      <c r="A356" s="5" t="n">
        <v>355</v>
      </c>
      <c r="B356" s="5" t="inlineStr">
        <is>
          <t>GU-2607</t>
        </is>
      </c>
      <c r="D356" s="5" t="inlineStr">
        <is>
          <t>オフィディア GG ミニ ショルダーバッグ</t>
        </is>
      </c>
      <c r="E356" s="5" t="inlineStr">
        <is>
          <t>772239 FACUK 4047</t>
        </is>
      </c>
      <c r="F356" s="5" t="inlineStr">
        <is>
          <t>ベージュ＆ブルー</t>
        </is>
      </c>
      <c r="G356" s="11" t="inlineStr">
        <is>
          <t>SOLD</t>
        </is>
      </c>
      <c r="H356" s="22" t="inlineStr">
        <is>
          <t>SOLD</t>
        </is>
      </c>
      <c r="I356" s="18" t="n">
        <v>253000</v>
      </c>
      <c r="J356" s="23" t="inlineStr">
        <is>
          <t>NOTFOUND</t>
        </is>
      </c>
      <c r="K356" s="20" t="n">
        <v>0</v>
      </c>
      <c r="L356" s="4" t="inlineStr">
        <is>
          <t>https://www.gucci.com/jp/ja/pr/women/handbags/shoulder-bags-for-women/ophidia-gg-mini-shoulder-bag-p-772239FACUK4047</t>
        </is>
      </c>
      <c r="M356" s="5">
        <f t="array" ref="M356">_xlfn.IFS(J356="NOTFOUND",I356,J356&gt;=I356,J356)</f>
        <v/>
      </c>
    </row>
    <row r="357" ht="18" customHeight="1" s="16">
      <c r="A357" s="5" t="n">
        <v>356</v>
      </c>
      <c r="B357" s="5" t="inlineStr">
        <is>
          <t>GU-2608</t>
        </is>
      </c>
      <c r="D357" s="5" t="inlineStr">
        <is>
          <t>オフィディア GG ミニ トップハンドルバッグ</t>
        </is>
      </c>
      <c r="E357" s="5" t="inlineStr">
        <is>
          <t>772157 96IWN 4076</t>
        </is>
      </c>
      <c r="F357" s="5" t="inlineStr">
        <is>
          <t>ベージュ＆ブルー</t>
        </is>
      </c>
      <c r="G357" s="11" t="inlineStr">
        <is>
          <t>SOLD</t>
        </is>
      </c>
      <c r="H357" s="22" t="inlineStr">
        <is>
          <t>SOLD</t>
        </is>
      </c>
      <c r="I357" s="18" t="n">
        <v>269500</v>
      </c>
      <c r="J357" s="23" t="inlineStr">
        <is>
          <t>NOTFOUND</t>
        </is>
      </c>
      <c r="K357" s="20" t="n">
        <v>0</v>
      </c>
      <c r="L357" s="4" t="inlineStr">
        <is>
          <t>https://www.gucci.com/jp/ja/pr/women/handbags/shoulder-bags-for-women/ophidia-gg-mini-top-handle-bag-p-77215796IWN4076</t>
        </is>
      </c>
      <c r="M357" s="5">
        <f t="array" ref="M357">_xlfn.IFS(J357="NOTFOUND",I357,J357&gt;=I357,J357)</f>
        <v/>
      </c>
    </row>
    <row r="358" ht="18" customHeight="1" s="16">
      <c r="A358" s="5" t="n">
        <v>357</v>
      </c>
      <c r="B358" s="5" t="inlineStr">
        <is>
          <t>GU-2609</t>
        </is>
      </c>
      <c r="D358" s="5" t="inlineStr">
        <is>
          <t>オフィディア スモール トップハンドルバッグ</t>
        </is>
      </c>
      <c r="E358" s="5" t="inlineStr">
        <is>
          <t>772061 96IWN 4076</t>
        </is>
      </c>
      <c r="F358" s="5" t="inlineStr">
        <is>
          <t>ベージュ＆ブルー キャンバス</t>
        </is>
      </c>
      <c r="G358" s="11" t="inlineStr">
        <is>
          <t>SOLD</t>
        </is>
      </c>
      <c r="H358" s="22" t="inlineStr">
        <is>
          <t>SOLD</t>
        </is>
      </c>
      <c r="I358" s="18" t="n">
        <v>269500</v>
      </c>
      <c r="J358" s="23" t="inlineStr">
        <is>
          <t>NOTFOUND</t>
        </is>
      </c>
      <c r="K358" s="20" t="n">
        <v>0</v>
      </c>
      <c r="L358" s="4" t="inlineStr">
        <is>
          <t>https://www.gucci.com/jp/ja/pr/women/handbags/crossbody-bags-for-women/ophidia-gg-small-top-handle-bag-p-77206196IWN4076</t>
        </is>
      </c>
      <c r="M358" s="5">
        <f t="array" ref="M358">_xlfn.IFS(J358="NOTFOUND",I358,J358&gt;=I358,J358)</f>
        <v/>
      </c>
    </row>
    <row r="359" ht="18" customHeight="1" s="16">
      <c r="A359" s="5" t="n">
        <v>358</v>
      </c>
      <c r="B359" s="5" t="inlineStr">
        <is>
          <t>GU-2610</t>
        </is>
      </c>
      <c r="D359" s="5" t="inlineStr">
        <is>
          <t>オフィディア GG ミニ トップハンドルバッグ</t>
        </is>
      </c>
      <c r="E359" s="5" t="inlineStr">
        <is>
          <t>772053 96IWN 4076</t>
        </is>
      </c>
      <c r="F359" s="5" t="inlineStr">
        <is>
          <t>ベージュ＆ブルー キャンバス</t>
        </is>
      </c>
      <c r="G359" s="11" t="inlineStr">
        <is>
          <t>SOLD</t>
        </is>
      </c>
      <c r="H359" s="22" t="inlineStr">
        <is>
          <t>SOLD</t>
        </is>
      </c>
      <c r="I359" s="18" t="n">
        <v>255200</v>
      </c>
      <c r="J359" s="19" t="n">
        <v>264000</v>
      </c>
      <c r="K359" s="20" t="n">
        <v>0</v>
      </c>
      <c r="L359" s="4" t="inlineStr">
        <is>
          <t>https://www.gucci.com/jp/ja/pr/women/handbags/crossbody-bags-for-women/ophidia-gg-mini-top-handle-bag-p-77205396IWN4076</t>
        </is>
      </c>
      <c r="M359" s="5">
        <f t="array" ref="M359">_xlfn.IFS(J359="NOTFOUND",I359,J359&gt;=I359,J359)</f>
        <v/>
      </c>
    </row>
    <row r="360" ht="18" customHeight="1" s="16">
      <c r="A360" s="5" t="n">
        <v>359</v>
      </c>
      <c r="B360" s="5" t="inlineStr">
        <is>
          <t>GU-2611</t>
        </is>
      </c>
      <c r="D360" s="5" t="inlineStr">
        <is>
          <t>オフィディア スモール ハンドバッグ</t>
        </is>
      </c>
      <c r="E360" s="5" t="inlineStr">
        <is>
          <t>735132 96IWN 4076</t>
        </is>
      </c>
      <c r="F360" s="5" t="inlineStr">
        <is>
          <t>ベージュ＆ブルー</t>
        </is>
      </c>
      <c r="G360" s="10" t="inlineStr">
        <is>
          <t>OneSize</t>
        </is>
      </c>
      <c r="H360" s="17" t="inlineStr">
        <is>
          <t>OneSize</t>
        </is>
      </c>
      <c r="I360" s="18" t="n">
        <v>269500</v>
      </c>
      <c r="J360" s="19" t="n">
        <v>286000</v>
      </c>
      <c r="K360" s="20" t="n">
        <v>5</v>
      </c>
      <c r="L360" s="4" t="inlineStr">
        <is>
          <t>https://www.gucci.com/jp/ja/pr/women/handbags/mini-bags-for-women/ophidia-gg-small-handbag-p-73513296IWN4076</t>
        </is>
      </c>
      <c r="M360" s="5">
        <f t="array" ref="M360">_xlfn.IFS(J360="NOTFOUND",I360,J360&gt;=I360,J360)</f>
        <v/>
      </c>
    </row>
    <row r="361" ht="18" customHeight="1" s="16">
      <c r="A361" s="5" t="n">
        <v>360</v>
      </c>
      <c r="B361" s="5" t="inlineStr">
        <is>
          <t>GU-2612</t>
        </is>
      </c>
      <c r="D361" s="5" t="inlineStr">
        <is>
          <t>オフィディア クロスボディバッグ</t>
        </is>
      </c>
      <c r="E361" s="5" t="inlineStr">
        <is>
          <t>681064 96IWN 4076</t>
        </is>
      </c>
      <c r="F361" s="5" t="inlineStr">
        <is>
          <t xml:space="preserve">  -</t>
        </is>
      </c>
      <c r="G361" s="11" t="inlineStr">
        <is>
          <t>SOLD</t>
        </is>
      </c>
      <c r="H361" s="22" t="inlineStr">
        <is>
          <t>SOLD</t>
        </is>
      </c>
      <c r="I361" s="18" t="n">
        <v>242000</v>
      </c>
      <c r="J361" s="23" t="inlineStr">
        <is>
          <t>NOTFOUND</t>
        </is>
      </c>
      <c r="K361" s="20" t="n">
        <v>0</v>
      </c>
      <c r="L361" s="4" t="inlineStr">
        <is>
          <t>https://www.gucci.com/jp/ja/pr/women/handbags/shoulder-bags-for-women/camera-bags-for-women/ophidia-gg-crossbody-bag-p-68106496IWN4076</t>
        </is>
      </c>
      <c r="M361" s="5">
        <f t="array" ref="M361">_xlfn.IFS(J361="NOTFOUND",I361,J361&gt;=I361,J361)</f>
        <v/>
      </c>
    </row>
    <row r="362" ht="18" customHeight="1" s="16">
      <c r="A362" s="5" t="n">
        <v>361</v>
      </c>
      <c r="B362" s="5" t="inlineStr">
        <is>
          <t>GU-2613</t>
        </is>
      </c>
      <c r="D362" s="5" t="inlineStr">
        <is>
          <t>オフィディア ミディアム GGトートバッグ</t>
        </is>
      </c>
      <c r="E362" s="5" t="inlineStr">
        <is>
          <t>631685 96IWN 4076</t>
        </is>
      </c>
      <c r="F362" s="5" t="inlineStr">
        <is>
          <t>ベージュ＆ブルー</t>
        </is>
      </c>
      <c r="G362" s="10" t="inlineStr">
        <is>
          <t>OneSize</t>
        </is>
      </c>
      <c r="H362" s="17" t="inlineStr">
        <is>
          <t>OneSize</t>
        </is>
      </c>
      <c r="I362" s="18" t="n">
        <v>247500</v>
      </c>
      <c r="J362" s="19" t="n">
        <v>269500</v>
      </c>
      <c r="K362" s="20" t="n">
        <v>5</v>
      </c>
      <c r="L362" s="4" t="inlineStr">
        <is>
          <t>https://www.gucci.com/jp/ja/pr/women/handbags/tote-bags-for-women/ophidia-gg-medium-tote-p-63168596IWN4076</t>
        </is>
      </c>
      <c r="M362" s="5">
        <f t="array" ref="M362">_xlfn.IFS(J362="NOTFOUND",I362,J362&gt;=I362,J362)</f>
        <v/>
      </c>
    </row>
    <row r="363" ht="18" customHeight="1" s="16">
      <c r="A363" s="5" t="n">
        <v>362</v>
      </c>
      <c r="B363" s="5" t="inlineStr">
        <is>
          <t>GU-2614</t>
        </is>
      </c>
      <c r="D363" s="5" t="inlineStr">
        <is>
          <t>オフィディア GG スモール クロスボディバッグ</t>
        </is>
      </c>
      <c r="E363" s="5" t="inlineStr">
        <is>
          <t>598125 2ZGMN 4076</t>
        </is>
      </c>
      <c r="F363" s="5" t="inlineStr">
        <is>
          <t>ベージュ＆ブルー</t>
        </is>
      </c>
      <c r="G363" s="11" t="inlineStr">
        <is>
          <t>SOLD</t>
        </is>
      </c>
      <c r="H363" s="22" t="inlineStr">
        <is>
          <t>SOLD</t>
        </is>
      </c>
      <c r="I363" s="18" t="n">
        <v>225500</v>
      </c>
      <c r="J363" s="23" t="inlineStr">
        <is>
          <t>NOTFOUND</t>
        </is>
      </c>
      <c r="K363" s="20" t="n">
        <v>0</v>
      </c>
      <c r="L363" s="4" t="inlineStr">
        <is>
          <t>https://www.gucci.com/jp/ja/pr/men/bags-for-men/messenger-crossbody-bags-for-men/ophidia-gg-small-crossbody-bag-p-5981252ZGMN4076</t>
        </is>
      </c>
      <c r="M363" s="5">
        <f t="array" ref="M363">_xlfn.IFS(J363="NOTFOUND",I363,J363&gt;=I363,J363)</f>
        <v/>
      </c>
    </row>
    <row r="364" ht="18" customHeight="1" s="16">
      <c r="A364" s="5" t="n">
        <v>363</v>
      </c>
      <c r="B364" s="5" t="inlineStr">
        <is>
          <t>GU-2615</t>
        </is>
      </c>
      <c r="D364" s="5" t="inlineStr">
        <is>
          <t>オフィディア GG スモール バックパック</t>
        </is>
      </c>
      <c r="E364" s="5" t="inlineStr">
        <is>
          <t>547965 9U8BN 4077</t>
        </is>
      </c>
      <c r="F364" s="5" t="inlineStr">
        <is>
          <t>ベージュ＆ブルー</t>
        </is>
      </c>
      <c r="G364" s="11" t="inlineStr">
        <is>
          <t>SOLD</t>
        </is>
      </c>
      <c r="H364" s="22" t="inlineStr">
        <is>
          <t>SOLD</t>
        </is>
      </c>
      <c r="I364" s="18" t="n">
        <v>253000</v>
      </c>
      <c r="J364" s="23" t="inlineStr">
        <is>
          <t>NOTFOUND</t>
        </is>
      </c>
      <c r="K364" s="20" t="n">
        <v>0</v>
      </c>
      <c r="L364" s="4" t="inlineStr">
        <is>
          <t>https://www.gucci.com/jp/ja/pr/men/bags-for-men/backpacks-for-men/ophidia-gg-small-backpack-p-5479659U8BN4077</t>
        </is>
      </c>
      <c r="M364" s="5">
        <f t="array" ref="M364">_xlfn.IFS(J364="NOTFOUND",I364,J364&gt;=I364,J364)</f>
        <v/>
      </c>
    </row>
    <row r="365" ht="18" customHeight="1" s="16">
      <c r="A365" s="5" t="n">
        <v>364</v>
      </c>
      <c r="B365" s="5" t="inlineStr">
        <is>
          <t>GU-2616</t>
        </is>
      </c>
      <c r="D365" s="5" t="inlineStr">
        <is>
          <t>オフィディア GG スモール ショルダーバッグ</t>
        </is>
      </c>
      <c r="E365" s="5" t="inlineStr">
        <is>
          <t>499621 K05NN 4076</t>
        </is>
      </c>
      <c r="F365" s="5" t="inlineStr">
        <is>
          <t>ベージュ＆ブルー</t>
        </is>
      </c>
      <c r="G365" s="11" t="inlineStr">
        <is>
          <t>SOLD</t>
        </is>
      </c>
      <c r="H365" s="22" t="inlineStr">
        <is>
          <t>SOLD</t>
        </is>
      </c>
      <c r="I365" s="18" t="n">
        <v>231000</v>
      </c>
      <c r="J365" s="23" t="inlineStr">
        <is>
          <t>NOTFOUND</t>
        </is>
      </c>
      <c r="K365" s="20" t="n">
        <v>0</v>
      </c>
      <c r="L365" s="4" t="inlineStr">
        <is>
          <t>https://www.gucci.com/jp/ja/pr/women/handbags/crossbody-bags-for-women/ophidia-gg-small-shoulder-bag-p-499621K05NN4076</t>
        </is>
      </c>
      <c r="M365" s="5">
        <f t="array" ref="M365">_xlfn.IFS(J365="NOTFOUND",I365,J365&gt;=I365,J365)</f>
        <v/>
      </c>
    </row>
    <row r="366" ht="18" customHeight="1" s="16">
      <c r="A366" s="5" t="n">
        <v>365</v>
      </c>
      <c r="B366" s="5" t="inlineStr">
        <is>
          <t>GU-2617</t>
        </is>
      </c>
      <c r="D366" s="5" t="inlineStr">
        <is>
          <t>GGマトラッセ ラージ トートバッグ</t>
        </is>
      </c>
      <c r="E366" s="5" t="inlineStr">
        <is>
          <t>781386 AADC8 1000</t>
        </is>
      </c>
      <c r="F366" s="5" t="inlineStr">
        <is>
          <t xml:space="preserve">  -</t>
        </is>
      </c>
      <c r="G366" s="11" t="inlineStr">
        <is>
          <t>SOLD</t>
        </is>
      </c>
      <c r="H366" s="22" t="inlineStr">
        <is>
          <t>SOLD</t>
        </is>
      </c>
      <c r="I366" s="18" t="n">
        <v>589600</v>
      </c>
      <c r="J366" s="23" t="inlineStr">
        <is>
          <t>NOTFOUND</t>
        </is>
      </c>
      <c r="K366" s="20" t="n">
        <v>0</v>
      </c>
      <c r="L366" s="4" t="inlineStr">
        <is>
          <t>https://www.gucci.com/jp/ja/pr/women/handbags/tote-bags-for-women/gg-matelasse-large-tote-bag-p-781386AADC81000</t>
        </is>
      </c>
      <c r="M366" s="5">
        <f t="array" ref="M366">_xlfn.IFS(J366="NOTFOUND",I366,J366&gt;=I366,J366)</f>
        <v/>
      </c>
    </row>
    <row r="367" ht="18" customHeight="1" s="16">
      <c r="A367" s="5" t="n">
        <v>366</v>
      </c>
      <c r="B367" s="5" t="inlineStr">
        <is>
          <t>GU-2618</t>
        </is>
      </c>
      <c r="D367" s="5" t="inlineStr">
        <is>
          <t>GGマトラッセ ミニバッグ</t>
        </is>
      </c>
      <c r="E367" s="5" t="inlineStr">
        <is>
          <t>739736 UM8IG 5909</t>
        </is>
      </c>
      <c r="F367" s="5" t="inlineStr">
        <is>
          <t>ライトピンク レザー</t>
        </is>
      </c>
      <c r="G367" s="11" t="inlineStr">
        <is>
          <t>SOLD</t>
        </is>
      </c>
      <c r="H367" s="22" t="inlineStr">
        <is>
          <t>SOLD</t>
        </is>
      </c>
      <c r="I367" s="18" t="n">
        <v>341000</v>
      </c>
      <c r="J367" s="23" t="inlineStr">
        <is>
          <t>NOTFOUND</t>
        </is>
      </c>
      <c r="K367" s="20" t="n">
        <v>0</v>
      </c>
      <c r="L367" s="4" t="inlineStr">
        <is>
          <t>https://www.gucci.com/jp/ja/pr/women/handbags/mini-bags-for-women/gg-matelasse-mini-bag-p-739736UM8IG5909</t>
        </is>
      </c>
      <c r="M367" s="5">
        <f t="array" ref="M367">_xlfn.IFS(J367="NOTFOUND",I367,J367&gt;=I367,J367)</f>
        <v/>
      </c>
    </row>
    <row r="368" ht="18" customHeight="1" s="16">
      <c r="A368" s="5" t="n">
        <v>367</v>
      </c>
      <c r="B368" s="5" t="inlineStr">
        <is>
          <t>GU-2619</t>
        </is>
      </c>
      <c r="D368" s="5" t="inlineStr">
        <is>
          <t>GGマトラッセ ミニバッグ</t>
        </is>
      </c>
      <c r="E368" s="5" t="inlineStr">
        <is>
          <t>739736 UM8IG 1000</t>
        </is>
      </c>
      <c r="F368" s="5" t="inlineStr">
        <is>
          <t>ブラック レザー</t>
        </is>
      </c>
      <c r="G368" s="11" t="inlineStr">
        <is>
          <t>SOLD</t>
        </is>
      </c>
      <c r="H368" s="22" t="inlineStr">
        <is>
          <t>SOLD</t>
        </is>
      </c>
      <c r="I368" s="18" t="n">
        <v>341000</v>
      </c>
      <c r="J368" s="23" t="inlineStr">
        <is>
          <t>NOTFOUND</t>
        </is>
      </c>
      <c r="K368" s="20" t="n">
        <v>0</v>
      </c>
      <c r="L368" s="4" t="inlineStr">
        <is>
          <t>https://www.gucci.com/jp/ja/pr/women/handbags/mini-bags-for-women/gg-matelasse-mini-bag-p-739736UM8IG1000</t>
        </is>
      </c>
      <c r="M368" s="5">
        <f t="array" ref="M368">_xlfn.IFS(J368="NOTFOUND",I368,J368&gt;=I368,J368)</f>
        <v/>
      </c>
    </row>
    <row r="369" ht="18" customHeight="1" s="16">
      <c r="A369" s="5" t="n">
        <v>368</v>
      </c>
      <c r="B369" s="5" t="inlineStr">
        <is>
          <t>GU-2620</t>
        </is>
      </c>
      <c r="D369" s="5" t="inlineStr">
        <is>
          <t>GGマトラッセ レザー ハンドバッグ</t>
        </is>
      </c>
      <c r="E369" s="5" t="inlineStr">
        <is>
          <t>735049 UM8HG 1046</t>
        </is>
      </c>
      <c r="F369" s="5" t="inlineStr">
        <is>
          <t xml:space="preserve">  -</t>
        </is>
      </c>
      <c r="G369" s="11" t="inlineStr">
        <is>
          <t>SOLD</t>
        </is>
      </c>
      <c r="H369" s="22" t="inlineStr">
        <is>
          <t>SOLD</t>
        </is>
      </c>
      <c r="I369" s="18" t="n">
        <v>284900</v>
      </c>
      <c r="J369" s="23" t="inlineStr">
        <is>
          <t>NOTFOUND</t>
        </is>
      </c>
      <c r="K369" s="20" t="n">
        <v>0</v>
      </c>
      <c r="L369" s="4" t="inlineStr">
        <is>
          <t>https://www.gucci.com/jp/ja/pr/women/handbags/mini-bags-for-women/gg-matelasse-handbag-p-735049UM8HG1046</t>
        </is>
      </c>
      <c r="M369" s="5">
        <f t="array" ref="M369">_xlfn.IFS(J369="NOTFOUND",I369,J369&gt;=I369,J369)</f>
        <v/>
      </c>
    </row>
    <row r="370" ht="18" customHeight="1" s="16">
      <c r="A370" s="5" t="n">
        <v>369</v>
      </c>
      <c r="B370" s="5" t="inlineStr">
        <is>
          <t>GU-2621</t>
        </is>
      </c>
      <c r="D370" s="5" t="inlineStr">
        <is>
          <t>GGマトラッセ スモール バッグ</t>
        </is>
      </c>
      <c r="E370" s="5" t="inlineStr">
        <is>
          <t>702234 UM8HG 5943</t>
        </is>
      </c>
      <c r="F370" s="5" t="inlineStr">
        <is>
          <t>ローズベージュ レザー</t>
        </is>
      </c>
      <c r="G370" s="11" t="inlineStr">
        <is>
          <t>SOLD</t>
        </is>
      </c>
      <c r="H370" s="22" t="inlineStr">
        <is>
          <t>SOLD</t>
        </is>
      </c>
      <c r="I370" s="18" t="n">
        <v>280500</v>
      </c>
      <c r="J370" s="23" t="inlineStr">
        <is>
          <t>NOTFOUND</t>
        </is>
      </c>
      <c r="K370" s="20" t="n">
        <v>0</v>
      </c>
      <c r="L370" s="4" t="inlineStr">
        <is>
          <t>https://www.gucci.com/jp/ja/pr/women/handbags/crossbody-bags-for-women/gg-matelasse-small-bag-p-702234UM8HG5943</t>
        </is>
      </c>
      <c r="M370" s="5">
        <f t="array" ref="M370">_xlfn.IFS(J370="NOTFOUND",I370,J370&gt;=I370,J370)</f>
        <v/>
      </c>
    </row>
    <row r="371" ht="18" customHeight="1" s="16">
      <c r="A371" s="5" t="n">
        <v>370</v>
      </c>
      <c r="B371" s="5" t="inlineStr">
        <is>
          <t>GU-2622</t>
        </is>
      </c>
      <c r="D371" s="5" t="inlineStr">
        <is>
          <t>GGマトラッセ レザー スモール バッグ</t>
        </is>
      </c>
      <c r="E371" s="5" t="inlineStr">
        <is>
          <t>702234 UM8HG 1046</t>
        </is>
      </c>
      <c r="F371" s="5" t="inlineStr">
        <is>
          <t>ブラック レザー</t>
        </is>
      </c>
      <c r="G371" s="11" t="inlineStr">
        <is>
          <t>SOLD</t>
        </is>
      </c>
      <c r="H371" s="22" t="inlineStr">
        <is>
          <t>SOLD</t>
        </is>
      </c>
      <c r="I371" s="18" t="n">
        <v>280500</v>
      </c>
      <c r="J371" s="23" t="inlineStr">
        <is>
          <t>NOTFOUND</t>
        </is>
      </c>
      <c r="K371" s="20" t="n">
        <v>0</v>
      </c>
      <c r="L371" s="4" t="inlineStr">
        <is>
          <t>https://www.gucci.com/jp/ja/pr/women/handbags/crossbody-bags-for-women/gg-matelasse-small-bag-p-702234UM8HG1046</t>
        </is>
      </c>
      <c r="M371" s="5">
        <f t="array" ref="M371">_xlfn.IFS(J371="NOTFOUND",I371,J371&gt;=I371,J371)</f>
        <v/>
      </c>
    </row>
    <row r="372" ht="18" customHeight="1" s="16">
      <c r="A372" s="5" t="n">
        <v>371</v>
      </c>
      <c r="B372" s="5" t="inlineStr">
        <is>
          <t>GU-2623</t>
        </is>
      </c>
      <c r="D372" s="5" t="inlineStr">
        <is>
          <t>GGマーモント キルティング バックパック</t>
        </is>
      </c>
      <c r="E372" s="5" t="inlineStr">
        <is>
          <t>777253 AAC74 9206</t>
        </is>
      </c>
      <c r="F372" s="5" t="inlineStr">
        <is>
          <t>ホワイト レザー</t>
        </is>
      </c>
      <c r="G372" s="11" t="inlineStr">
        <is>
          <t>SOLD</t>
        </is>
      </c>
      <c r="H372" s="22" t="inlineStr">
        <is>
          <t>SOLD</t>
        </is>
      </c>
      <c r="I372" s="18" t="n">
        <v>412500</v>
      </c>
      <c r="J372" s="23" t="inlineStr">
        <is>
          <t>NOTFOUND</t>
        </is>
      </c>
      <c r="K372" s="20" t="n">
        <v>0</v>
      </c>
      <c r="L372" s="4" t="inlineStr">
        <is>
          <t>https://www.gucci.com/jp/ja/pr/women/handbags/belt-bags-backpacks-for-women/gg-marmont-matelasse-backpack-p-777253AAC749206</t>
        </is>
      </c>
      <c r="M372" s="5">
        <f t="array" ref="M372">_xlfn.IFS(J372="NOTFOUND",I372,J372&gt;=I372,J372)</f>
        <v/>
      </c>
    </row>
    <row r="373" ht="18" customHeight="1" s="16">
      <c r="A373" s="5" t="n">
        <v>372</v>
      </c>
      <c r="B373" s="5" t="inlineStr">
        <is>
          <t>GU-2624</t>
        </is>
      </c>
      <c r="D373" s="5" t="inlineStr">
        <is>
          <t>GGマーモント キルティング バックパック</t>
        </is>
      </c>
      <c r="E373" s="5" t="inlineStr">
        <is>
          <t>777253 AAC74 1000</t>
        </is>
      </c>
      <c r="F373" s="5" t="inlineStr">
        <is>
          <t>ブラック レザー</t>
        </is>
      </c>
      <c r="G373" s="11" t="inlineStr">
        <is>
          <t>SOLD</t>
        </is>
      </c>
      <c r="H373" s="22" t="inlineStr">
        <is>
          <t>SOLD</t>
        </is>
      </c>
      <c r="I373" s="18" t="n">
        <v>412500</v>
      </c>
      <c r="J373" s="23" t="inlineStr">
        <is>
          <t>NOTFOUND</t>
        </is>
      </c>
      <c r="K373" s="20" t="n">
        <v>0</v>
      </c>
      <c r="L373" s="4" t="inlineStr">
        <is>
          <t>https://www.gucci.com/jp/ja/pr/women/handbags/belt-bags-backpacks-for-women/gg-marmont-matelasse-backpack-p-777253AAC741000</t>
        </is>
      </c>
      <c r="M373" s="5">
        <f t="array" ref="M373">_xlfn.IFS(J373="NOTFOUND",I373,J373&gt;=I373,J373)</f>
        <v/>
      </c>
    </row>
    <row r="374" ht="18" customHeight="1" s="16">
      <c r="A374" s="5" t="n">
        <v>373</v>
      </c>
      <c r="B374" s="5" t="inlineStr">
        <is>
          <t>GU-2625</t>
        </is>
      </c>
      <c r="D374" s="5" t="inlineStr">
        <is>
          <t>ブロンディ ミニ ショルダーバッグ</t>
        </is>
      </c>
      <c r="E374" s="5" t="inlineStr">
        <is>
          <t>724645 K9GSG 8367</t>
        </is>
      </c>
      <c r="F374" s="5" t="inlineStr">
        <is>
          <t xml:space="preserve">  -</t>
        </is>
      </c>
      <c r="G374" s="11" t="inlineStr">
        <is>
          <t>SOLD</t>
        </is>
      </c>
      <c r="H374" s="22" t="inlineStr">
        <is>
          <t>SOLD</t>
        </is>
      </c>
      <c r="I374" s="18" t="n">
        <v>352000</v>
      </c>
      <c r="J374" s="23" t="inlineStr">
        <is>
          <t>NOTFOUND</t>
        </is>
      </c>
      <c r="K374" s="20" t="n">
        <v>0</v>
      </c>
      <c r="L374" s="4" t="inlineStr">
        <is>
          <t>https://www.gucci.com/jp/ja/pr/women/handbags/mini-bags-for-women/gucci-blondie-mini-shoulder-bag-p-724645K9GSG8367</t>
        </is>
      </c>
      <c r="M374" s="5">
        <f t="array" ref="M374">_xlfn.IFS(J374="NOTFOUND",I374,J374&gt;=I374,J374)</f>
        <v/>
      </c>
    </row>
    <row r="375" ht="18" customHeight="1" s="16">
      <c r="A375" s="5" t="n">
        <v>374</v>
      </c>
      <c r="B375" s="5" t="inlineStr">
        <is>
          <t>GU-2626</t>
        </is>
      </c>
      <c r="D375" s="5" t="inlineStr">
        <is>
          <t>ブロンディ トップハンドルバッグ</t>
        </is>
      </c>
      <c r="E375" s="5" t="inlineStr">
        <is>
          <t>721172 UXXAG 1064</t>
        </is>
      </c>
      <c r="F375" s="5" t="inlineStr">
        <is>
          <t>ブラック レザー</t>
        </is>
      </c>
      <c r="G375" s="11" t="inlineStr">
        <is>
          <t>SOLD</t>
        </is>
      </c>
      <c r="H375" s="22" t="inlineStr">
        <is>
          <t>SOLD</t>
        </is>
      </c>
      <c r="I375" s="18" t="n">
        <v>473000</v>
      </c>
      <c r="J375" s="23" t="inlineStr">
        <is>
          <t>NOTFOUND</t>
        </is>
      </c>
      <c r="K375" s="20" t="n">
        <v>0</v>
      </c>
      <c r="L375" s="4" t="inlineStr">
        <is>
          <t>https://www.gucci.com/jp/ja/pr/women/handbags/shoulder-bags-for-women/gucci-blondie-medium-top-handle-bag-p-721172UXXAG1064</t>
        </is>
      </c>
      <c r="M375" s="5">
        <f t="array" ref="M375">_xlfn.IFS(J375="NOTFOUND",I375,J375&gt;=I375,J375)</f>
        <v/>
      </c>
    </row>
    <row r="376" ht="18" customHeight="1" s="16">
      <c r="A376" s="5" t="n">
        <v>375</v>
      </c>
      <c r="B376" s="5" t="inlineStr">
        <is>
          <t>GU-2627</t>
        </is>
      </c>
      <c r="D376" s="5" t="inlineStr">
        <is>
          <t>ブロンディ ミディアム トップハンドルバッグ</t>
        </is>
      </c>
      <c r="E376" s="5" t="inlineStr">
        <is>
          <t>721172 96IWG 8745</t>
        </is>
      </c>
      <c r="F376" s="5" t="inlineStr">
        <is>
          <t>ベージュ＆エボニー</t>
        </is>
      </c>
      <c r="G376" s="11" t="inlineStr">
        <is>
          <t>SOLD</t>
        </is>
      </c>
      <c r="H376" s="22" t="inlineStr">
        <is>
          <t>SOLD</t>
        </is>
      </c>
      <c r="I376" s="18" t="n">
        <v>418000</v>
      </c>
      <c r="J376" s="23" t="inlineStr">
        <is>
          <t>NOTFOUND</t>
        </is>
      </c>
      <c r="K376" s="20" t="n">
        <v>0</v>
      </c>
      <c r="L376" s="4" t="inlineStr">
        <is>
          <t>https://www.gucci.com/jp/ja/pr/women/handbags/shoulder-bags-for-women/gucci-blondie-medium-top-handle-bag-p-72117296IWG8745</t>
        </is>
      </c>
      <c r="M376" s="5">
        <f t="array" ref="M376">_xlfn.IFS(J376="NOTFOUND",I376,J376&gt;=I376,J376)</f>
        <v/>
      </c>
    </row>
    <row r="377" ht="18" customHeight="1" s="16">
      <c r="A377" s="5" t="n">
        <v>376</v>
      </c>
      <c r="B377" s="5" t="inlineStr">
        <is>
          <t>GU-2628</t>
        </is>
      </c>
      <c r="D377" s="5" t="inlineStr">
        <is>
          <t>ブロンディ ショルダーバッグ</t>
        </is>
      </c>
      <c r="E377" s="5" t="inlineStr">
        <is>
          <t>699268 UXX0G 9022</t>
        </is>
      </c>
      <c r="F377" s="5" t="inlineStr">
        <is>
          <t>ホワイト レザー</t>
        </is>
      </c>
      <c r="G377" s="11" t="inlineStr">
        <is>
          <t>SOLD</t>
        </is>
      </c>
      <c r="H377" s="22" t="inlineStr">
        <is>
          <t>SOLD</t>
        </is>
      </c>
      <c r="I377" s="18" t="n">
        <v>429000</v>
      </c>
      <c r="J377" s="23" t="inlineStr">
        <is>
          <t>NOTFOUND</t>
        </is>
      </c>
      <c r="K377" s="20" t="n">
        <v>0</v>
      </c>
      <c r="L377" s="4" t="inlineStr">
        <is>
          <t>https://www.gucci.com/jp/ja/pr/women/handbags/shoulder-bags-for-women/chain-bags-for-women/gucci-blondie-shoulder-bag-p-699268UXX0G9022</t>
        </is>
      </c>
      <c r="M377" s="5">
        <f t="array" ref="M377">_xlfn.IFS(J377="NOTFOUND",I377,J377&gt;=I377,J377)</f>
        <v/>
      </c>
    </row>
    <row r="378" ht="18" customHeight="1" s="16">
      <c r="A378" s="5" t="n">
        <v>377</v>
      </c>
      <c r="B378" s="5" t="inlineStr">
        <is>
          <t>GU-2629</t>
        </is>
      </c>
      <c r="D378" s="5" t="inlineStr">
        <is>
          <t>ブロンディ ショルダーバッグ</t>
        </is>
      </c>
      <c r="E378" s="5" t="inlineStr">
        <is>
          <t>699268 UXX0G 1000</t>
        </is>
      </c>
      <c r="F378" s="5" t="inlineStr">
        <is>
          <t>ブラック レザー</t>
        </is>
      </c>
      <c r="G378" s="11" t="inlineStr">
        <is>
          <t>SOLD</t>
        </is>
      </c>
      <c r="H378" s="22" t="inlineStr">
        <is>
          <t>SOLD</t>
        </is>
      </c>
      <c r="I378" s="18" t="n">
        <v>429000</v>
      </c>
      <c r="J378" s="23" t="inlineStr">
        <is>
          <t>NOTFOUND</t>
        </is>
      </c>
      <c r="K378" s="20" t="n">
        <v>0</v>
      </c>
      <c r="L378" s="4" t="inlineStr">
        <is>
          <t>https://www.gucci.com/jp/ja/pr/women/handbags/shoulder-bags-for-women/chain-bags-for-women/gucci-blondie-shoulder-bag-p-699268UXX0G1000</t>
        </is>
      </c>
      <c r="M378" s="5">
        <f t="array" ref="M378">_xlfn.IFS(J378="NOTFOUND",I378,J378&gt;=I378,J378)</f>
        <v/>
      </c>
    </row>
    <row r="379" ht="18" customHeight="1" s="16">
      <c r="A379" s="5" t="n">
        <v>378</v>
      </c>
      <c r="B379" s="5" t="inlineStr">
        <is>
          <t>GU-2630</t>
        </is>
      </c>
      <c r="D379" s="5" t="inlineStr">
        <is>
          <t>ブロンディ ショルダーバッグ</t>
        </is>
      </c>
      <c r="E379" s="5" t="inlineStr">
        <is>
          <t>699268 K9GSG 8358</t>
        </is>
      </c>
      <c r="F379" s="5" t="inlineStr">
        <is>
          <t>ベージュ＆エボニー</t>
        </is>
      </c>
      <c r="G379" s="11" t="inlineStr">
        <is>
          <t>SOLD</t>
        </is>
      </c>
      <c r="H379" s="22" t="inlineStr">
        <is>
          <t>SOLD</t>
        </is>
      </c>
      <c r="I379" s="18" t="n">
        <v>379500</v>
      </c>
      <c r="J379" s="23" t="inlineStr">
        <is>
          <t>NOTFOUND</t>
        </is>
      </c>
      <c r="K379" s="20" t="n">
        <v>0</v>
      </c>
      <c r="L379" s="4" t="inlineStr">
        <is>
          <t>https://www.gucci.com/jp/ja/pr/women/handbags/shoulder-bags-for-women/chain-bags-for-women/gucci-blondie-shoulder-bag-p-699268K9GSG8358</t>
        </is>
      </c>
      <c r="M379" s="5">
        <f t="array" ref="M379">_xlfn.IFS(J379="NOTFOUND",I379,J379&gt;=I379,J379)</f>
        <v/>
      </c>
    </row>
    <row r="380" ht="18" customHeight="1" s="16">
      <c r="A380" s="5" t="n">
        <v>379</v>
      </c>
      <c r="B380" s="5" t="inlineStr">
        <is>
          <t>GU-2631</t>
        </is>
      </c>
      <c r="D380" s="5" t="inlineStr">
        <is>
          <t>GGマーモント キルティング ラージ トートバッグ</t>
        </is>
      </c>
      <c r="E380" s="5" t="inlineStr">
        <is>
          <t>739684 DTDFV 1000</t>
        </is>
      </c>
      <c r="F380" s="5" t="inlineStr">
        <is>
          <t xml:space="preserve">  -</t>
        </is>
      </c>
      <c r="G380" s="11" t="inlineStr">
        <is>
          <t>SOLD</t>
        </is>
      </c>
      <c r="H380" s="22" t="inlineStr">
        <is>
          <t>SOLD</t>
        </is>
      </c>
      <c r="I380" s="18" t="n">
        <v>313500</v>
      </c>
      <c r="J380" s="23" t="inlineStr">
        <is>
          <t>NOTFOUND</t>
        </is>
      </c>
      <c r="K380" s="20" t="n">
        <v>0</v>
      </c>
      <c r="L380" s="4" t="inlineStr">
        <is>
          <t>https://www.gucci.com/jp/ja/pr/women/handbags/tote-bags-for-women/gg-marmont-large-tote-bag-p-739684DTDFV1000</t>
        </is>
      </c>
      <c r="M380" s="5">
        <f t="array" ref="M380">_xlfn.IFS(J380="NOTFOUND",I380,J380&gt;=I380,J380)</f>
        <v/>
      </c>
    </row>
    <row r="381" ht="18" customHeight="1" s="16">
      <c r="A381" s="5" t="n">
        <v>380</v>
      </c>
      <c r="B381" s="5" t="inlineStr">
        <is>
          <t>GU-2632</t>
        </is>
      </c>
      <c r="D381" s="5" t="inlineStr">
        <is>
          <t>GGマーモント ミニ トップハンドルバッグ</t>
        </is>
      </c>
      <c r="E381" s="5" t="inlineStr">
        <is>
          <t>702563 DAAAH 5909</t>
        </is>
      </c>
      <c r="F381" s="5" t="inlineStr">
        <is>
          <t>ライトピンク レザー</t>
        </is>
      </c>
      <c r="G381" s="11" t="inlineStr">
        <is>
          <t>SOLD</t>
        </is>
      </c>
      <c r="H381" s="22" t="inlineStr">
        <is>
          <t>SOLD</t>
        </is>
      </c>
      <c r="I381" s="18" t="n">
        <v>335500</v>
      </c>
      <c r="J381" s="23" t="inlineStr">
        <is>
          <t>NOTFOUND</t>
        </is>
      </c>
      <c r="K381" s="20" t="n">
        <v>0</v>
      </c>
      <c r="L381" s="4" t="inlineStr">
        <is>
          <t>https://www.gucci.com/jp/ja/pr/women/handbags/mini-bags-for-women/gg-marmont-mini-top-handle-bag-p-702563DAAAH5909</t>
        </is>
      </c>
      <c r="M381" s="5">
        <f t="array" ref="M381">_xlfn.IFS(J381="NOTFOUND",I381,J381&gt;=I381,J381)</f>
        <v/>
      </c>
    </row>
    <row r="382" ht="18" customHeight="1" s="16">
      <c r="A382" s="5" t="n">
        <v>381</v>
      </c>
      <c r="B382" s="5" t="inlineStr">
        <is>
          <t>GU-2633</t>
        </is>
      </c>
      <c r="D382" s="5" t="inlineStr">
        <is>
          <t>GGマーモント ミニ トップハンドルバッグ</t>
        </is>
      </c>
      <c r="E382" s="5" t="inlineStr">
        <is>
          <t>702563 DTDFV 1000</t>
        </is>
      </c>
      <c r="F382" s="5" t="inlineStr">
        <is>
          <t>ブラック レザー</t>
        </is>
      </c>
      <c r="G382" s="10" t="inlineStr">
        <is>
          <t>OneSize</t>
        </is>
      </c>
      <c r="H382" s="17" t="inlineStr">
        <is>
          <t>OneSize</t>
        </is>
      </c>
      <c r="I382" s="18" t="n">
        <v>335500</v>
      </c>
      <c r="J382" s="19" t="n">
        <v>379500</v>
      </c>
      <c r="K382" s="20" t="n">
        <v>5</v>
      </c>
      <c r="L382" s="4" t="inlineStr">
        <is>
          <t>https://www.gucci.com/jp/ja/pr/women/handbags/mini-bags-for-women/gg-marmont-mini-top-handle-bag-p-702563DTDFV1000</t>
        </is>
      </c>
      <c r="M382" s="5">
        <f t="array" ref="M382">_xlfn.IFS(J382="NOTFOUND",I382,J382&gt;=I382,J382)</f>
        <v/>
      </c>
    </row>
    <row r="383" ht="18" customHeight="1" s="16">
      <c r="A383" s="5" t="n">
        <v>382</v>
      </c>
      <c r="B383" s="5" t="inlineStr">
        <is>
          <t>GU-2634</t>
        </is>
      </c>
      <c r="D383" s="5" t="inlineStr">
        <is>
          <t>GGマーモント ミニ ショルダーバッグ</t>
        </is>
      </c>
      <c r="E383" s="5" t="inlineStr">
        <is>
          <t>634936 DTDHV 1000</t>
        </is>
      </c>
      <c r="F383" s="5" t="inlineStr">
        <is>
          <t xml:space="preserve">  -</t>
        </is>
      </c>
      <c r="G383" s="10" t="inlineStr">
        <is>
          <t>OneSize</t>
        </is>
      </c>
      <c r="H383" s="17" t="inlineStr">
        <is>
          <t>OneSize</t>
        </is>
      </c>
      <c r="I383" s="18" t="n">
        <v>211200</v>
      </c>
      <c r="J383" s="19" t="n">
        <v>247500</v>
      </c>
      <c r="K383" s="20" t="n">
        <v>5</v>
      </c>
      <c r="L383" s="4" t="inlineStr">
        <is>
          <t>https://www.gucci.com/jp/ja/pr/women/handbags/mini-bags-for-women/gg-marmont-mini-shoulder-bag-p-634936DTDHV1000</t>
        </is>
      </c>
      <c r="M383" s="5">
        <f t="array" ref="M383">_xlfn.IFS(J383="NOTFOUND",I383,J383&gt;=I383,J383)</f>
        <v/>
      </c>
    </row>
    <row r="384" ht="18" customHeight="1" s="16">
      <c r="A384" s="5" t="n">
        <v>383</v>
      </c>
      <c r="B384" s="5" t="inlineStr">
        <is>
          <t>GU-2635</t>
        </is>
      </c>
      <c r="D384" s="5" t="inlineStr">
        <is>
          <t>GGマーモント スモール ショルダーバッグ</t>
        </is>
      </c>
      <c r="E384" s="5" t="inlineStr">
        <is>
          <t>447632 DAAAH 5909</t>
        </is>
      </c>
      <c r="F384" s="5" t="inlineStr">
        <is>
          <t>ライトピンク レザー</t>
        </is>
      </c>
      <c r="G384" s="11" t="inlineStr">
        <is>
          <t>SOLD</t>
        </is>
      </c>
      <c r="H384" s="22" t="inlineStr">
        <is>
          <t>SOLD</t>
        </is>
      </c>
      <c r="I384" s="18" t="n">
        <v>227700</v>
      </c>
      <c r="J384" s="23" t="inlineStr">
        <is>
          <t>NOTFOUND</t>
        </is>
      </c>
      <c r="K384" s="20" t="n">
        <v>0</v>
      </c>
      <c r="L384" s="4" t="inlineStr">
        <is>
          <t>https://www.gucci.com/jp/ja/pr/women/handbags/shoulder-bags-for-women/camera-bags-for-women/gg-marmont-small-shoulder-bag-p-447632DAAAH5909</t>
        </is>
      </c>
      <c r="M384" s="5">
        <f t="array" ref="M384">_xlfn.IFS(J384="NOTFOUND",I384,J384&gt;=I384,J384)</f>
        <v/>
      </c>
    </row>
    <row r="385" ht="18" customHeight="1" s="16">
      <c r="A385" s="5" t="n">
        <v>384</v>
      </c>
      <c r="B385" s="5" t="inlineStr">
        <is>
          <t>GU-2636</t>
        </is>
      </c>
      <c r="D385" s="5" t="inlineStr">
        <is>
          <t>GGマーモント キルティング ショルダーバッグ</t>
        </is>
      </c>
      <c r="E385" s="5" t="inlineStr">
        <is>
          <t>447632 DAAAJ 9022</t>
        </is>
      </c>
      <c r="F385" s="5" t="inlineStr">
        <is>
          <t>ホワイト レザー</t>
        </is>
      </c>
      <c r="G385" s="11" t="inlineStr">
        <is>
          <t>SOLD</t>
        </is>
      </c>
      <c r="H385" s="22" t="inlineStr">
        <is>
          <t>SOLD</t>
        </is>
      </c>
      <c r="I385" s="18" t="n">
        <v>227700</v>
      </c>
      <c r="J385" s="23" t="inlineStr">
        <is>
          <t>NOTFOUND</t>
        </is>
      </c>
      <c r="K385" s="20" t="n">
        <v>0</v>
      </c>
      <c r="L385" s="4" t="inlineStr">
        <is>
          <t>https://www.gucci.com/jp/ja/pr/women/handbags/shoulder-bags-for-women/camera-bags-for-women/gg-marmont-matelasse-shoulder-bag-p-447632DAAAJ9022</t>
        </is>
      </c>
      <c r="M385" s="5">
        <f t="array" ref="M385">_xlfn.IFS(J385="NOTFOUND",I385,J385&gt;=I385,J385)</f>
        <v/>
      </c>
    </row>
    <row r="386" ht="18" customHeight="1" s="16">
      <c r="A386" s="5" t="n">
        <v>385</v>
      </c>
      <c r="B386" s="5" t="inlineStr">
        <is>
          <t>GU-2637</t>
        </is>
      </c>
      <c r="D386" s="5" t="inlineStr">
        <is>
          <t>GGマーモント スモール ショルダーバッグ</t>
        </is>
      </c>
      <c r="E386" s="5" t="inlineStr">
        <is>
          <t>447632 DTDHV 1000</t>
        </is>
      </c>
      <c r="F386" s="5" t="inlineStr">
        <is>
          <t>ブラック レザー</t>
        </is>
      </c>
      <c r="G386" s="10" t="inlineStr">
        <is>
          <t>OneSize</t>
        </is>
      </c>
      <c r="H386" s="17" t="inlineStr">
        <is>
          <t>OneSize</t>
        </is>
      </c>
      <c r="I386" s="18" t="n">
        <v>227700</v>
      </c>
      <c r="J386" s="19" t="n">
        <v>264000</v>
      </c>
      <c r="K386" s="20" t="n">
        <v>5</v>
      </c>
      <c r="L386" s="4" t="inlineStr">
        <is>
          <t>https://www.gucci.com/jp/ja/pr/women/handbags/crossbody-bags-for-women/gg-marmont-small-shoulder-bag-p-447632DTDHV1000</t>
        </is>
      </c>
      <c r="M386" s="5">
        <f t="array" ref="M386">_xlfn.IFS(J386="NOTFOUND",I386,J386&gt;=I386,J386)</f>
        <v/>
      </c>
    </row>
    <row r="387" ht="18" customHeight="1" s="16">
      <c r="A387" s="5" t="n">
        <v>386</v>
      </c>
      <c r="B387" s="5" t="inlineStr">
        <is>
          <t>GU-2638</t>
        </is>
      </c>
      <c r="D387" s="5" t="inlineStr">
        <is>
          <t>GGマーモント キルティング ミニバッグ</t>
        </is>
      </c>
      <c r="E387" s="5" t="inlineStr">
        <is>
          <t>446744 DTDFV 1000</t>
        </is>
      </c>
      <c r="F387" s="5" t="inlineStr">
        <is>
          <t>ブラック レザー</t>
        </is>
      </c>
      <c r="G387" s="10" t="inlineStr">
        <is>
          <t>OneSize</t>
        </is>
      </c>
      <c r="H387" s="17" t="inlineStr">
        <is>
          <t>OneSize</t>
        </is>
      </c>
      <c r="I387" s="18" t="n">
        <v>302500</v>
      </c>
      <c r="J387" s="19" t="n">
        <v>346500</v>
      </c>
      <c r="K387" s="20" t="n">
        <v>5</v>
      </c>
      <c r="L387" s="4" t="inlineStr">
        <is>
          <t>https://www.gucci.com/jp/ja/pr/women/handbags/mini-bags-for-women/gg-marmont-mini-shoulder-bag-p-446744DTDFV1000</t>
        </is>
      </c>
      <c r="M387" s="5">
        <f t="array" ref="M387">_xlfn.IFS(J387="NOTFOUND",I387,J387&gt;=I387,J387)</f>
        <v/>
      </c>
    </row>
    <row r="388" ht="18" customHeight="1" s="16">
      <c r="A388" s="5" t="n">
        <v>387</v>
      </c>
      <c r="B388" s="5" t="inlineStr">
        <is>
          <t>GU-2639</t>
        </is>
      </c>
      <c r="D388" s="5" t="inlineStr">
        <is>
          <t>GGマーモント スモール ショルダーバッグ</t>
        </is>
      </c>
      <c r="E388" s="5" t="inlineStr">
        <is>
          <t>443497 DTDFV 1000</t>
        </is>
      </c>
      <c r="F388" s="5" t="inlineStr">
        <is>
          <t>ブラック レザー</t>
        </is>
      </c>
      <c r="G388" s="10" t="inlineStr">
        <is>
          <t>OneSize</t>
        </is>
      </c>
      <c r="H388" s="17" t="inlineStr">
        <is>
          <t>OneSize</t>
        </is>
      </c>
      <c r="I388" s="18" t="n">
        <v>324500</v>
      </c>
      <c r="J388" s="19" t="n">
        <v>379500</v>
      </c>
      <c r="K388" s="20" t="n">
        <v>5</v>
      </c>
      <c r="L388" s="4" t="inlineStr">
        <is>
          <t>https://www.gucci.com/jp/ja/pr/women/handbags/shoulder-bags-for-women/chain-bags-for-women/gg-marmont-small-shoulder-bag-p-443497DTDFV1000</t>
        </is>
      </c>
      <c r="M388" s="5">
        <f t="array" ref="M388">_xlfn.IFS(J388="NOTFOUND",I388,J388&gt;=I388,J388)</f>
        <v/>
      </c>
    </row>
    <row r="389" ht="18" customHeight="1" s="16">
      <c r="A389" s="5" t="n">
        <v>388</v>
      </c>
      <c r="B389" s="5" t="inlineStr">
        <is>
          <t>GU-2640</t>
        </is>
      </c>
      <c r="D389" s="5" t="inlineStr">
        <is>
          <t>GGマーモント スーパーミニバッグ</t>
        </is>
      </c>
      <c r="E389" s="5" t="inlineStr">
        <is>
          <t>476433 AABZK 9022</t>
        </is>
      </c>
      <c r="F389" s="5" t="inlineStr">
        <is>
          <t>ホワイト レザー</t>
        </is>
      </c>
      <c r="G389" s="11" t="inlineStr">
        <is>
          <t>SOLD</t>
        </is>
      </c>
      <c r="H389" s="22" t="inlineStr">
        <is>
          <t>SOLD</t>
        </is>
      </c>
      <c r="I389" s="18" t="n">
        <v>176000</v>
      </c>
      <c r="J389" s="23" t="inlineStr">
        <is>
          <t>NOTFOUND</t>
        </is>
      </c>
      <c r="K389" s="20" t="n">
        <v>0</v>
      </c>
      <c r="L389" s="4" t="inlineStr">
        <is>
          <t>https://www.gucci.com/jp/ja/pr/women/handbags/mini-bags-for-women/gg-marmont-super-mini-bag-p-476433AABZK9022</t>
        </is>
      </c>
      <c r="M389" s="5">
        <f t="array" ref="M389">_xlfn.IFS(J389="NOTFOUND",I389,J389&gt;=I389,J389)</f>
        <v/>
      </c>
    </row>
    <row r="390" ht="18" customHeight="1" s="16">
      <c r="A390" s="5" t="n">
        <v>389</v>
      </c>
      <c r="B390" s="5" t="inlineStr">
        <is>
          <t>GU-2641</t>
        </is>
      </c>
      <c r="D390" s="5" t="inlineStr">
        <is>
          <t>GGマーモント スーパーミニバッグ</t>
        </is>
      </c>
      <c r="E390" s="5" t="inlineStr">
        <is>
          <t>476433 AABZK 1000</t>
        </is>
      </c>
      <c r="F390" s="5" t="inlineStr">
        <is>
          <t>ブラック レザー</t>
        </is>
      </c>
      <c r="G390" s="11" t="inlineStr">
        <is>
          <t>SOLD</t>
        </is>
      </c>
      <c r="H390" s="22" t="inlineStr">
        <is>
          <t>SOLD</t>
        </is>
      </c>
      <c r="I390" s="18" t="n">
        <v>176000</v>
      </c>
      <c r="J390" s="23" t="inlineStr">
        <is>
          <t>NOTFOUND</t>
        </is>
      </c>
      <c r="K390" s="20" t="n">
        <v>0</v>
      </c>
      <c r="L390" s="4" t="inlineStr">
        <is>
          <t>https://www.gucci.com/jp/ja/pr/women/handbags/mini-bags-for-women/gg-marmont-super-mini-bag-p-476433AABZK1000</t>
        </is>
      </c>
      <c r="M390" s="5">
        <f t="array" ref="M390">_xlfn.IFS(J390="NOTFOUND",I390,J390&gt;=I390,J390)</f>
        <v/>
      </c>
    </row>
    <row r="391" ht="18" customHeight="1" s="16">
      <c r="A391" s="5" t="n">
        <v>390</v>
      </c>
      <c r="B391" s="5" t="inlineStr">
        <is>
          <t>GU-2642</t>
        </is>
      </c>
      <c r="D391" s="5" t="inlineStr">
        <is>
          <t>ジャッキー 1961 スモール トートバッグ</t>
        </is>
      </c>
      <c r="E391" s="5" t="inlineStr">
        <is>
          <t>772126 HUHHG 8565</t>
        </is>
      </c>
      <c r="F391" s="5" t="inlineStr">
        <is>
          <t xml:space="preserve">  -</t>
        </is>
      </c>
      <c r="G391" s="11" t="inlineStr">
        <is>
          <t>SOLD</t>
        </is>
      </c>
      <c r="H391" s="22" t="inlineStr">
        <is>
          <t>SOLD</t>
        </is>
      </c>
      <c r="I391" s="18" t="n">
        <v>346500</v>
      </c>
      <c r="J391" s="23" t="inlineStr">
        <is>
          <t>NOTFOUND</t>
        </is>
      </c>
      <c r="K391" s="20" t="n">
        <v>0</v>
      </c>
      <c r="L391" s="4" t="inlineStr">
        <is>
          <t>https://www.gucci.com/jp/ja/pr/women/handbags/shoulder-bags-for-women/small-tote-with-piston-closure-p-772126HUHHG8565</t>
        </is>
      </c>
      <c r="M391" s="5">
        <f t="array" ref="M391">_xlfn.IFS(J391="NOTFOUND",I391,J391&gt;=I391,J391)</f>
        <v/>
      </c>
    </row>
    <row r="392" ht="18" customHeight="1" s="16">
      <c r="A392" s="5" t="n">
        <v>391</v>
      </c>
      <c r="B392" s="5" t="inlineStr">
        <is>
          <t>GU-2643</t>
        </is>
      </c>
      <c r="D392" s="5" t="inlineStr">
        <is>
          <t>ジャッキー 1961 ラージ ショルダーバッグ</t>
        </is>
      </c>
      <c r="E392" s="5" t="inlineStr">
        <is>
          <t>764202 AACUT 1000</t>
        </is>
      </c>
      <c r="F392" s="5" t="inlineStr">
        <is>
          <t>ブラック カーフヘアー</t>
        </is>
      </c>
      <c r="G392" s="11" t="inlineStr">
        <is>
          <t>SOLD</t>
        </is>
      </c>
      <c r="H392" s="22" t="inlineStr">
        <is>
          <t>SOLD</t>
        </is>
      </c>
      <c r="I392" s="18" t="n">
        <v>836000</v>
      </c>
      <c r="J392" s="23" t="inlineStr">
        <is>
          <t>NOTFOUND</t>
        </is>
      </c>
      <c r="K392" s="20" t="n">
        <v>0</v>
      </c>
      <c r="L392" s="4" t="inlineStr">
        <is>
          <t>https://www.gucci.com/jp/ja/pr/women/handbags/shoulder-bags-for-women/half-moon-bags-for-women/jackie-1961-large-shoulder-bag-p-764202AACUT1000</t>
        </is>
      </c>
      <c r="M392" s="5">
        <f t="array" ref="M392">_xlfn.IFS(J392="NOTFOUND",I392,J392&gt;=I392,J392)</f>
        <v/>
      </c>
    </row>
    <row r="393" ht="18" customHeight="1" s="16">
      <c r="A393" s="5" t="n">
        <v>392</v>
      </c>
      <c r="B393" s="5" t="inlineStr">
        <is>
          <t>GU-2644</t>
        </is>
      </c>
      <c r="D393" s="5" t="inlineStr">
        <is>
          <t>ジャッキー 1961 ミディアム トートバッグ</t>
        </is>
      </c>
      <c r="E393" s="5" t="inlineStr">
        <is>
          <t>649016 HUHHG 8565</t>
        </is>
      </c>
      <c r="F393" s="5" t="inlineStr">
        <is>
          <t xml:space="preserve">  -</t>
        </is>
      </c>
      <c r="G393" s="10" t="inlineStr">
        <is>
          <t>OneSize</t>
        </is>
      </c>
      <c r="H393" s="17" t="inlineStr">
        <is>
          <t>OneSize</t>
        </is>
      </c>
      <c r="I393" s="18" t="n">
        <v>385000</v>
      </c>
      <c r="J393" s="19" t="n">
        <v>385000</v>
      </c>
      <c r="K393" s="20" t="n">
        <v>5</v>
      </c>
      <c r="L393" s="4" t="inlineStr">
        <is>
          <t>https://www.gucci.com/jp/ja/pr/women/handbags/tote-bags-for-women/medium-tote-with-piston-closure-p-649016HUHHG8565</t>
        </is>
      </c>
      <c r="M393" s="5">
        <f t="array" ref="M393">_xlfn.IFS(J393="NOTFOUND",I393,J393&gt;=I393,J393)</f>
        <v/>
      </c>
    </row>
    <row r="394" ht="18" customHeight="1" s="16">
      <c r="A394" s="5" t="n">
        <v>393</v>
      </c>
      <c r="B394" s="5" t="inlineStr">
        <is>
          <t>GU-2645</t>
        </is>
      </c>
      <c r="D394" s="5" t="inlineStr">
        <is>
          <t>ジャッキー 1961 ミニ バッグ</t>
        </is>
      </c>
      <c r="E394" s="5" t="inlineStr">
        <is>
          <t>637092 HUHHG 8565</t>
        </is>
      </c>
      <c r="F394" s="5" t="inlineStr">
        <is>
          <t xml:space="preserve">  -</t>
        </is>
      </c>
      <c r="G394" s="10" t="inlineStr">
        <is>
          <t>OneSize</t>
        </is>
      </c>
      <c r="H394" s="17" t="inlineStr">
        <is>
          <t>OneSize</t>
        </is>
      </c>
      <c r="I394" s="18" t="n">
        <v>280500</v>
      </c>
      <c r="J394" s="19" t="n">
        <v>363000</v>
      </c>
      <c r="K394" s="20" t="n">
        <v>5</v>
      </c>
      <c r="L394" s="4" t="inlineStr">
        <is>
          <t>https://www.gucci.com/jp/ja/pr/women/handbags/mini-bags-for-women/jackie-1961-mini-shoulder-bag-p-637092HUHHG8565</t>
        </is>
      </c>
      <c r="M394" s="5">
        <f t="array" ref="M394">_xlfn.IFS(J394="NOTFOUND",I394,J394&gt;=I394,J394)</f>
        <v/>
      </c>
    </row>
    <row r="395" ht="18" customHeight="1" s="16">
      <c r="A395" s="5" t="n">
        <v>394</v>
      </c>
      <c r="B395" s="5" t="inlineStr">
        <is>
          <t>GU-2646</t>
        </is>
      </c>
      <c r="D395" s="5" t="inlineStr">
        <is>
          <t>ジャッキー 1961 ミニ バッグ</t>
        </is>
      </c>
      <c r="E395" s="5" t="inlineStr">
        <is>
          <t>637091 10O0G 9022</t>
        </is>
      </c>
      <c r="F395" s="5" t="inlineStr">
        <is>
          <t>ホワイト レザー</t>
        </is>
      </c>
      <c r="G395" s="11" t="inlineStr">
        <is>
          <t>SOLD</t>
        </is>
      </c>
      <c r="H395" s="22" t="inlineStr">
        <is>
          <t>SOLD</t>
        </is>
      </c>
      <c r="I395" s="18" t="n">
        <v>319000</v>
      </c>
      <c r="J395" s="23" t="inlineStr">
        <is>
          <t>NOTFOUND</t>
        </is>
      </c>
      <c r="K395" s="20" t="n">
        <v>0</v>
      </c>
      <c r="L395" s="4" t="inlineStr">
        <is>
          <t>https://www.gucci.com/jp/ja/pr/women/handbags/mini-bags-for-women/jackie-1961-mini-shoulder-bag-p-63709110O0G9022</t>
        </is>
      </c>
      <c r="M395" s="5">
        <f t="array" ref="M395">_xlfn.IFS(J395="NOTFOUND",I395,J395&gt;=I395,J395)</f>
        <v/>
      </c>
    </row>
    <row r="396" ht="18" customHeight="1" s="16">
      <c r="A396" s="5" t="n">
        <v>395</v>
      </c>
      <c r="B396" s="5" t="inlineStr">
        <is>
          <t>GU-2647</t>
        </is>
      </c>
      <c r="D396" s="5" t="inlineStr">
        <is>
          <t>ジャッキー 1961 ミニ バッグ</t>
        </is>
      </c>
      <c r="E396" s="5" t="inlineStr">
        <is>
          <t>637091 10O0G 5815</t>
        </is>
      </c>
      <c r="F396" s="5" t="inlineStr">
        <is>
          <t>ライトピンク レザー</t>
        </is>
      </c>
      <c r="G396" s="11" t="inlineStr">
        <is>
          <t>SOLD</t>
        </is>
      </c>
      <c r="H396" s="22" t="inlineStr">
        <is>
          <t>SOLD</t>
        </is>
      </c>
      <c r="I396" s="18" t="n">
        <v>319000</v>
      </c>
      <c r="J396" s="23" t="inlineStr">
        <is>
          <t>NOTFOUND</t>
        </is>
      </c>
      <c r="K396" s="20" t="n">
        <v>0</v>
      </c>
      <c r="L396" s="4" t="inlineStr">
        <is>
          <t>https://www.gucci.com/jp/ja/pr/women/handbags/mini-bags-for-women/jackie-1961-mini-shoulder-bag-p-63709110O0G5815</t>
        </is>
      </c>
      <c r="M396" s="5">
        <f t="array" ref="M396">_xlfn.IFS(J396="NOTFOUND",I396,J396&gt;=I396,J396)</f>
        <v/>
      </c>
    </row>
    <row r="397" ht="18" customHeight="1" s="16">
      <c r="A397" s="5" t="n">
        <v>396</v>
      </c>
      <c r="B397" s="5" t="inlineStr">
        <is>
          <t>GU-2648</t>
        </is>
      </c>
      <c r="D397" s="5" t="inlineStr">
        <is>
          <t>ジャッキー 1961 ミニ バッグ</t>
        </is>
      </c>
      <c r="E397" s="5" t="inlineStr">
        <is>
          <t>637091 10O0G 6638</t>
        </is>
      </c>
      <c r="F397" s="5" t="inlineStr">
        <is>
          <t>レッド レザー</t>
        </is>
      </c>
      <c r="G397" s="11" t="inlineStr">
        <is>
          <t>SOLD</t>
        </is>
      </c>
      <c r="H397" s="22" t="inlineStr">
        <is>
          <t>SOLD</t>
        </is>
      </c>
      <c r="I397" s="18" t="n">
        <v>319000</v>
      </c>
      <c r="J397" s="23" t="inlineStr">
        <is>
          <t>NOTFOUND</t>
        </is>
      </c>
      <c r="K397" s="20" t="n">
        <v>0</v>
      </c>
      <c r="L397" s="4" t="inlineStr">
        <is>
          <t>https://www.gucci.com/jp/ja/pr/women/handbags/mini-bags-for-women/jackie-1961-mini-shoulder-bag-p-63709110O0G6638</t>
        </is>
      </c>
      <c r="M397" s="5">
        <f t="array" ref="M397">_xlfn.IFS(J397="NOTFOUND",I397,J397&gt;=I397,J397)</f>
        <v/>
      </c>
    </row>
    <row r="398" ht="18" customHeight="1" s="16">
      <c r="A398" s="5" t="n">
        <v>397</v>
      </c>
      <c r="B398" s="5" t="inlineStr">
        <is>
          <t>GU-2649</t>
        </is>
      </c>
      <c r="D398" s="5" t="inlineStr">
        <is>
          <t>ジャッキー 1961 ミニ バッグ</t>
        </is>
      </c>
      <c r="E398" s="5" t="inlineStr">
        <is>
          <t>637091 10O0G 3120</t>
        </is>
      </c>
      <c r="F398" s="5" t="inlineStr">
        <is>
          <t>エメラルドグリーン レザー</t>
        </is>
      </c>
      <c r="G398" s="11" t="inlineStr">
        <is>
          <t>SOLD</t>
        </is>
      </c>
      <c r="H398" s="22" t="inlineStr">
        <is>
          <t>SOLD</t>
        </is>
      </c>
      <c r="I398" s="18" t="n">
        <v>319000</v>
      </c>
      <c r="J398" s="23" t="inlineStr">
        <is>
          <t>NOTFOUND</t>
        </is>
      </c>
      <c r="K398" s="20" t="n">
        <v>0</v>
      </c>
      <c r="L398" s="4" t="inlineStr">
        <is>
          <t>https://www.gucci.com/jp/ja/pr/women/handbags/mini-bags-for-women/jackie-1961-mini-shoulder-bag-p-63709110O0G3120</t>
        </is>
      </c>
      <c r="M398" s="5">
        <f t="array" ref="M398">_xlfn.IFS(J398="NOTFOUND",I398,J398&gt;=I398,J398)</f>
        <v/>
      </c>
    </row>
    <row r="399" ht="18" customHeight="1" s="16">
      <c r="A399" s="5" t="n">
        <v>398</v>
      </c>
      <c r="B399" s="5" t="inlineStr">
        <is>
          <t>GU-2650</t>
        </is>
      </c>
      <c r="D399" s="5" t="inlineStr">
        <is>
          <t>ジャッキー 1961 ミニ バッグ</t>
        </is>
      </c>
      <c r="E399" s="5" t="inlineStr">
        <is>
          <t>637091 10O0G 4933</t>
        </is>
      </c>
      <c r="F399" s="5" t="inlineStr">
        <is>
          <t>ライトブルー レザー</t>
        </is>
      </c>
      <c r="G399" s="11" t="inlineStr">
        <is>
          <t>SOLD</t>
        </is>
      </c>
      <c r="H399" s="22" t="inlineStr">
        <is>
          <t>SOLD</t>
        </is>
      </c>
      <c r="I399" s="18" t="n">
        <v>319000</v>
      </c>
      <c r="J399" s="23" t="inlineStr">
        <is>
          <t>NOTFOUND</t>
        </is>
      </c>
      <c r="K399" s="20" t="n">
        <v>0</v>
      </c>
      <c r="L399" s="4" t="inlineStr">
        <is>
          <t>https://www.gucci.com/jp/ja/pr/women/handbags/mini-bags-for-women/jackie-1961-mini-shoulder-bag-p-63709110O0G4933</t>
        </is>
      </c>
      <c r="M399" s="5">
        <f t="array" ref="M399">_xlfn.IFS(J399="NOTFOUND",I399,J399&gt;=I399,J399)</f>
        <v/>
      </c>
    </row>
    <row r="400" ht="18" customHeight="1" s="16">
      <c r="A400" s="5" t="n">
        <v>399</v>
      </c>
      <c r="B400" s="5" t="inlineStr">
        <is>
          <t>GU-2651</t>
        </is>
      </c>
      <c r="D400" s="5" t="inlineStr">
        <is>
          <t>ジャッキー 1961 ミニ バッグ</t>
        </is>
      </c>
      <c r="E400" s="5" t="inlineStr">
        <is>
          <t>637091 10O0G 1000</t>
        </is>
      </c>
      <c r="F400" s="5" t="inlineStr">
        <is>
          <t>ブラック レザー</t>
        </is>
      </c>
      <c r="G400" s="11" t="inlineStr">
        <is>
          <t>SOLD</t>
        </is>
      </c>
      <c r="H400" s="22" t="inlineStr">
        <is>
          <t>SOLD</t>
        </is>
      </c>
      <c r="I400" s="18" t="n">
        <v>319000</v>
      </c>
      <c r="J400" s="23" t="inlineStr">
        <is>
          <t>NOTFOUND</t>
        </is>
      </c>
      <c r="K400" s="20" t="n">
        <v>0</v>
      </c>
      <c r="L400" s="4" t="inlineStr">
        <is>
          <t>https://www.gucci.com/jp/ja/pr/women/handbags/mini-bags-for-women/jackie-1961-mini-shoulder-bag-p-63709110O0G1000</t>
        </is>
      </c>
      <c r="M400" s="5">
        <f t="array" ref="M400">_xlfn.IFS(J400="NOTFOUND",I400,J400&gt;=I400,J400)</f>
        <v/>
      </c>
    </row>
    <row r="401" ht="18" customHeight="1" s="16">
      <c r="A401" s="5" t="n">
        <v>400</v>
      </c>
      <c r="B401" s="5" t="inlineStr">
        <is>
          <t>GU-2652</t>
        </is>
      </c>
      <c r="D401" s="5" t="inlineStr">
        <is>
          <t>ジャッキー 1961 スモール ショルダーバッグ</t>
        </is>
      </c>
      <c r="E401" s="5" t="inlineStr">
        <is>
          <t>636709 10O0G 9022</t>
        </is>
      </c>
      <c r="F401" s="5" t="inlineStr">
        <is>
          <t>ホワイト レザー</t>
        </is>
      </c>
      <c r="G401" s="11" t="inlineStr">
        <is>
          <t>SOLD</t>
        </is>
      </c>
      <c r="H401" s="22" t="inlineStr">
        <is>
          <t>SOLD</t>
        </is>
      </c>
      <c r="I401" s="18" t="n">
        <v>407000</v>
      </c>
      <c r="J401" s="23" t="inlineStr">
        <is>
          <t>NOTFOUND</t>
        </is>
      </c>
      <c r="K401" s="20" t="n">
        <v>0</v>
      </c>
      <c r="L401" s="4" t="inlineStr">
        <is>
          <t>https://www.gucci.com/jp/ja/pr/women/handbags/new-this-season/jackie-1961-small-shoulder-bag-p-63670910O0G9022</t>
        </is>
      </c>
      <c r="M401" s="5">
        <f t="array" ref="M401">_xlfn.IFS(J401="NOTFOUND",I401,J401&gt;=I401,J401)</f>
        <v/>
      </c>
    </row>
    <row r="402" ht="18" customHeight="1" s="16">
      <c r="A402" s="5" t="n">
        <v>401</v>
      </c>
      <c r="B402" s="5" t="inlineStr">
        <is>
          <t>GU-2653</t>
        </is>
      </c>
      <c r="D402" s="5" t="inlineStr">
        <is>
          <t>ジャッキー 1961 スモール ショルダーバッグ</t>
        </is>
      </c>
      <c r="E402" s="5" t="inlineStr">
        <is>
          <t>636709 10O0G 5815</t>
        </is>
      </c>
      <c r="F402" s="5" t="inlineStr">
        <is>
          <t>ライトピンク レザー</t>
        </is>
      </c>
      <c r="G402" s="11" t="inlineStr">
        <is>
          <t>SOLD</t>
        </is>
      </c>
      <c r="H402" s="22" t="inlineStr">
        <is>
          <t>SOLD</t>
        </is>
      </c>
      <c r="I402" s="18" t="n">
        <v>407000</v>
      </c>
      <c r="J402" s="23" t="inlineStr">
        <is>
          <t>NOTFOUND</t>
        </is>
      </c>
      <c r="K402" s="20" t="n">
        <v>0</v>
      </c>
      <c r="L402" s="4" t="inlineStr">
        <is>
          <t>https://www.gucci.com/jp/ja/pr/women/handbags/shoulder-bags-for-women/half-moon-bags-for-women/jackie-1961-small-shoulder-bag-p-63670910O0G5815</t>
        </is>
      </c>
      <c r="M402" s="5">
        <f t="array" ref="M402">_xlfn.IFS(J402="NOTFOUND",I402,J402&gt;=I402,J402)</f>
        <v/>
      </c>
    </row>
    <row r="403" ht="18" customHeight="1" s="16">
      <c r="A403" s="5" t="n">
        <v>402</v>
      </c>
      <c r="B403" s="5" t="inlineStr">
        <is>
          <t>GU-2654</t>
        </is>
      </c>
      <c r="D403" s="5" t="inlineStr">
        <is>
          <t>ジャッキー 1961 スモール ショルダーバッグ</t>
        </is>
      </c>
      <c r="E403" s="5" t="inlineStr">
        <is>
          <t>636709 10O0G 3803</t>
        </is>
      </c>
      <c r="F403" s="5" t="inlineStr">
        <is>
          <t>ライトグリーン レザー</t>
        </is>
      </c>
      <c r="G403" s="11" t="inlineStr">
        <is>
          <t>SOLD</t>
        </is>
      </c>
      <c r="H403" s="22" t="inlineStr">
        <is>
          <t>SOLD</t>
        </is>
      </c>
      <c r="I403" s="18" t="n">
        <v>407000</v>
      </c>
      <c r="J403" s="23" t="inlineStr">
        <is>
          <t>NOTFOUND</t>
        </is>
      </c>
      <c r="K403" s="20" t="n">
        <v>0</v>
      </c>
      <c r="L403" s="4" t="inlineStr">
        <is>
          <t>https://www.gucci.com/jp/ja/pr/women/handbags/shoulder-bags-for-women/half-moon-bags-for-women/jackie-1961-small-shoulder-bag-p-63670910O0G3803</t>
        </is>
      </c>
      <c r="M403" s="5">
        <f t="array" ref="M403">_xlfn.IFS(J403="NOTFOUND",I403,J403&gt;=I403,J403)</f>
        <v/>
      </c>
    </row>
    <row r="404" ht="18" customHeight="1" s="16">
      <c r="A404" s="5" t="n">
        <v>403</v>
      </c>
      <c r="B404" s="5" t="inlineStr">
        <is>
          <t>GU-2655</t>
        </is>
      </c>
      <c r="D404" s="5" t="inlineStr">
        <is>
          <t>ジャッキー 1961 ナチュラルグレイン スモール バッグ</t>
        </is>
      </c>
      <c r="E404" s="5" t="inlineStr">
        <is>
          <t>636709 AZB0G 3120</t>
        </is>
      </c>
      <c r="F404" s="5" t="inlineStr">
        <is>
          <t>エメラルドグリーン レザー</t>
        </is>
      </c>
      <c r="G404" s="11" t="inlineStr">
        <is>
          <t>SOLD</t>
        </is>
      </c>
      <c r="H404" s="22" t="inlineStr">
        <is>
          <t>SOLD</t>
        </is>
      </c>
      <c r="I404" s="18" t="n">
        <v>445500</v>
      </c>
      <c r="J404" s="23" t="inlineStr">
        <is>
          <t>NOTFOUND</t>
        </is>
      </c>
      <c r="K404" s="20" t="n">
        <v>0</v>
      </c>
      <c r="L404" s="4" t="inlineStr">
        <is>
          <t>https://www.gucci.com/jp/ja/pr/women/handbags/shoulder-bags-for-women/half-moon-bags-for-women/jackie-1961-small-natural-grain-bag-p-636709AZB0G3120</t>
        </is>
      </c>
      <c r="M404" s="5">
        <f t="array" ref="M404">_xlfn.IFS(J404="NOTFOUND",I404,J404&gt;=I404,J404)</f>
        <v/>
      </c>
    </row>
    <row r="405" ht="18" customHeight="1" s="16">
      <c r="A405" s="5" t="n">
        <v>404</v>
      </c>
      <c r="B405" s="5" t="inlineStr">
        <is>
          <t>GU-2656</t>
        </is>
      </c>
      <c r="D405" s="5" t="inlineStr">
        <is>
          <t>ジャッキー 1961 スモール ショルダーバッグ</t>
        </is>
      </c>
      <c r="E405" s="5" t="inlineStr">
        <is>
          <t>636706 HUHHG 8565</t>
        </is>
      </c>
      <c r="F405" s="5" t="inlineStr">
        <is>
          <t xml:space="preserve">  -</t>
        </is>
      </c>
      <c r="G405" s="10" t="inlineStr">
        <is>
          <t>OneSize</t>
        </is>
      </c>
      <c r="H405" s="17" t="inlineStr">
        <is>
          <t>OneSize</t>
        </is>
      </c>
      <c r="I405" s="18" t="n">
        <v>363000</v>
      </c>
      <c r="J405" s="19" t="n">
        <v>462000</v>
      </c>
      <c r="K405" s="20" t="n">
        <v>5</v>
      </c>
      <c r="L405" s="4" t="inlineStr">
        <is>
          <t>https://www.gucci.com/jp/ja/pr/women/handbags/new-this-season/jackie-1961-small-shoulder-bag-p-636706HUHHG8565</t>
        </is>
      </c>
      <c r="M405" s="5">
        <f t="array" ref="M405">_xlfn.IFS(J405="NOTFOUND",I405,J405&gt;=I405,J405)</f>
        <v/>
      </c>
    </row>
    <row r="406" ht="18" customHeight="1" s="16">
      <c r="A406" s="5" t="n">
        <v>405</v>
      </c>
      <c r="B406" s="5" t="inlineStr">
        <is>
          <t>GU-2657</t>
        </is>
      </c>
      <c r="D406" s="5" t="inlineStr">
        <is>
          <t>GGマーモント スモール ショルダーバッグ</t>
        </is>
      </c>
      <c r="E406" s="5" t="inlineStr">
        <is>
          <t>447632 UM8BN 1000</t>
        </is>
      </c>
      <c r="F406" s="5" t="inlineStr">
        <is>
          <t>ブラック レザー</t>
        </is>
      </c>
      <c r="G406" s="11" t="inlineStr">
        <is>
          <t>SOLD</t>
        </is>
      </c>
      <c r="H406" s="22" t="inlineStr">
        <is>
          <t>SOLD</t>
        </is>
      </c>
      <c r="I406" s="18" t="n">
        <v>227700</v>
      </c>
      <c r="J406" s="23" t="inlineStr">
        <is>
          <t>NOTFOUND</t>
        </is>
      </c>
      <c r="K406" s="20" t="n">
        <v>0</v>
      </c>
      <c r="L406" s="4" t="inlineStr">
        <is>
          <t>https://www.gucci.com/jp/ja/pr/women/handbags/crossbody-bags-for-women/gg-marmont-small-shoulder-bag-p-447632UM8BN1000</t>
        </is>
      </c>
      <c r="M406" s="5">
        <f t="array" ref="M406">_xlfn.IFS(J406="NOTFOUND",I406,J406&gt;=I406,J406)</f>
        <v/>
      </c>
    </row>
    <row r="407" ht="18" customHeight="1" s="16">
      <c r="A407" s="5" t="n">
        <v>406</v>
      </c>
      <c r="B407" s="5" t="inlineStr">
        <is>
          <t>GU-2658</t>
        </is>
      </c>
      <c r="D407" s="5" t="inlineStr">
        <is>
          <t>GGマーモント スモール ショルダーバッグ</t>
        </is>
      </c>
      <c r="E407" s="5" t="inlineStr">
        <is>
          <t>443497 UM8AN 1000</t>
        </is>
      </c>
      <c r="F407" s="5" t="inlineStr">
        <is>
          <t>ブラック</t>
        </is>
      </c>
      <c r="G407" s="11" t="inlineStr">
        <is>
          <t>SOLD</t>
        </is>
      </c>
      <c r="H407" s="22" t="inlineStr">
        <is>
          <t>SOLD</t>
        </is>
      </c>
      <c r="I407" s="18" t="n">
        <v>324500</v>
      </c>
      <c r="J407" s="23" t="inlineStr">
        <is>
          <t>NOTFOUND</t>
        </is>
      </c>
      <c r="K407" s="20" t="n">
        <v>0</v>
      </c>
      <c r="L407" s="4" t="inlineStr">
        <is>
          <t>https://www.gucci.com/jp/ja/pr/women/handbags/shoulder-bags-for-women/chain-bags-for-women/gg-marmont-small-shoulder-bag-p-443497UM8AN1000</t>
        </is>
      </c>
      <c r="M407" s="5">
        <f t="array" ref="M407">_xlfn.IFS(J407="NOTFOUND",I407,J407&gt;=I407,J407)</f>
        <v/>
      </c>
    </row>
    <row r="408" ht="18" customHeight="1" s="16">
      <c r="A408" s="5" t="n">
        <v>407</v>
      </c>
      <c r="B408" s="5" t="inlineStr">
        <is>
          <t>GU-2659</t>
        </is>
      </c>
      <c r="D408" s="5" t="inlineStr">
        <is>
          <t>ジャンボGG スモール ベルトバッグ</t>
        </is>
      </c>
      <c r="E408" s="5" t="inlineStr">
        <is>
          <t>658582 AABY7 1000</t>
        </is>
      </c>
      <c r="F408" s="5" t="inlineStr">
        <is>
          <t xml:space="preserve">  -</t>
        </is>
      </c>
      <c r="G408" s="10" t="inlineStr">
        <is>
          <t>80_90</t>
        </is>
      </c>
      <c r="H408" s="17" t="inlineStr">
        <is>
          <t>80_90</t>
        </is>
      </c>
      <c r="I408" s="18" t="n">
        <v>159500</v>
      </c>
      <c r="J408" s="19" t="n">
        <v>211200</v>
      </c>
      <c r="K408" s="20" t="n">
        <v>5</v>
      </c>
      <c r="L408" s="4" t="inlineStr">
        <is>
          <t>https://www.gucci.com/jp/ja/pr/men/bags-for-men/belt-bags-slingbag-for-men/jumbo-gg-small-belt-bag-p-658582AABY71000</t>
        </is>
      </c>
      <c r="M408" s="5">
        <f t="array" ref="M408">_xlfn.IFS(J408="NOTFOUND",I408,J408&gt;=I408,J408)</f>
        <v/>
      </c>
    </row>
    <row r="409" ht="18" customHeight="1" s="16">
      <c r="A409" s="5" t="n">
        <v>408</v>
      </c>
      <c r="B409" s="5" t="inlineStr">
        <is>
          <t>GU-2660</t>
        </is>
      </c>
      <c r="D409" s="5" t="inlineStr">
        <is>
          <t>ホースビット 1955 スモール ショルダーバッグ</t>
        </is>
      </c>
      <c r="E409" s="5" t="inlineStr">
        <is>
          <t>726226 AABE1 1060</t>
        </is>
      </c>
      <c r="F409" s="5" t="inlineStr">
        <is>
          <t xml:space="preserve">  -</t>
        </is>
      </c>
      <c r="G409" s="11" t="inlineStr">
        <is>
          <t>SOLD</t>
        </is>
      </c>
      <c r="H409" s="22" t="inlineStr">
        <is>
          <t>SOLD</t>
        </is>
      </c>
      <c r="I409" s="18" t="n">
        <v>473000</v>
      </c>
      <c r="J409" s="23" t="inlineStr">
        <is>
          <t>NOTFOUND</t>
        </is>
      </c>
      <c r="K409" s="20" t="n">
        <v>0</v>
      </c>
      <c r="L409" s="4" t="inlineStr">
        <is>
          <t>https://www.gucci.com/jp/ja/pr/women/handbags/shoulder-bags-for-women/gucci-horsebit-1955-small-shoulder-bag-p-726226AABE11060</t>
        </is>
      </c>
      <c r="M409" s="5">
        <f t="array" ref="M409">_xlfn.IFS(J409="NOTFOUND",I409,J409&gt;=I409,J409)</f>
        <v/>
      </c>
    </row>
    <row r="410" ht="18" customHeight="1" s="16">
      <c r="A410" s="5" t="n">
        <v>409</v>
      </c>
      <c r="B410" s="5" t="inlineStr">
        <is>
          <t>GU-2661</t>
        </is>
      </c>
      <c r="D410" s="5" t="inlineStr">
        <is>
          <t>ホースビット 1955 スーパーミニ バッグ</t>
        </is>
      </c>
      <c r="E410" s="5" t="inlineStr">
        <is>
          <t>760253 1DB0J 5811</t>
        </is>
      </c>
      <c r="F410" s="5" t="inlineStr">
        <is>
          <t>ライトピンク レザー</t>
        </is>
      </c>
      <c r="G410" s="10" t="inlineStr">
        <is>
          <t>OneSize</t>
        </is>
      </c>
      <c r="H410" s="17" t="inlineStr">
        <is>
          <t>OneSize</t>
        </is>
      </c>
      <c r="I410" s="18" t="n">
        <v>249700</v>
      </c>
      <c r="J410" s="19" t="n">
        <v>249700</v>
      </c>
      <c r="K410" s="20" t="n">
        <v>5</v>
      </c>
      <c r="L410" s="4" t="inlineStr">
        <is>
          <t>https://www.gucci.com/jp/ja/pr/women/handbags/mini-bags-for-women/gucci-horsebit-1955-super-mini-bag-p-7602531DB0J5811</t>
        </is>
      </c>
      <c r="M410" s="5">
        <f t="array" ref="M410">_xlfn.IFS(J410="NOTFOUND",I410,J410&gt;=I410,J410)</f>
        <v/>
      </c>
    </row>
    <row r="411" ht="18" customHeight="1" s="16">
      <c r="A411" s="5" t="n">
        <v>410</v>
      </c>
      <c r="B411" s="5" t="inlineStr">
        <is>
          <t>GU-2662</t>
        </is>
      </c>
      <c r="D411" s="5" t="inlineStr">
        <is>
          <t>ホースビット 1955 スーパーミニ バッグ</t>
        </is>
      </c>
      <c r="E411" s="5" t="inlineStr">
        <is>
          <t>760253 1DB0J 4910</t>
        </is>
      </c>
      <c r="F411" s="5" t="inlineStr">
        <is>
          <t>ライトブルー レザー</t>
        </is>
      </c>
      <c r="G411" s="10" t="inlineStr">
        <is>
          <t>OneSize</t>
        </is>
      </c>
      <c r="H411" s="17" t="inlineStr">
        <is>
          <t>OneSize</t>
        </is>
      </c>
      <c r="I411" s="18" t="n">
        <v>249700</v>
      </c>
      <c r="J411" s="19" t="n">
        <v>249700</v>
      </c>
      <c r="K411" s="20" t="n">
        <v>5</v>
      </c>
      <c r="L411" s="4" t="inlineStr">
        <is>
          <t>https://www.gucci.com/jp/ja/pr/women/handbags/mini-bags-for-women/gucci-horsebit-1955-super-mini-bag-p-7602531DB0J4910</t>
        </is>
      </c>
      <c r="M411" s="5">
        <f t="array" ref="M411">_xlfn.IFS(J411="NOTFOUND",I411,J411&gt;=I411,J411)</f>
        <v/>
      </c>
    </row>
    <row r="412" ht="18" customHeight="1" s="16">
      <c r="A412" s="5" t="n">
        <v>411</v>
      </c>
      <c r="B412" s="5" t="inlineStr">
        <is>
          <t>GU-2663</t>
        </is>
      </c>
      <c r="D412" s="5" t="inlineStr">
        <is>
          <t>ホースビット 1955 スーパーミニ バッグ</t>
        </is>
      </c>
      <c r="E412" s="5" t="inlineStr">
        <is>
          <t>760253 1LD0G 4849</t>
        </is>
      </c>
      <c r="F412" s="5" t="inlineStr">
        <is>
          <t>メタリックライトブルー レザー</t>
        </is>
      </c>
      <c r="G412" s="10" t="inlineStr">
        <is>
          <t>OneSize</t>
        </is>
      </c>
      <c r="H412" s="17" t="inlineStr">
        <is>
          <t>OneSize</t>
        </is>
      </c>
      <c r="I412" s="18" t="n">
        <v>249700</v>
      </c>
      <c r="J412" s="19" t="n">
        <v>249700</v>
      </c>
      <c r="K412" s="20" t="n">
        <v>5</v>
      </c>
      <c r="L412" s="4" t="inlineStr">
        <is>
          <t>https://www.gucci.com/jp/ja/pr/women/handbags/mini-bags-for-women/gucci-horsebit-1955-super-mini-bag-p-7602531LD0G4849</t>
        </is>
      </c>
      <c r="M412" s="5">
        <f t="array" ref="M412">_xlfn.IFS(J412="NOTFOUND",I412,J412&gt;=I412,J412)</f>
        <v/>
      </c>
    </row>
    <row r="413" ht="18" customHeight="1" s="16">
      <c r="A413" s="5" t="n">
        <v>412</v>
      </c>
      <c r="B413" s="5" t="inlineStr">
        <is>
          <t>GU-2664</t>
        </is>
      </c>
      <c r="D413" s="5" t="inlineStr">
        <is>
          <t>ホースビット 1955 スーパーミニ バッグ</t>
        </is>
      </c>
      <c r="E413" s="5" t="inlineStr">
        <is>
          <t>760253 AAA7G 1000</t>
        </is>
      </c>
      <c r="F413" s="5" t="inlineStr">
        <is>
          <t>ブラック レザー</t>
        </is>
      </c>
      <c r="G413" s="10" t="inlineStr">
        <is>
          <t>OneSize</t>
        </is>
      </c>
      <c r="H413" s="17" t="inlineStr">
        <is>
          <t>OneSize</t>
        </is>
      </c>
      <c r="I413" s="18" t="n">
        <v>237600</v>
      </c>
      <c r="J413" s="19" t="n">
        <v>249700</v>
      </c>
      <c r="K413" s="20" t="n">
        <v>5</v>
      </c>
      <c r="L413" s="4" t="inlineStr">
        <is>
          <t>https://www.gucci.com/jp/ja/pr/women/handbags/mini-bags-for-women/gucci-horsebit-1955-super-mini-bag-p-760253AAA7G1000</t>
        </is>
      </c>
      <c r="M413" s="5">
        <f t="array" ref="M413">_xlfn.IFS(J413="NOTFOUND",I413,J413&gt;=I413,J413)</f>
        <v/>
      </c>
    </row>
    <row r="414" ht="18" customHeight="1" s="16">
      <c r="A414" s="5" t="n">
        <v>413</v>
      </c>
      <c r="B414" s="5" t="inlineStr">
        <is>
          <t>GU-2665</t>
        </is>
      </c>
      <c r="D414" s="5" t="inlineStr">
        <is>
          <t>ダイアナ スーパーミニ バッグ</t>
        </is>
      </c>
      <c r="E414" s="5" t="inlineStr">
        <is>
          <t>760251 1LD0G 8024</t>
        </is>
      </c>
      <c r="F414" s="5" t="inlineStr">
        <is>
          <t>メタリックゴールド レザー</t>
        </is>
      </c>
      <c r="G414" s="10" t="inlineStr">
        <is>
          <t>OneSize</t>
        </is>
      </c>
      <c r="H414" s="17" t="inlineStr">
        <is>
          <t>OneSize</t>
        </is>
      </c>
      <c r="I414" s="18" t="n">
        <v>249700</v>
      </c>
      <c r="J414" s="19" t="n">
        <v>249700</v>
      </c>
      <c r="K414" s="20" t="n">
        <v>5</v>
      </c>
      <c r="L414" s="4" t="inlineStr">
        <is>
          <t>https://www.gucci.com/jp/ja/pr/women/handbags/mini-bags-for-women/gucci-diana-super-mini-bag-p-7602511LD0G8024</t>
        </is>
      </c>
      <c r="M414" s="5">
        <f t="array" ref="M414">_xlfn.IFS(J414="NOTFOUND",I414,J414&gt;=I414,J414)</f>
        <v/>
      </c>
    </row>
    <row r="415" ht="18" customHeight="1" s="16">
      <c r="A415" s="5" t="n">
        <v>414</v>
      </c>
      <c r="B415" s="5" t="inlineStr">
        <is>
          <t>GU-2666</t>
        </is>
      </c>
      <c r="D415" s="5" t="inlineStr">
        <is>
          <t>ダイアナ スーパーミニ バッグ</t>
        </is>
      </c>
      <c r="E415" s="5" t="inlineStr">
        <is>
          <t>760251 DJ20G 1000</t>
        </is>
      </c>
      <c r="F415" s="5" t="inlineStr">
        <is>
          <t>ブラック レザー</t>
        </is>
      </c>
      <c r="G415" s="10" t="inlineStr">
        <is>
          <t>OneSize</t>
        </is>
      </c>
      <c r="H415" s="17" t="inlineStr">
        <is>
          <t>OneSize</t>
        </is>
      </c>
      <c r="I415" s="18" t="n">
        <v>237600</v>
      </c>
      <c r="J415" s="19" t="n">
        <v>249700</v>
      </c>
      <c r="K415" s="20" t="n">
        <v>5</v>
      </c>
      <c r="L415" s="4" t="inlineStr">
        <is>
          <t>https://www.gucci.com/jp/ja/pr/women/handbags/mini-bags-for-women/gucci-diana-super-mini-bag-p-760251DJ20G1000</t>
        </is>
      </c>
      <c r="M415" s="5">
        <f t="array" ref="M415">_xlfn.IFS(J415="NOTFOUND",I415,J415&gt;=I415,J415)</f>
        <v/>
      </c>
    </row>
    <row r="416" ht="18" customHeight="1" s="16">
      <c r="A416" s="5" t="n">
        <v>415</v>
      </c>
      <c r="B416" s="5" t="inlineStr">
        <is>
          <t>GU-2667</t>
        </is>
      </c>
      <c r="D416" s="5" t="inlineStr">
        <is>
          <t>ダイアナ スーパーミニ バッグ</t>
        </is>
      </c>
      <c r="E416" s="5" t="inlineStr">
        <is>
          <t>760251 DJ20K 5811</t>
        </is>
      </c>
      <c r="F416" s="5" t="inlineStr">
        <is>
          <t>ライトピンク レザー</t>
        </is>
      </c>
      <c r="G416" s="10" t="inlineStr">
        <is>
          <t>OneSize</t>
        </is>
      </c>
      <c r="H416" s="17" t="inlineStr">
        <is>
          <t>OneSize</t>
        </is>
      </c>
      <c r="I416" s="18" t="n">
        <v>249700</v>
      </c>
      <c r="J416" s="19" t="n">
        <v>249700</v>
      </c>
      <c r="K416" s="20" t="n">
        <v>5</v>
      </c>
      <c r="L416" s="4" t="inlineStr">
        <is>
          <t>https://www.gucci.com/jp/ja/pr/women/handbags/mini-bags-for-women/gucci-diana-super-mini-bag-p-760251DJ20K5811</t>
        </is>
      </c>
      <c r="M416" s="5">
        <f t="array" ref="M416">_xlfn.IFS(J416="NOTFOUND",I416,J416&gt;=I416,J416)</f>
        <v/>
      </c>
    </row>
    <row r="417" ht="18" customHeight="1" s="16">
      <c r="A417" s="5" t="n">
        <v>416</v>
      </c>
      <c r="B417" s="5" t="inlineStr">
        <is>
          <t>GU-2668</t>
        </is>
      </c>
      <c r="D417" s="5" t="inlineStr">
        <is>
          <t>ダイアナ スーパーミニ バッグ</t>
        </is>
      </c>
      <c r="E417" s="5" t="inlineStr">
        <is>
          <t>760251 DJ20K 4910</t>
        </is>
      </c>
      <c r="F417" s="5" t="inlineStr">
        <is>
          <t>ライトブルー レザー</t>
        </is>
      </c>
      <c r="G417" s="10" t="inlineStr">
        <is>
          <t>OneSize</t>
        </is>
      </c>
      <c r="H417" s="17" t="inlineStr">
        <is>
          <t>OneSize</t>
        </is>
      </c>
      <c r="I417" s="18" t="n">
        <v>249700</v>
      </c>
      <c r="J417" s="19" t="n">
        <v>249700</v>
      </c>
      <c r="K417" s="20" t="n">
        <v>5</v>
      </c>
      <c r="L417" s="4" t="inlineStr">
        <is>
          <t>https://www.gucci.com/jp/ja/pr/women/handbags/mini-bags-for-women/gucci-diana-super-mini-bag-p-760251DJ20K4910</t>
        </is>
      </c>
      <c r="M417" s="5">
        <f t="array" ref="M417">_xlfn.IFS(J417="NOTFOUND",I417,J417&gt;=I417,J417)</f>
        <v/>
      </c>
    </row>
    <row r="418" ht="18" customHeight="1" s="16">
      <c r="A418" s="5" t="n">
        <v>417</v>
      </c>
      <c r="B418" s="5" t="inlineStr">
        <is>
          <t>GU-2669</t>
        </is>
      </c>
      <c r="D418" s="5" t="inlineStr">
        <is>
          <t>ジャッキー 1961 スーパーミニ バッグ</t>
        </is>
      </c>
      <c r="E418" s="5" t="inlineStr">
        <is>
          <t>760249 10O0X 1000</t>
        </is>
      </c>
      <c r="F418" s="5" t="inlineStr">
        <is>
          <t>ブラック レザー</t>
        </is>
      </c>
      <c r="G418" s="10" t="inlineStr">
        <is>
          <t>OneSize</t>
        </is>
      </c>
      <c r="H418" s="17" t="inlineStr">
        <is>
          <t>OneSize</t>
        </is>
      </c>
      <c r="I418" s="18" t="n">
        <v>237600</v>
      </c>
      <c r="J418" s="19" t="n">
        <v>249700</v>
      </c>
      <c r="K418" s="20" t="n">
        <v>5</v>
      </c>
      <c r="L418" s="4" t="inlineStr">
        <is>
          <t>https://www.gucci.com/jp/ja/pr/women/handbags/mini-bags-for-women/jackie-1961-super-mini-bag-p-76024910O0X1000</t>
        </is>
      </c>
      <c r="M418" s="5">
        <f t="array" ref="M418">_xlfn.IFS(J418="NOTFOUND",I418,J418&gt;=I418,J418)</f>
        <v/>
      </c>
    </row>
    <row r="419" ht="18" customHeight="1" s="16">
      <c r="A419" s="5" t="n">
        <v>418</v>
      </c>
      <c r="B419" s="5" t="inlineStr">
        <is>
          <t>GU-2670</t>
        </is>
      </c>
      <c r="D419" s="5" t="inlineStr">
        <is>
          <t>ジャッキー 1961 スーパーミニ バッグ</t>
        </is>
      </c>
      <c r="E419" s="5" t="inlineStr">
        <is>
          <t>760249 10O0Y 5701</t>
        </is>
      </c>
      <c r="F419" s="5" t="inlineStr">
        <is>
          <t>ライトベージュ レザー</t>
        </is>
      </c>
      <c r="G419" s="10" t="inlineStr">
        <is>
          <t>OneSize</t>
        </is>
      </c>
      <c r="H419" s="17" t="inlineStr">
        <is>
          <t>OneSize</t>
        </is>
      </c>
      <c r="I419" s="18" t="n">
        <v>249700</v>
      </c>
      <c r="J419" s="19" t="n">
        <v>249700</v>
      </c>
      <c r="K419" s="20" t="n">
        <v>5</v>
      </c>
      <c r="L419" s="4" t="inlineStr">
        <is>
          <t>https://www.gucci.com/jp/ja/pr/women/handbags/mini-bags-for-women/jackie-1961-super-mini-bag-p-76024910O0Y5701</t>
        </is>
      </c>
      <c r="M419" s="5">
        <f t="array" ref="M419">_xlfn.IFS(J419="NOTFOUND",I419,J419&gt;=I419,J419)</f>
        <v/>
      </c>
    </row>
    <row r="420" ht="18" customHeight="1" s="16">
      <c r="A420" s="5" t="n">
        <v>419</v>
      </c>
      <c r="B420" s="5" t="inlineStr">
        <is>
          <t>GU-2671</t>
        </is>
      </c>
      <c r="D420" s="5" t="inlineStr">
        <is>
          <t>ジャッキー 1961 スーパーミニ バッグ</t>
        </is>
      </c>
      <c r="E420" s="5" t="inlineStr">
        <is>
          <t>760249 10O0Y 3401</t>
        </is>
      </c>
      <c r="F420" s="5" t="inlineStr">
        <is>
          <t>ペールグリーン レザー</t>
        </is>
      </c>
      <c r="G420" s="10" t="inlineStr">
        <is>
          <t>OneSize</t>
        </is>
      </c>
      <c r="H420" s="17" t="inlineStr">
        <is>
          <t>OneSize</t>
        </is>
      </c>
      <c r="I420" s="18" t="n">
        <v>249700</v>
      </c>
      <c r="J420" s="19" t="n">
        <v>249700</v>
      </c>
      <c r="K420" s="20" t="n">
        <v>5</v>
      </c>
      <c r="L420" s="4" t="inlineStr">
        <is>
          <t>https://www.gucci.com/jp/ja/pr/women/handbags/mini-bags-for-women/jackie-1961-super-mini-bag-p-76024910O0Y3401</t>
        </is>
      </c>
      <c r="M420" s="5">
        <f t="array" ref="M420">_xlfn.IFS(J420="NOTFOUND",I420,J420&gt;=I420,J420)</f>
        <v/>
      </c>
    </row>
    <row r="421" ht="18" customHeight="1" s="16">
      <c r="A421" s="5" t="n">
        <v>420</v>
      </c>
      <c r="B421" s="5" t="inlineStr">
        <is>
          <t>GU-2672</t>
        </is>
      </c>
      <c r="D421" s="5" t="inlineStr">
        <is>
          <t>ジャッキー 1961 スーパーミニ バッグ</t>
        </is>
      </c>
      <c r="E421" s="5" t="inlineStr">
        <is>
          <t>760249 1LD0G 5837</t>
        </is>
      </c>
      <c r="F421" s="5" t="inlineStr">
        <is>
          <t>メタリックピンク レザー</t>
        </is>
      </c>
      <c r="G421" s="10" t="inlineStr">
        <is>
          <t>OneSize</t>
        </is>
      </c>
      <c r="H421" s="17" t="inlineStr">
        <is>
          <t>OneSize</t>
        </is>
      </c>
      <c r="I421" s="18" t="n">
        <v>249700</v>
      </c>
      <c r="J421" s="19" t="n">
        <v>249700</v>
      </c>
      <c r="K421" s="20" t="n">
        <v>5</v>
      </c>
      <c r="L421" s="4" t="inlineStr">
        <is>
          <t>https://www.gucci.com/jp/ja/pr/women/handbags/mini-bags-for-women/jackie-1961-super-mini-bag-p-7602491LD0G5837</t>
        </is>
      </c>
      <c r="M421" s="5">
        <f t="array" ref="M421">_xlfn.IFS(J421="NOTFOUND",I421,J421&gt;=I421,J421)</f>
        <v/>
      </c>
    </row>
    <row r="422" ht="18" customHeight="1" s="16">
      <c r="A422" s="5" t="n">
        <v>421</v>
      </c>
      <c r="B422" s="5" t="inlineStr">
        <is>
          <t>GU-2673</t>
        </is>
      </c>
      <c r="D422" s="5" t="inlineStr">
        <is>
          <t>バンブー 1947 スーパーミニバッグ</t>
        </is>
      </c>
      <c r="E422" s="5" t="inlineStr">
        <is>
          <t>760246 10O0X 1000</t>
        </is>
      </c>
      <c r="F422" s="5" t="inlineStr">
        <is>
          <t>ブラック レザー</t>
        </is>
      </c>
      <c r="G422" s="10" t="inlineStr">
        <is>
          <t>OneSize</t>
        </is>
      </c>
      <c r="H422" s="17" t="inlineStr">
        <is>
          <t>OneSize</t>
        </is>
      </c>
      <c r="I422" s="18" t="n">
        <v>237600</v>
      </c>
      <c r="J422" s="19" t="n">
        <v>249700</v>
      </c>
      <c r="K422" s="20" t="n">
        <v>5</v>
      </c>
      <c r="L422" s="4" t="inlineStr">
        <is>
          <t>https://www.gucci.com/jp/ja/pr/women/handbags/mini-bags-for-women/gucci-bamboo-1947-super-mini-bag-p-76024610O0X1000</t>
        </is>
      </c>
      <c r="M422" s="5">
        <f t="array" ref="M422">_xlfn.IFS(J422="NOTFOUND",I422,J422&gt;=I422,J422)</f>
        <v/>
      </c>
    </row>
    <row r="423" ht="18" customHeight="1" s="16">
      <c r="A423" s="5" t="n">
        <v>422</v>
      </c>
      <c r="B423" s="5" t="inlineStr">
        <is>
          <t>GU-2674</t>
        </is>
      </c>
      <c r="D423" s="5" t="inlineStr">
        <is>
          <t>バンブー 1947 スーパーミニバッグ</t>
        </is>
      </c>
      <c r="E423" s="5" t="inlineStr">
        <is>
          <t>760246 10O0Y 3401</t>
        </is>
      </c>
      <c r="F423" s="5" t="inlineStr">
        <is>
          <t>ペールグリーン レザー</t>
        </is>
      </c>
      <c r="G423" s="10" t="inlineStr">
        <is>
          <t>OneSize</t>
        </is>
      </c>
      <c r="H423" s="17" t="inlineStr">
        <is>
          <t>OneSize</t>
        </is>
      </c>
      <c r="I423" s="18" t="n">
        <v>249700</v>
      </c>
      <c r="J423" s="19" t="n">
        <v>249700</v>
      </c>
      <c r="K423" s="20" t="n">
        <v>5</v>
      </c>
      <c r="L423" s="4" t="inlineStr">
        <is>
          <t>https://www.gucci.com/jp/ja/pr/women/handbags/mini-bags-for-women/gucci-bamboo-1947-super-mini-bag-p-76024610O0Y3401</t>
        </is>
      </c>
      <c r="M423" s="5">
        <f t="array" ref="M423">_xlfn.IFS(J423="NOTFOUND",I423,J423&gt;=I423,J423)</f>
        <v/>
      </c>
    </row>
    <row r="424" ht="18" customHeight="1" s="16">
      <c r="A424" s="5" t="n">
        <v>423</v>
      </c>
      <c r="B424" s="5" t="inlineStr">
        <is>
          <t>GU-2675</t>
        </is>
      </c>
      <c r="D424" s="5" t="inlineStr">
        <is>
          <t>バンブー 1947 スーパーミニバッグ</t>
        </is>
      </c>
      <c r="E424" s="5" t="inlineStr">
        <is>
          <t>760246 1LD0G 8106</t>
        </is>
      </c>
      <c r="F424" s="5" t="inlineStr">
        <is>
          <t>メタリックシルバー レザー</t>
        </is>
      </c>
      <c r="G424" s="10" t="inlineStr">
        <is>
          <t>OneSize</t>
        </is>
      </c>
      <c r="H424" s="17" t="inlineStr">
        <is>
          <t>OneSize</t>
        </is>
      </c>
      <c r="I424" s="18" t="n">
        <v>249700</v>
      </c>
      <c r="J424" s="19" t="n">
        <v>249700</v>
      </c>
      <c r="K424" s="20" t="n">
        <v>5</v>
      </c>
      <c r="L424" s="4" t="inlineStr">
        <is>
          <t>https://www.gucci.com/jp/ja/pr/women/handbags/mini-bags-for-women/gucci-bamboo-1947-super-mini-bag-p-7602461LD0G8106</t>
        </is>
      </c>
      <c r="M424" s="5">
        <f t="array" ref="M424">_xlfn.IFS(J424="NOTFOUND",I424,J424&gt;=I424,J424)</f>
        <v/>
      </c>
    </row>
    <row r="425" ht="18" customHeight="1" s="16">
      <c r="A425" s="5" t="n">
        <v>424</v>
      </c>
      <c r="B425" s="5" t="inlineStr">
        <is>
          <t>GU-2676</t>
        </is>
      </c>
      <c r="D425" s="5" t="inlineStr">
        <is>
          <t>ジャッキー 1961 ミニGG ショルダーバッグ</t>
        </is>
      </c>
      <c r="E425" s="5" t="inlineStr">
        <is>
          <t>675799 21HRG 2687</t>
        </is>
      </c>
      <c r="F425" s="5" t="inlineStr">
        <is>
          <t xml:space="preserve">  -</t>
        </is>
      </c>
      <c r="G425" s="10" t="inlineStr">
        <is>
          <t>OneSize</t>
        </is>
      </c>
      <c r="H425" s="17" t="inlineStr">
        <is>
          <t>OneSize</t>
        </is>
      </c>
      <c r="I425" s="18" t="n">
        <v>517000</v>
      </c>
      <c r="J425" s="19" t="n">
        <v>550000</v>
      </c>
      <c r="K425" s="20" t="n">
        <v>5</v>
      </c>
      <c r="L425" s="4" t="inlineStr">
        <is>
          <t>https://www.gucci.com/jp/ja/pr/women/handbags/mini-bags-for-women/jackie-1961-crystal-gg-mini-shoulder-bag-p-67579921HRG2687</t>
        </is>
      </c>
      <c r="M425" s="5">
        <f t="array" ref="M425">_xlfn.IFS(J425="NOTFOUND",I425,J425&gt;=I425,J425)</f>
        <v/>
      </c>
    </row>
    <row r="426" ht="18" customHeight="1" s="16">
      <c r="A426" s="5" t="n">
        <v>425</v>
      </c>
      <c r="B426" s="5" t="inlineStr">
        <is>
          <t>GU-2677</t>
        </is>
      </c>
      <c r="D426" s="5" t="inlineStr">
        <is>
          <t>ジャッキー オーストリッチ ショルダーバッグ</t>
        </is>
      </c>
      <c r="E426" s="5" t="inlineStr">
        <is>
          <t>781632 EAA2E 7442</t>
        </is>
      </c>
      <c r="F426" s="5" t="inlineStr">
        <is>
          <t>パステルイエロー</t>
        </is>
      </c>
      <c r="G426" s="11" t="inlineStr">
        <is>
          <t>SOLD</t>
        </is>
      </c>
      <c r="H426" s="22" t="inlineStr">
        <is>
          <t>SOLD</t>
        </is>
      </c>
      <c r="I426" s="18" t="n">
        <v>1067000</v>
      </c>
      <c r="J426" s="19" t="n">
        <v>1430000</v>
      </c>
      <c r="K426" s="20" t="n">
        <v>0</v>
      </c>
      <c r="L426" s="4" t="inlineStr">
        <is>
          <t>https://www.gucci.com/jp/ja/pr/women/handbags/precious-handbags-for-women/gucci-jackie-ostrich-shoulder-bag-p-781632EAA2E7442</t>
        </is>
      </c>
      <c r="M426" s="5">
        <f t="array" ref="M426">_xlfn.IFS(J426="NOTFOUND",I426,J426&gt;=I426,J426)</f>
        <v/>
      </c>
    </row>
    <row r="427" ht="18" customHeight="1" s="16">
      <c r="A427" s="5" t="n">
        <v>426</v>
      </c>
      <c r="B427" s="5" t="inlineStr">
        <is>
          <t>GU-2678</t>
        </is>
      </c>
      <c r="D427" s="5" t="inlineStr">
        <is>
          <t>ジャッキー パイソン ショルダーバッグ</t>
        </is>
      </c>
      <c r="E427" s="5" t="inlineStr">
        <is>
          <t>781632 EAA2G 8547</t>
        </is>
      </c>
      <c r="F427" s="5" t="inlineStr">
        <is>
          <t>ピンク グラデーション</t>
        </is>
      </c>
      <c r="G427" s="10" t="inlineStr">
        <is>
          <t>OneSize</t>
        </is>
      </c>
      <c r="H427" s="22" t="inlineStr">
        <is>
          <t>SOLD</t>
        </is>
      </c>
      <c r="I427" s="18" t="n">
        <v>572000</v>
      </c>
      <c r="J427" s="19" t="n">
        <v>968000</v>
      </c>
      <c r="K427" s="20" t="n">
        <v>0</v>
      </c>
      <c r="L427" s="4" t="inlineStr">
        <is>
          <t>https://www.gucci.com/jp/ja/pr/women/handbags/precious-handbags-for-women/gucci-jackie-python-shoulder-bag-p-781632EAA2G8547</t>
        </is>
      </c>
      <c r="M427" s="5">
        <f t="array" ref="M427">_xlfn.IFS(J427="NOTFOUND",I427,J427&gt;=I427,J427)</f>
        <v/>
      </c>
    </row>
    <row r="428" ht="18" customHeight="1" s="16">
      <c r="A428" s="5" t="n">
        <v>427</v>
      </c>
      <c r="B428" s="5" t="inlineStr">
        <is>
          <t>GU-2679</t>
        </is>
      </c>
      <c r="D428" s="5" t="inlineStr">
        <is>
          <t>エンボス ディテール付き キャンバス トートバッグ</t>
        </is>
      </c>
      <c r="E428" s="5" t="inlineStr">
        <is>
          <t>782741 FAC4V 8472</t>
        </is>
      </c>
      <c r="F428" s="5" t="inlineStr">
        <is>
          <t>ナチュラル キャンバスにブラック</t>
        </is>
      </c>
      <c r="G428" s="11" t="inlineStr">
        <is>
          <t>SOLD</t>
        </is>
      </c>
      <c r="H428" s="22" t="inlineStr">
        <is>
          <t>SOLD</t>
        </is>
      </c>
      <c r="I428" s="18" t="n">
        <v>269500</v>
      </c>
      <c r="J428" s="23" t="inlineStr">
        <is>
          <t>NOTFOUND</t>
        </is>
      </c>
      <c r="K428" s="20" t="n">
        <v>0</v>
      </c>
      <c r="L428" s="4" t="inlineStr">
        <is>
          <t>https://www.gucci.com/jp/ja/pr/women/handbags/tote-bags-for-women/canvas-tote-bag-with-embossed-detail-p-782741FAC4V8472</t>
        </is>
      </c>
      <c r="M428" s="5">
        <f t="array" ref="M428">_xlfn.IFS(J428="NOTFOUND",I428,J428&gt;=I428,J428)</f>
        <v/>
      </c>
    </row>
    <row r="429" ht="18" customHeight="1" s="16">
      <c r="A429" s="5" t="n">
        <v>428</v>
      </c>
      <c r="B429" s="5" t="inlineStr">
        <is>
          <t>GU-2680</t>
        </is>
      </c>
      <c r="D429" s="5" t="inlineStr">
        <is>
          <t>エンボス ディテール付き キャンバス トートバッグ</t>
        </is>
      </c>
      <c r="E429" s="5" t="inlineStr">
        <is>
          <t>782741 FAC4W 8477</t>
        </is>
      </c>
      <c r="F429" s="5" t="inlineStr">
        <is>
          <t>ナチュラル キャンバス</t>
        </is>
      </c>
      <c r="G429" s="11" t="inlineStr">
        <is>
          <t>SOLD</t>
        </is>
      </c>
      <c r="H429" s="22" t="inlineStr">
        <is>
          <t>SOLD</t>
        </is>
      </c>
      <c r="I429" s="18" t="n">
        <v>269500</v>
      </c>
      <c r="J429" s="23" t="inlineStr">
        <is>
          <t>NOTFOUND</t>
        </is>
      </c>
      <c r="K429" s="20" t="n">
        <v>0</v>
      </c>
      <c r="L429" s="4" t="inlineStr">
        <is>
          <t>https://www.gucci.com/jp/ja/pr/women/handbags/tote-bags-for-women/canvas-tote-bag-with-embossed-detail-p-782741FAC4W8477</t>
        </is>
      </c>
      <c r="M429" s="5">
        <f t="array" ref="M429">_xlfn.IFS(J429="NOTFOUND",I429,J429&gt;=I429,J429)</f>
        <v/>
      </c>
    </row>
    <row r="430" ht="18" customHeight="1" s="16">
      <c r="A430" s="5" t="n">
        <v>429</v>
      </c>
      <c r="B430" s="5" t="inlineStr">
        <is>
          <t>GU-2681</t>
        </is>
      </c>
      <c r="D430" s="5" t="inlineStr">
        <is>
          <t>エンボス ディテール付き キャンバス トートバッグ</t>
        </is>
      </c>
      <c r="E430" s="5" t="inlineStr">
        <is>
          <t>779510 FAC4V 8472</t>
        </is>
      </c>
      <c r="F430" s="5" t="inlineStr">
        <is>
          <t>ナチュラル キャンバスにブラック</t>
        </is>
      </c>
      <c r="G430" s="11" t="inlineStr">
        <is>
          <t>SOLD</t>
        </is>
      </c>
      <c r="H430" s="22" t="inlineStr">
        <is>
          <t>SOLD</t>
        </is>
      </c>
      <c r="I430" s="18" t="n">
        <v>297000</v>
      </c>
      <c r="J430" s="23" t="inlineStr">
        <is>
          <t>NOTFOUND</t>
        </is>
      </c>
      <c r="K430" s="20" t="n">
        <v>0</v>
      </c>
      <c r="L430" s="4" t="inlineStr">
        <is>
          <t>https://www.gucci.com/jp/ja/pr/women/handbags/tote-bags-for-women/canvas-tote-bag-with-embossed-detail-p-779510FAC4V8472</t>
        </is>
      </c>
      <c r="M430" s="5">
        <f t="array" ref="M430">_xlfn.IFS(J430="NOTFOUND",I430,J430&gt;=I430,J430)</f>
        <v/>
      </c>
    </row>
    <row r="431" ht="18" customHeight="1" s="16">
      <c r="A431" s="5" t="n">
        <v>430</v>
      </c>
      <c r="B431" s="5" t="inlineStr">
        <is>
          <t>GU-2682</t>
        </is>
      </c>
      <c r="D431" s="5" t="inlineStr">
        <is>
          <t>エンボス ディテール付き キャンバス トートバッグ</t>
        </is>
      </c>
      <c r="E431" s="5" t="inlineStr">
        <is>
          <t>779510 FAC4V 8473</t>
        </is>
      </c>
      <c r="F431" s="5" t="inlineStr">
        <is>
          <t>ナチュラル キャンバスにグレー</t>
        </is>
      </c>
      <c r="G431" s="11" t="inlineStr">
        <is>
          <t>SOLD</t>
        </is>
      </c>
      <c r="H431" s="22" t="inlineStr">
        <is>
          <t>SOLD</t>
        </is>
      </c>
      <c r="I431" s="18" t="n">
        <v>297000</v>
      </c>
      <c r="J431" s="23" t="inlineStr">
        <is>
          <t>NOTFOUND</t>
        </is>
      </c>
      <c r="K431" s="20" t="n">
        <v>0</v>
      </c>
      <c r="L431" s="4" t="inlineStr">
        <is>
          <t>https://www.gucci.com/jp/ja/pr/women/handbags/tote-bags-for-women/canvas-tote-bag-with-embossed-detail-p-779510FAC4V8473</t>
        </is>
      </c>
      <c r="M431" s="5">
        <f t="array" ref="M431">_xlfn.IFS(J431="NOTFOUND",I431,J431&gt;=I431,J431)</f>
        <v/>
      </c>
    </row>
    <row r="432" ht="18" customHeight="1" s="16">
      <c r="A432" s="5" t="n">
        <v>431</v>
      </c>
      <c r="B432" s="5" t="inlineStr">
        <is>
          <t>GU-2683</t>
        </is>
      </c>
      <c r="D432" s="5" t="inlineStr">
        <is>
          <t>オフィディア GG スモール ベルトバッグ</t>
        </is>
      </c>
      <c r="E432" s="5" t="inlineStr">
        <is>
          <t>752597 FACFW 8920</t>
        </is>
      </c>
      <c r="F432" s="5" t="inlineStr">
        <is>
          <t>ベージュ＆エボニー</t>
        </is>
      </c>
      <c r="G432" s="10" t="inlineStr">
        <is>
          <t>80_90</t>
        </is>
      </c>
      <c r="H432" s="17" t="inlineStr">
        <is>
          <t>80_90</t>
        </is>
      </c>
      <c r="I432" s="18" t="n">
        <v>148500</v>
      </c>
      <c r="J432" s="19" t="n">
        <v>173800</v>
      </c>
      <c r="K432" s="20" t="n">
        <v>5</v>
      </c>
      <c r="L432" s="4" t="inlineStr">
        <is>
          <t>https://www.gucci.com/jp/ja/pr/men/bags-for-men/belt-bags-slingbag-for-men/ophidia-gg-small-belt-bag-p-752597FACFW8920</t>
        </is>
      </c>
      <c r="M432" s="5">
        <f t="array" ref="M432">_xlfn.IFS(J432="NOTFOUND",I432,J432&gt;=I432,J432)</f>
        <v/>
      </c>
    </row>
    <row r="433" ht="18" customHeight="1" s="16">
      <c r="A433" s="5" t="n">
        <v>432</v>
      </c>
      <c r="B433" s="5" t="inlineStr">
        <is>
          <t>GU-2684</t>
        </is>
      </c>
      <c r="D433" s="5" t="inlineStr">
        <is>
          <t>オフィディア GG スモール クロスボディバッグ</t>
        </is>
      </c>
      <c r="E433" s="5" t="inlineStr">
        <is>
          <t>752591 FACFW 8920</t>
        </is>
      </c>
      <c r="F433" s="5" t="inlineStr">
        <is>
          <t>ベージュ＆エボニー</t>
        </is>
      </c>
      <c r="G433" s="10" t="inlineStr">
        <is>
          <t>OneSize</t>
        </is>
      </c>
      <c r="H433" s="17" t="inlineStr">
        <is>
          <t>OneSize</t>
        </is>
      </c>
      <c r="I433" s="18" t="n">
        <v>242000</v>
      </c>
      <c r="J433" s="19" t="n">
        <v>242000</v>
      </c>
      <c r="K433" s="20" t="n">
        <v>5</v>
      </c>
      <c r="L433" s="4" t="inlineStr">
        <is>
          <t>https://www.gucci.com/jp/ja/pr/men/bags-for-men/messenger-crossbody-bags-for-men/ophidia-gg-small-crossbody-bag-p-752591FACFW8920</t>
        </is>
      </c>
      <c r="M433" s="5">
        <f t="array" ref="M433">_xlfn.IFS(J433="NOTFOUND",I433,J433&gt;=I433,J433)</f>
        <v/>
      </c>
    </row>
    <row r="434" ht="18" customHeight="1" s="16">
      <c r="A434" s="5" t="n">
        <v>433</v>
      </c>
      <c r="B434" s="5" t="inlineStr">
        <is>
          <t>GU-2685</t>
        </is>
      </c>
      <c r="D434" s="5" t="inlineStr">
        <is>
          <t>オフィディア ウェブ ストライプ付き スモール クロスボディバッグ</t>
        </is>
      </c>
      <c r="E434" s="5" t="inlineStr">
        <is>
          <t>739392 96IWT 8745</t>
        </is>
      </c>
      <c r="F434" s="5" t="inlineStr">
        <is>
          <t xml:space="preserve">  -</t>
        </is>
      </c>
      <c r="G434" s="10" t="inlineStr">
        <is>
          <t>OneSize</t>
        </is>
      </c>
      <c r="H434" s="17" t="inlineStr">
        <is>
          <t>OneSize</t>
        </is>
      </c>
      <c r="I434" s="18" t="n">
        <v>231000</v>
      </c>
      <c r="J434" s="19" t="n">
        <v>236500</v>
      </c>
      <c r="K434" s="20" t="n">
        <v>5</v>
      </c>
      <c r="L434" s="4" t="inlineStr">
        <is>
          <t>https://www.gucci.com/jp/ja/pr/women/handbags/crossbody-bags-for-women/ophidia-small-crossbody-bag-with-web-p-73939296IWT8745</t>
        </is>
      </c>
      <c r="M434" s="5">
        <f t="array" ref="M434">_xlfn.IFS(J434="NOTFOUND",I434,J434&gt;=I434,J434)</f>
        <v/>
      </c>
    </row>
    <row r="435" ht="18" customHeight="1" s="16">
      <c r="A435" s="5" t="n">
        <v>434</v>
      </c>
      <c r="B435" s="5" t="inlineStr">
        <is>
          <t>GU-2686</t>
        </is>
      </c>
      <c r="D435" s="5" t="inlineStr">
        <is>
          <t>GG ラージ トートバッグ</t>
        </is>
      </c>
      <c r="E435" s="5" t="inlineStr">
        <is>
          <t>726755 2AAAY 9151</t>
        </is>
      </c>
      <c r="F435" s="5" t="inlineStr">
        <is>
          <t>ベージュ＆エボニー</t>
        </is>
      </c>
      <c r="G435" s="11" t="inlineStr">
        <is>
          <t>SOLD</t>
        </is>
      </c>
      <c r="H435" s="22" t="inlineStr">
        <is>
          <t>SOLD</t>
        </is>
      </c>
      <c r="I435" s="18" t="n">
        <v>247500</v>
      </c>
      <c r="J435" s="23" t="inlineStr">
        <is>
          <t>NOTFOUND</t>
        </is>
      </c>
      <c r="K435" s="20" t="n">
        <v>0</v>
      </c>
      <c r="L435" s="4" t="inlineStr">
        <is>
          <t>https://www.gucci.com/jp/ja/pr/women/handbags/tote-bags-for-women/ophidia-gg-large-tote-bag-p-7267552AAAY9151</t>
        </is>
      </c>
      <c r="M435" s="5">
        <f t="array" ref="M435">_xlfn.IFS(J435="NOTFOUND",I435,J435&gt;=I435,J435)</f>
        <v/>
      </c>
    </row>
    <row r="436" ht="18" customHeight="1" s="16">
      <c r="A436" s="5" t="n">
        <v>435</v>
      </c>
      <c r="B436" s="5" t="inlineStr">
        <is>
          <t>GU-2687</t>
        </is>
      </c>
      <c r="D436" s="5" t="inlineStr">
        <is>
          <t>オフィディア GGクロスボディバッグ</t>
        </is>
      </c>
      <c r="E436" s="5" t="inlineStr">
        <is>
          <t>699439 9C2ST 8920</t>
        </is>
      </c>
      <c r="F436" s="5" t="inlineStr">
        <is>
          <t>ベージュ＆エボニー</t>
        </is>
      </c>
      <c r="G436" s="10" t="inlineStr">
        <is>
          <t>OneSize</t>
        </is>
      </c>
      <c r="H436" s="17" t="inlineStr">
        <is>
          <t>OneSize</t>
        </is>
      </c>
      <c r="I436" s="18" t="n">
        <v>242000</v>
      </c>
      <c r="J436" s="19" t="n">
        <v>250800</v>
      </c>
      <c r="K436" s="20" t="n">
        <v>5</v>
      </c>
      <c r="L436" s="4" t="inlineStr">
        <is>
          <t>https://www.gucci.com/jp/ja/pr/men/bags-for-men/messenger-crossbody-bags-for-men/ophidia-gg-crossbody-bag-p-6994399C2ST8920</t>
        </is>
      </c>
      <c r="M436" s="5">
        <f t="array" ref="M436">_xlfn.IFS(J436="NOTFOUND",I436,J436&gt;=I436,J436)</f>
        <v/>
      </c>
    </row>
    <row r="437" ht="18" customHeight="1" s="16">
      <c r="A437" s="5" t="n">
        <v>436</v>
      </c>
      <c r="B437" s="5" t="inlineStr">
        <is>
          <t>GU-2688</t>
        </is>
      </c>
      <c r="D437" s="5" t="inlineStr">
        <is>
          <t>オフィディア GGミディアム バックパック</t>
        </is>
      </c>
      <c r="E437" s="5" t="inlineStr">
        <is>
          <t>598140 HUHAT 8564</t>
        </is>
      </c>
      <c r="F437" s="5" t="inlineStr">
        <is>
          <t>GGスプリーム</t>
        </is>
      </c>
      <c r="G437" s="10" t="inlineStr">
        <is>
          <t>OneSize</t>
        </is>
      </c>
      <c r="H437" s="17" t="inlineStr">
        <is>
          <t>OneSize</t>
        </is>
      </c>
      <c r="I437" s="18" t="n">
        <v>341000</v>
      </c>
      <c r="J437" s="19" t="n">
        <v>401500</v>
      </c>
      <c r="K437" s="20" t="n">
        <v>5</v>
      </c>
      <c r="L437" s="4" t="inlineStr">
        <is>
          <t>https://www.gucci.com/jp/ja/pr/men/bags-for-men/backpacks-for-men/ophidia-gg-medium-backpack-p-598140HUHAT8564</t>
        </is>
      </c>
      <c r="M437" s="5">
        <f t="array" ref="M437">_xlfn.IFS(J437="NOTFOUND",I437,J437&gt;=I437,J437)</f>
        <v/>
      </c>
    </row>
    <row r="438" ht="18" customHeight="1" s="16">
      <c r="A438" s="5" t="n">
        <v>437</v>
      </c>
      <c r="B438" s="5" t="inlineStr">
        <is>
          <t>GU-2689</t>
        </is>
      </c>
      <c r="D438" s="5" t="inlineStr">
        <is>
          <t>オフィディア GGスモール クロスボディバッグ</t>
        </is>
      </c>
      <c r="E438" s="5" t="inlineStr">
        <is>
          <t>598125 9IK3T 8745</t>
        </is>
      </c>
      <c r="F438" s="5" t="inlineStr">
        <is>
          <t>ソフト</t>
        </is>
      </c>
      <c r="G438" s="10" t="inlineStr">
        <is>
          <t>OneSize</t>
        </is>
      </c>
      <c r="H438" s="17" t="inlineStr">
        <is>
          <t>OneSize</t>
        </is>
      </c>
      <c r="I438" s="18" t="n">
        <v>225500</v>
      </c>
      <c r="J438" s="19" t="n">
        <v>225500</v>
      </c>
      <c r="K438" s="20" t="n">
        <v>5</v>
      </c>
      <c r="L438" s="4" t="inlineStr">
        <is>
          <t>https://www.gucci.com/jp/ja/pr/men/bags-for-men/messenger-crossbody-bags-for-men/ophidia-gg-small-crossbody-bag-p-5981259IK3T8745</t>
        </is>
      </c>
      <c r="M438" s="5">
        <f t="array" ref="M438">_xlfn.IFS(J438="NOTFOUND",I438,J438&gt;=I438,J438)</f>
        <v/>
      </c>
    </row>
    <row r="439" ht="18" customHeight="1" s="16">
      <c r="A439" s="5" t="n">
        <v>438</v>
      </c>
      <c r="B439" s="5" t="inlineStr">
        <is>
          <t>GU-2690</t>
        </is>
      </c>
      <c r="D439" s="5" t="inlineStr">
        <is>
          <t>オフィディア GG スモール バックパック</t>
        </is>
      </c>
      <c r="E439" s="5" t="inlineStr">
        <is>
          <t>547965 9U8BT 8994</t>
        </is>
      </c>
      <c r="F439" s="5" t="inlineStr">
        <is>
          <t>GGスプリーム</t>
        </is>
      </c>
      <c r="G439" s="10" t="inlineStr">
        <is>
          <t>OneSize</t>
        </is>
      </c>
      <c r="H439" s="22" t="inlineStr">
        <is>
          <t>SOLD</t>
        </is>
      </c>
      <c r="I439" s="18" t="n">
        <v>253000</v>
      </c>
      <c r="J439" s="19" t="n">
        <v>258500</v>
      </c>
      <c r="K439" s="20" t="n">
        <v>0</v>
      </c>
      <c r="L439" s="4" t="inlineStr">
        <is>
          <t>https://www.gucci.com/jp/ja/pr/men/bags-for-men/backpacks-for-men/ophidia-gg-small-backpack-p-5479659U8BT8994</t>
        </is>
      </c>
      <c r="M439" s="5">
        <f t="array" ref="M439">_xlfn.IFS(J439="NOTFOUND",I439,J439&gt;=I439,J439)</f>
        <v/>
      </c>
    </row>
    <row r="440" ht="18" customHeight="1" s="16">
      <c r="A440" s="5" t="n">
        <v>439</v>
      </c>
      <c r="B440" s="5" t="inlineStr">
        <is>
          <t>GU-2691</t>
        </is>
      </c>
      <c r="D440" s="5" t="inlineStr">
        <is>
          <t>インターロッキングG付き メッセンジャーバッグ</t>
        </is>
      </c>
      <c r="E440" s="5" t="inlineStr">
        <is>
          <t>726833 92THG 8563</t>
        </is>
      </c>
      <c r="F440" s="5" t="inlineStr">
        <is>
          <t>ベージュ＆エボニー</t>
        </is>
      </c>
      <c r="G440" s="11" t="inlineStr">
        <is>
          <t>SOLD</t>
        </is>
      </c>
      <c r="H440" s="22" t="inlineStr">
        <is>
          <t>SOLD</t>
        </is>
      </c>
      <c r="I440" s="18" t="n">
        <v>214500</v>
      </c>
      <c r="J440" s="23" t="inlineStr">
        <is>
          <t>NOTFOUND</t>
        </is>
      </c>
      <c r="K440" s="20" t="n">
        <v>0</v>
      </c>
      <c r="L440" s="4" t="inlineStr">
        <is>
          <t>https://www.gucci.com/jp/ja/pr/men/bags-for-men/messenger-crossbody-bags-for-men/messenger-bag-with-interlocking-g-p-72683392THG8563</t>
        </is>
      </c>
      <c r="M440" s="5">
        <f t="array" ref="M440">_xlfn.IFS(J440="NOTFOUND",I440,J440&gt;=I440,J440)</f>
        <v/>
      </c>
    </row>
    <row r="441" ht="18" customHeight="1" s="16">
      <c r="A441" s="5" t="n">
        <v>440</v>
      </c>
      <c r="B441" s="5" t="inlineStr">
        <is>
          <t>GU-2692</t>
        </is>
      </c>
      <c r="D441" s="5" t="inlineStr">
        <is>
          <t>インターロッキングG付き トートバッグ</t>
        </is>
      </c>
      <c r="E441" s="5" t="inlineStr">
        <is>
          <t>723308 92THG 8563</t>
        </is>
      </c>
      <c r="F441" s="5" t="inlineStr">
        <is>
          <t xml:space="preserve">  -</t>
        </is>
      </c>
      <c r="G441" s="11" t="inlineStr">
        <is>
          <t>SOLD</t>
        </is>
      </c>
      <c r="H441" s="22" t="inlineStr">
        <is>
          <t>SOLD</t>
        </is>
      </c>
      <c r="I441" s="18" t="n">
        <v>269500</v>
      </c>
      <c r="J441" s="23" t="inlineStr">
        <is>
          <t>NOTFOUND</t>
        </is>
      </c>
      <c r="K441" s="20" t="n">
        <v>0</v>
      </c>
      <c r="L441" s="4" t="inlineStr">
        <is>
          <t>https://www.gucci.com/jp/ja/pr/women/handbags/tote-bags-for-women/small-tote-with-interlocking-g-p-72330892THG8563</t>
        </is>
      </c>
      <c r="M441" s="5">
        <f t="array" ref="M441">_xlfn.IFS(J441="NOTFOUND",I441,J441&gt;=I441,J441)</f>
        <v/>
      </c>
    </row>
    <row r="442" ht="18" customHeight="1" s="16">
      <c r="A442" s="5" t="n">
        <v>441</v>
      </c>
      <c r="B442" s="5" t="inlineStr">
        <is>
          <t>GU-2693</t>
        </is>
      </c>
      <c r="D442" s="5" t="inlineStr">
        <is>
          <t>インターロッキングG付き バックパック</t>
        </is>
      </c>
      <c r="E442" s="5" t="inlineStr">
        <is>
          <t>704017 FAA0R 9795</t>
        </is>
      </c>
      <c r="F442" s="5" t="inlineStr">
        <is>
          <t>ベージュ＆エボニー</t>
        </is>
      </c>
      <c r="G442" s="11" t="inlineStr">
        <is>
          <t>SOLD</t>
        </is>
      </c>
      <c r="H442" s="22" t="inlineStr">
        <is>
          <t>SOLD</t>
        </is>
      </c>
      <c r="I442" s="18" t="n">
        <v>286000</v>
      </c>
      <c r="J442" s="23" t="inlineStr">
        <is>
          <t>NOTFOUND</t>
        </is>
      </c>
      <c r="K442" s="20" t="n">
        <v>0</v>
      </c>
      <c r="L442" s="4" t="inlineStr">
        <is>
          <t>https://www.gucci.com/jp/ja/pr/men/bags-for-men/backpacks-for-men/backpack-with-interlocking-g-p-704017FAA0R9795</t>
        </is>
      </c>
      <c r="M442" s="5">
        <f t="array" ref="M442">_xlfn.IFS(J442="NOTFOUND",I442,J442&gt;=I442,J442)</f>
        <v/>
      </c>
    </row>
    <row r="443" ht="18" customHeight="1" s="16">
      <c r="A443" s="5" t="n">
        <v>442</v>
      </c>
      <c r="B443" s="5" t="inlineStr">
        <is>
          <t>GU-2694</t>
        </is>
      </c>
      <c r="D443" s="5" t="inlineStr">
        <is>
          <t>インターロッキングG付き ベルトバッグ</t>
        </is>
      </c>
      <c r="E443" s="5" t="inlineStr">
        <is>
          <t>682933 92THG 8563</t>
        </is>
      </c>
      <c r="F443" s="5" t="inlineStr">
        <is>
          <t>GGスプリーム</t>
        </is>
      </c>
      <c r="G443" s="11" t="inlineStr">
        <is>
          <t>SOLD</t>
        </is>
      </c>
      <c r="H443" s="22" t="inlineStr">
        <is>
          <t>SOLD</t>
        </is>
      </c>
      <c r="I443" s="18" t="n">
        <v>154000</v>
      </c>
      <c r="J443" s="23" t="inlineStr">
        <is>
          <t>NOTFOUND</t>
        </is>
      </c>
      <c r="K443" s="20" t="n">
        <v>0</v>
      </c>
      <c r="L443" s="4" t="inlineStr">
        <is>
          <t>https://www.gucci.com/jp/ja/pr/men/bags-for-men/belt-bags-slingbag-for-men/belt-bag-with-interlocking-g-p-68293392THG8563</t>
        </is>
      </c>
      <c r="M443" s="5">
        <f t="array" ref="M443">_xlfn.IFS(J443="NOTFOUND",I443,J443&gt;=I443,J443)</f>
        <v/>
      </c>
    </row>
    <row r="444" ht="18" customHeight="1" s="16">
      <c r="A444" s="5" t="n">
        <v>443</v>
      </c>
      <c r="B444" s="5" t="inlineStr">
        <is>
          <t>GU-2695</t>
        </is>
      </c>
      <c r="D444" s="5" t="inlineStr">
        <is>
          <t>インターロッキングG付き メッセンジャーバッグ</t>
        </is>
      </c>
      <c r="E444" s="5" t="inlineStr">
        <is>
          <t>675891 92THG 8563</t>
        </is>
      </c>
      <c r="F444" s="5" t="inlineStr">
        <is>
          <t>GGスプリーム</t>
        </is>
      </c>
      <c r="G444" s="11" t="inlineStr">
        <is>
          <t>SOLD</t>
        </is>
      </c>
      <c r="H444" s="22" t="inlineStr">
        <is>
          <t>SOLD</t>
        </is>
      </c>
      <c r="I444" s="18" t="n">
        <v>192500</v>
      </c>
      <c r="J444" s="23" t="inlineStr">
        <is>
          <t>NOTFOUND</t>
        </is>
      </c>
      <c r="K444" s="20" t="n">
        <v>0</v>
      </c>
      <c r="L444" s="4" t="inlineStr">
        <is>
          <t>https://www.gucci.com/jp/ja/pr/men/bags-for-men/messenger-crossbody-bags-for-men/messenger-bag-with-interlocking-g-p-67589192THG8563</t>
        </is>
      </c>
      <c r="M444" s="5">
        <f t="array" ref="M444">_xlfn.IFS(J444="NOTFOUND",I444,J444&gt;=I444,J444)</f>
        <v/>
      </c>
    </row>
    <row r="445" ht="18" customHeight="1" s="16">
      <c r="A445" s="5" t="n">
        <v>444</v>
      </c>
      <c r="B445" s="5" t="inlineStr">
        <is>
          <t>GU-2696</t>
        </is>
      </c>
      <c r="D445" s="5" t="inlineStr">
        <is>
          <t>インターロッキングG付き バックパック</t>
        </is>
      </c>
      <c r="E445" s="5" t="inlineStr">
        <is>
          <t>674147 92THG 8563</t>
        </is>
      </c>
      <c r="F445" s="5" t="inlineStr">
        <is>
          <t>GGスプリーム</t>
        </is>
      </c>
      <c r="G445" s="11" t="inlineStr">
        <is>
          <t>SOLD</t>
        </is>
      </c>
      <c r="H445" s="22" t="inlineStr">
        <is>
          <t>SOLD</t>
        </is>
      </c>
      <c r="I445" s="18" t="n">
        <v>275000</v>
      </c>
      <c r="J445" s="23" t="inlineStr">
        <is>
          <t>NOTFOUND</t>
        </is>
      </c>
      <c r="K445" s="20" t="n">
        <v>0</v>
      </c>
      <c r="L445" s="4" t="inlineStr">
        <is>
          <t>https://www.gucci.com/jp/ja/pr/men/bags-for-men/backpacks-for-men/backpack-with-interlocking-g-p-67414792THG8563</t>
        </is>
      </c>
      <c r="M445" s="5">
        <f t="array" ref="M445">_xlfn.IFS(J445="NOTFOUND",I445,J445&gt;=I445,J445)</f>
        <v/>
      </c>
    </row>
    <row r="446" ht="18" customHeight="1" s="16">
      <c r="A446" s="5" t="n">
        <v>445</v>
      </c>
      <c r="B446" s="5" t="inlineStr">
        <is>
          <t>GU-2697</t>
        </is>
      </c>
      <c r="D446" s="5" t="inlineStr">
        <is>
          <t>インターロッキングG付き ミニトートバッグ</t>
        </is>
      </c>
      <c r="E446" s="5" t="inlineStr">
        <is>
          <t>671623 92TCG 8563</t>
        </is>
      </c>
      <c r="F446" s="5" t="inlineStr">
        <is>
          <t xml:space="preserve">  -</t>
        </is>
      </c>
      <c r="G446" s="11" t="inlineStr">
        <is>
          <t>SOLD</t>
        </is>
      </c>
      <c r="H446" s="22" t="inlineStr">
        <is>
          <t>SOLD</t>
        </is>
      </c>
      <c r="I446" s="18" t="n">
        <v>225500</v>
      </c>
      <c r="J446" s="23" t="inlineStr">
        <is>
          <t>NOTFOUND</t>
        </is>
      </c>
      <c r="K446" s="20" t="n">
        <v>0</v>
      </c>
      <c r="L446" s="4" t="inlineStr">
        <is>
          <t>https://www.gucci.com/jp/ja/pr/women/handbags/mini-bags-for-women/mini-tote-bag-with-interlocking-g-p-67162392TCG8563</t>
        </is>
      </c>
      <c r="M446" s="5">
        <f t="array" ref="M446">_xlfn.IFS(J446="NOTFOUND",I446,J446&gt;=I446,J446)</f>
        <v/>
      </c>
    </row>
    <row r="447" ht="18" customHeight="1" s="16">
      <c r="A447" s="5" t="n">
        <v>446</v>
      </c>
      <c r="B447" s="5" t="inlineStr">
        <is>
          <t>GU-2698</t>
        </is>
      </c>
      <c r="D447" s="5" t="inlineStr">
        <is>
          <t>インターロッキングG付きミニクロスボディバッグ</t>
        </is>
      </c>
      <c r="E447" s="5" t="inlineStr">
        <is>
          <t>671620 92TCG 8563</t>
        </is>
      </c>
      <c r="F447" s="5" t="inlineStr">
        <is>
          <t xml:space="preserve">  -</t>
        </is>
      </c>
      <c r="G447" s="11" t="inlineStr">
        <is>
          <t>SOLD</t>
        </is>
      </c>
      <c r="H447" s="22" t="inlineStr">
        <is>
          <t>SOLD</t>
        </is>
      </c>
      <c r="I447" s="18" t="n">
        <v>253000</v>
      </c>
      <c r="J447" s="23" t="inlineStr">
        <is>
          <t>NOTFOUND</t>
        </is>
      </c>
      <c r="K447" s="20" t="n">
        <v>0</v>
      </c>
      <c r="L447" s="4" t="inlineStr">
        <is>
          <t>https://www.gucci.com/jp/ja/pr/women/handbags/crossbody-bags-for-women/mini-crossbody-bag-with-interlocking-g-p-67162092TCG8563</t>
        </is>
      </c>
      <c r="M447" s="5">
        <f t="array" ref="M447">_xlfn.IFS(J447="NOTFOUND",I447,J447&gt;=I447,J447)</f>
        <v/>
      </c>
    </row>
    <row r="448" ht="18" customHeight="1" s="16">
      <c r="A448" s="5" t="n">
        <v>447</v>
      </c>
      <c r="B448" s="5" t="inlineStr">
        <is>
          <t>GU-2699</t>
        </is>
      </c>
      <c r="D448" s="5" t="inlineStr">
        <is>
          <t>GGスモール トートバッグ</t>
        </is>
      </c>
      <c r="E448" s="5" t="inlineStr">
        <is>
          <t>659983 92TCG 8563</t>
        </is>
      </c>
      <c r="F448" s="5" t="inlineStr">
        <is>
          <t>GGスプリーム</t>
        </is>
      </c>
      <c r="G448" s="11" t="inlineStr">
        <is>
          <t>SOLD</t>
        </is>
      </c>
      <c r="H448" s="22" t="inlineStr">
        <is>
          <t>SOLD</t>
        </is>
      </c>
      <c r="I448" s="18" t="n">
        <v>247500</v>
      </c>
      <c r="J448" s="23" t="inlineStr">
        <is>
          <t>NOTFOUND</t>
        </is>
      </c>
      <c r="K448" s="20" t="n">
        <v>0</v>
      </c>
      <c r="L448" s="4" t="inlineStr">
        <is>
          <t>https://www.gucci.com/jp/ja/pr/women/handbags/tote-bags-for-women/gg-small-tote-bag-p-65998392TCG8563</t>
        </is>
      </c>
      <c r="M448" s="5">
        <f t="array" ref="M448">_xlfn.IFS(J448="NOTFOUND",I448,J448&gt;=I448,J448)</f>
        <v/>
      </c>
    </row>
    <row r="449" ht="18" customHeight="1" s="16">
      <c r="A449" s="5" t="n">
        <v>448</v>
      </c>
      <c r="B449" s="5" t="inlineStr">
        <is>
          <t>GU-2700</t>
        </is>
      </c>
      <c r="D449" s="5" t="inlineStr">
        <is>
          <t>インターロッキングG付き ミニバッグ</t>
        </is>
      </c>
      <c r="E449" s="5" t="inlineStr">
        <is>
          <t>658572 92TCG 8563</t>
        </is>
      </c>
      <c r="F449" s="5" t="inlineStr">
        <is>
          <t>GGスプリーム＆ブラウン レザー</t>
        </is>
      </c>
      <c r="G449" s="11" t="inlineStr">
        <is>
          <t>SOLD</t>
        </is>
      </c>
      <c r="H449" s="22" t="inlineStr">
        <is>
          <t>SOLD</t>
        </is>
      </c>
      <c r="I449" s="18" t="n">
        <v>171600</v>
      </c>
      <c r="J449" s="23" t="inlineStr">
        <is>
          <t>NOTFOUND</t>
        </is>
      </c>
      <c r="K449" s="20" t="n">
        <v>0</v>
      </c>
      <c r="L449" s="4" t="inlineStr">
        <is>
          <t>https://www.gucci.com/jp/ja/pr/women/handbags/mini-bags-for-women/mini-bag-with-interlocking-g-p-65857292TCG8563</t>
        </is>
      </c>
      <c r="M449" s="5">
        <f t="array" ref="M449">_xlfn.IFS(J449="NOTFOUND",I449,J449&gt;=I449,J449)</f>
        <v/>
      </c>
    </row>
    <row r="450" ht="18" customHeight="1" s="16">
      <c r="A450" s="5" t="n">
        <v>449</v>
      </c>
      <c r="B450" s="5" t="inlineStr">
        <is>
          <t>GU-2701</t>
        </is>
      </c>
      <c r="D450" s="5" t="inlineStr">
        <is>
          <t>インターロッキングG付き バックパック</t>
        </is>
      </c>
      <c r="E450" s="5" t="inlineStr">
        <is>
          <t>674147 UULCT 9682</t>
        </is>
      </c>
      <c r="F450" s="5" t="inlineStr">
        <is>
          <t>ベージュ＆ホワイト</t>
        </is>
      </c>
      <c r="G450" s="11" t="inlineStr">
        <is>
          <t>SOLD</t>
        </is>
      </c>
      <c r="H450" s="22" t="inlineStr">
        <is>
          <t>SOLD</t>
        </is>
      </c>
      <c r="I450" s="18" t="n">
        <v>275000</v>
      </c>
      <c r="J450" s="23" t="inlineStr">
        <is>
          <t>NOTFOUND</t>
        </is>
      </c>
      <c r="K450" s="20" t="n">
        <v>0</v>
      </c>
      <c r="L450" s="4" t="inlineStr">
        <is>
          <t>https://www.gucci.com/jp/ja/pr/men/bags-for-men/backpacks-for-men/backpack-with-interlocking-g-p-674147UULCT9682</t>
        </is>
      </c>
      <c r="M450" s="5">
        <f t="array" ref="M450">_xlfn.IFS(J450="NOTFOUND",I450,J450&gt;=I450,J450)</f>
        <v/>
      </c>
    </row>
    <row r="451" ht="18" customHeight="1" s="16">
      <c r="A451" s="5" t="n">
        <v>450</v>
      </c>
      <c r="B451" s="5" t="inlineStr">
        <is>
          <t>GU-2702</t>
        </is>
      </c>
      <c r="D451" s="5" t="inlineStr">
        <is>
          <t>インターロッキングG付き スモール トートバッグ</t>
        </is>
      </c>
      <c r="E451" s="5" t="inlineStr">
        <is>
          <t>659983 UULBT 9683</t>
        </is>
      </c>
      <c r="F451" s="5" t="inlineStr">
        <is>
          <t>ベージュ＆ホワイト</t>
        </is>
      </c>
      <c r="G451" s="11" t="inlineStr">
        <is>
          <t>SOLD</t>
        </is>
      </c>
      <c r="H451" s="22" t="inlineStr">
        <is>
          <t>SOLD</t>
        </is>
      </c>
      <c r="I451" s="18" t="n">
        <v>247500</v>
      </c>
      <c r="J451" s="23" t="inlineStr">
        <is>
          <t>NOTFOUND</t>
        </is>
      </c>
      <c r="K451" s="20" t="n">
        <v>0</v>
      </c>
      <c r="L451" s="4" t="inlineStr">
        <is>
          <t>https://www.gucci.com/jp/ja/pr/women/handbags/tote-bags-for-women/small-tote-bag-with-interlocking-g-p-659983UULBT9683</t>
        </is>
      </c>
      <c r="M451" s="5">
        <f t="array" ref="M451">_xlfn.IFS(J451="NOTFOUND",I451,J451&gt;=I451,J451)</f>
        <v/>
      </c>
    </row>
    <row r="452" ht="18" customHeight="1" s="16">
      <c r="A452" s="5" t="n">
        <v>451</v>
      </c>
      <c r="B452" s="5" t="inlineStr">
        <is>
          <t>GU-2703</t>
        </is>
      </c>
      <c r="D452" s="5" t="inlineStr">
        <is>
          <t>インターロッキングG付き スモール トートバッグ</t>
        </is>
      </c>
      <c r="E452" s="5" t="inlineStr">
        <is>
          <t>659983 K9GSN 4075</t>
        </is>
      </c>
      <c r="F452" s="5" t="inlineStr">
        <is>
          <t>ベージュ＆ブルー</t>
        </is>
      </c>
      <c r="G452" s="11" t="inlineStr">
        <is>
          <t>SOLD</t>
        </is>
      </c>
      <c r="H452" s="22" t="inlineStr">
        <is>
          <t>SOLD</t>
        </is>
      </c>
      <c r="I452" s="18" t="n">
        <v>247500</v>
      </c>
      <c r="J452" s="23" t="inlineStr">
        <is>
          <t>NOTFOUND</t>
        </is>
      </c>
      <c r="K452" s="20" t="n">
        <v>0</v>
      </c>
      <c r="L452" s="4" t="inlineStr">
        <is>
          <t>https://www.gucci.com/jp/ja/pr/women/handbags/tote-bags-for-women/small-tote-bag-with-interlocking-g-p-659983K9GSN4075</t>
        </is>
      </c>
      <c r="M452" s="5">
        <f t="array" ref="M452">_xlfn.IFS(J452="NOTFOUND",I452,J452&gt;=I452,J452)</f>
        <v/>
      </c>
    </row>
    <row r="453" ht="18" customHeight="1" s="16">
      <c r="A453" s="5" t="n">
        <v>452</v>
      </c>
      <c r="B453" s="5" t="inlineStr">
        <is>
          <t>GU-2704</t>
        </is>
      </c>
      <c r="D453" s="5" t="inlineStr">
        <is>
          <t>インターロッキングG付き ミニバッグ</t>
        </is>
      </c>
      <c r="E453" s="5" t="inlineStr">
        <is>
          <t>658572 K9GSN 4075</t>
        </is>
      </c>
      <c r="F453" s="5" t="inlineStr">
        <is>
          <t>ベージュ＆ブルー</t>
        </is>
      </c>
      <c r="G453" s="11" t="inlineStr">
        <is>
          <t>SOLD</t>
        </is>
      </c>
      <c r="H453" s="22" t="inlineStr">
        <is>
          <t>SOLD</t>
        </is>
      </c>
      <c r="I453" s="18" t="n">
        <v>171600</v>
      </c>
      <c r="J453" s="23" t="inlineStr">
        <is>
          <t>NOTFOUND</t>
        </is>
      </c>
      <c r="K453" s="20" t="n">
        <v>0</v>
      </c>
      <c r="L453" s="4" t="inlineStr">
        <is>
          <t>https://www.gucci.com/jp/ja/pr/women/handbags/mini-bags-for-women/mini-bag-with-interlocking-g-p-658572K9GSN4075</t>
        </is>
      </c>
      <c r="M453" s="5">
        <f t="array" ref="M453">_xlfn.IFS(J453="NOTFOUND",I453,J453&gt;=I453,J453)</f>
        <v/>
      </c>
    </row>
    <row r="454" ht="18" customHeight="1" s="16">
      <c r="A454" s="5" t="n">
        <v>453</v>
      </c>
      <c r="B454" s="5" t="inlineStr">
        <is>
          <t>GU-2705</t>
        </is>
      </c>
      <c r="D454" s="5" t="inlineStr">
        <is>
          <t>GG テンダー ミディアム トートバッグ</t>
        </is>
      </c>
      <c r="E454" s="5" t="inlineStr">
        <is>
          <t>763287 FACHL 8844</t>
        </is>
      </c>
      <c r="F454" s="5" t="inlineStr">
        <is>
          <t xml:space="preserve">  -</t>
        </is>
      </c>
      <c r="G454" s="10" t="inlineStr">
        <is>
          <t>OneSize</t>
        </is>
      </c>
      <c r="H454" s="22" t="inlineStr">
        <is>
          <t>SOLD</t>
        </is>
      </c>
      <c r="I454" s="18" t="n">
        <v>193600</v>
      </c>
      <c r="J454" s="19" t="n">
        <v>193600</v>
      </c>
      <c r="K454" s="20" t="n">
        <v>0</v>
      </c>
      <c r="L454" s="4" t="inlineStr">
        <is>
          <t>https://www.gucci.com/jp/ja/pr/women/handbags/tote-bags-for-women/gg-tender-medium-tote-bag-p-763287FACHL8844</t>
        </is>
      </c>
      <c r="M454" s="5">
        <f t="array" ref="M454">_xlfn.IFS(J454="NOTFOUND",I454,J454&gt;=I454,J454)</f>
        <v/>
      </c>
    </row>
    <row r="455" ht="18" customHeight="1" s="16">
      <c r="A455" s="5" t="n">
        <v>454</v>
      </c>
      <c r="B455" s="5" t="inlineStr">
        <is>
          <t>GU-2706</t>
        </is>
      </c>
      <c r="D455" s="5" t="inlineStr">
        <is>
          <t>GG ベルトバッグ</t>
        </is>
      </c>
      <c r="E455" s="5" t="inlineStr">
        <is>
          <t>760217 FACJN 9765</t>
        </is>
      </c>
      <c r="F455" s="5" t="inlineStr">
        <is>
          <t xml:space="preserve">  -</t>
        </is>
      </c>
      <c r="G455" s="11" t="inlineStr">
        <is>
          <t>SOLD</t>
        </is>
      </c>
      <c r="H455" s="22" t="inlineStr">
        <is>
          <t>SOLD</t>
        </is>
      </c>
      <c r="I455" s="18" t="n">
        <v>159500</v>
      </c>
      <c r="J455" s="23" t="inlineStr">
        <is>
          <t>NOTFOUND</t>
        </is>
      </c>
      <c r="K455" s="20" t="n">
        <v>0</v>
      </c>
      <c r="L455" s="4" t="inlineStr">
        <is>
          <t>https://www.gucci.com/jp/ja/pr/men/bags-for-men/belt-bags-slingbag-for-men/gg-belt-bag-p-760217FACJN9765</t>
        </is>
      </c>
      <c r="M455" s="5">
        <f t="array" ref="M455">_xlfn.IFS(J455="NOTFOUND",I455,J455&gt;=I455,J455)</f>
        <v/>
      </c>
    </row>
    <row r="456" ht="18" customHeight="1" s="16">
      <c r="A456" s="5" t="n">
        <v>455</v>
      </c>
      <c r="B456" s="5" t="inlineStr">
        <is>
          <t>GU-2707</t>
        </is>
      </c>
      <c r="D456" s="5" t="inlineStr">
        <is>
          <t>GG メッセンジャーバッグ</t>
        </is>
      </c>
      <c r="E456" s="5" t="inlineStr">
        <is>
          <t>760123 FACJN 9765</t>
        </is>
      </c>
      <c r="F456" s="5" t="inlineStr">
        <is>
          <t xml:space="preserve">  -</t>
        </is>
      </c>
      <c r="G456" s="11" t="inlineStr">
        <is>
          <t>SOLD</t>
        </is>
      </c>
      <c r="H456" s="22" t="inlineStr">
        <is>
          <t>SOLD</t>
        </is>
      </c>
      <c r="I456" s="18" t="n">
        <v>231000</v>
      </c>
      <c r="J456" s="23" t="inlineStr">
        <is>
          <t>NOTFOUND</t>
        </is>
      </c>
      <c r="K456" s="20" t="n">
        <v>0</v>
      </c>
      <c r="L456" s="4" t="inlineStr">
        <is>
          <t>https://www.gucci.com/jp/ja/pr/women/handbags/shoulder-bags-for-women/gg-messenger-bag-p-760123FACJN9765</t>
        </is>
      </c>
      <c r="M456" s="5">
        <f t="array" ref="M456">_xlfn.IFS(J456="NOTFOUND",I456,J456&gt;=I456,J456)</f>
        <v/>
      </c>
    </row>
    <row r="457" ht="18" customHeight="1" s="16">
      <c r="A457" s="5" t="n">
        <v>456</v>
      </c>
      <c r="B457" s="5" t="inlineStr">
        <is>
          <t>GU-2708</t>
        </is>
      </c>
      <c r="D457" s="5" t="inlineStr">
        <is>
          <t>ネオ ヴィンテージ GGスプリーム メッセンジャーバッグ</t>
        </is>
      </c>
      <c r="E457" s="5" t="inlineStr">
        <is>
          <t>476466 K9GVT 8856</t>
        </is>
      </c>
      <c r="F457" s="5" t="inlineStr">
        <is>
          <t xml:space="preserve">  -</t>
        </is>
      </c>
      <c r="G457" s="11" t="inlineStr">
        <is>
          <t>SOLD</t>
        </is>
      </c>
      <c r="H457" s="22" t="inlineStr">
        <is>
          <t>SOLD</t>
        </is>
      </c>
      <c r="I457" s="18" t="n">
        <v>242000</v>
      </c>
      <c r="J457" s="23" t="inlineStr">
        <is>
          <t>NOTFOUND</t>
        </is>
      </c>
      <c r="K457" s="20" t="n">
        <v>0</v>
      </c>
      <c r="L457" s="4" t="inlineStr">
        <is>
          <t>https://www.gucci.com/jp/ja/pr/women/handbags/shoulder-bags-for-women/camera-bags-for-women/neo-vintage-gg-supreme-messenger-bag-p-476466K9GVT8856</t>
        </is>
      </c>
      <c r="M457" s="5">
        <f t="array" ref="M457">_xlfn.IFS(J457="NOTFOUND",I457,J457&gt;=I457,J457)</f>
        <v/>
      </c>
    </row>
    <row r="458" ht="18" customHeight="1" s="16">
      <c r="A458" s="5" t="n">
        <v>457</v>
      </c>
      <c r="B458" s="5" t="inlineStr">
        <is>
          <t>GU-2709</t>
        </is>
      </c>
      <c r="D458" s="5" t="inlineStr">
        <is>
          <t>ホースビット 1955 ジャンボGG ミニバッグ</t>
        </is>
      </c>
      <c r="E458" s="5" t="inlineStr">
        <is>
          <t>699296 UKMBG 2572</t>
        </is>
      </c>
      <c r="F458" s="5" t="inlineStr">
        <is>
          <t xml:space="preserve">キャメル＆エボニー </t>
        </is>
      </c>
      <c r="G458" s="11" t="inlineStr">
        <is>
          <t>SOLD</t>
        </is>
      </c>
      <c r="H458" s="22" t="inlineStr">
        <is>
          <t>SOLD</t>
        </is>
      </c>
      <c r="I458" s="18" t="n">
        <v>183700</v>
      </c>
      <c r="J458" s="23" t="inlineStr">
        <is>
          <t>NOTFOUND</t>
        </is>
      </c>
      <c r="K458" s="20" t="n">
        <v>0</v>
      </c>
      <c r="L458" s="4" t="inlineStr">
        <is>
          <t>https://www.gucci.com/jp/ja/pr/women/handbags/mini-bags-for-women/gucci-horsebit-1955-jumbo-gg-mini-bag-p-699296UKMBG2572</t>
        </is>
      </c>
      <c r="M458" s="5">
        <f t="array" ref="M458">_xlfn.IFS(J458="NOTFOUND",I458,J458&gt;=I458,J458)</f>
        <v/>
      </c>
    </row>
    <row r="459" ht="18" customHeight="1" s="16">
      <c r="A459" s="5" t="n">
        <v>458</v>
      </c>
      <c r="B459" s="5" t="inlineStr">
        <is>
          <t>GU-2710</t>
        </is>
      </c>
      <c r="D459" s="5" t="inlineStr">
        <is>
          <t>ジャンボGG ミニバッグ</t>
        </is>
      </c>
      <c r="E459" s="5" t="inlineStr">
        <is>
          <t>696075 UKMDG 2570</t>
        </is>
      </c>
      <c r="F459" s="5" t="inlineStr">
        <is>
          <t xml:space="preserve">  -</t>
        </is>
      </c>
      <c r="G459" s="11" t="inlineStr">
        <is>
          <t>SOLD</t>
        </is>
      </c>
      <c r="H459" s="22" t="inlineStr">
        <is>
          <t>SOLD</t>
        </is>
      </c>
      <c r="I459" s="18" t="n">
        <v>170500</v>
      </c>
      <c r="J459" s="23" t="inlineStr">
        <is>
          <t>NOTFOUND</t>
        </is>
      </c>
      <c r="K459" s="20" t="n">
        <v>0</v>
      </c>
      <c r="L459" s="4" t="inlineStr">
        <is>
          <t>https://www.gucci.com/jp/ja/pr/women/handbags/mini-bags-for-women/jumbo-gg-mini-bag-p-696075UKMDG2570</t>
        </is>
      </c>
      <c r="M459" s="5">
        <f t="array" ref="M459">_xlfn.IFS(J459="NOTFOUND",I459,J459&gt;=I459,J459)</f>
        <v/>
      </c>
    </row>
    <row r="460" ht="18" customHeight="1" s="16">
      <c r="A460" s="5" t="n">
        <v>459</v>
      </c>
      <c r="B460" s="5" t="inlineStr">
        <is>
          <t>GU-2711</t>
        </is>
      </c>
      <c r="D460" s="5" t="inlineStr">
        <is>
          <t>ジャンボGG ベルトバッグ</t>
        </is>
      </c>
      <c r="E460" s="5" t="inlineStr">
        <is>
          <t>696031 UKMDG 2570</t>
        </is>
      </c>
      <c r="F460" s="5" t="inlineStr">
        <is>
          <t xml:space="preserve">  -</t>
        </is>
      </c>
      <c r="G460" s="11" t="inlineStr">
        <is>
          <t>SOLD</t>
        </is>
      </c>
      <c r="H460" s="22" t="inlineStr">
        <is>
          <t>SOLD</t>
        </is>
      </c>
      <c r="I460" s="18" t="n">
        <v>137500</v>
      </c>
      <c r="J460" s="23" t="inlineStr">
        <is>
          <t>NOTFOUND</t>
        </is>
      </c>
      <c r="K460" s="20" t="n">
        <v>0</v>
      </c>
      <c r="L460" s="4" t="inlineStr">
        <is>
          <t>https://www.gucci.com/jp/ja/pr/men/bags-for-men/belt-bags-slingbag-for-men/jumbo-gg-belt-bag-p-696031UKMDG2570</t>
        </is>
      </c>
      <c r="M460" s="5">
        <f t="array" ref="M460">_xlfn.IFS(J460="NOTFOUND",I460,J460&gt;=I460,J460)</f>
        <v/>
      </c>
    </row>
    <row r="461" ht="18" customHeight="1" s="16">
      <c r="A461" s="5" t="n">
        <v>460</v>
      </c>
      <c r="B461" s="5" t="inlineStr">
        <is>
          <t>GU-2712</t>
        </is>
      </c>
      <c r="D461" s="5" t="inlineStr">
        <is>
          <t>ジャンボGG メッセンジャーバッグ</t>
        </is>
      </c>
      <c r="E461" s="5" t="inlineStr">
        <is>
          <t>675891 UKMDG 2570</t>
        </is>
      </c>
      <c r="F461" s="5" t="inlineStr">
        <is>
          <t xml:space="preserve">キャメル＆エボニー </t>
        </is>
      </c>
      <c r="G461" s="11" t="inlineStr">
        <is>
          <t>SOLD</t>
        </is>
      </c>
      <c r="H461" s="22" t="inlineStr">
        <is>
          <t>SOLD</t>
        </is>
      </c>
      <c r="I461" s="18" t="n">
        <v>192500</v>
      </c>
      <c r="J461" s="23" t="inlineStr">
        <is>
          <t>NOTFOUND</t>
        </is>
      </c>
      <c r="K461" s="20" t="n">
        <v>0</v>
      </c>
      <c r="L461" s="4" t="inlineStr">
        <is>
          <t>https://www.gucci.com/jp/ja/pr/men/bags-for-men/messenger-crossbody-bags-for-men/jumbo-gg-messenger-bag-p-675891UKMDG2570</t>
        </is>
      </c>
      <c r="M461" s="5">
        <f t="array" ref="M461">_xlfn.IFS(J461="NOTFOUND",I461,J461&gt;=I461,J461)</f>
        <v/>
      </c>
    </row>
    <row r="462" ht="18" customHeight="1" s="16">
      <c r="A462" s="5" t="n">
        <v>461</v>
      </c>
      <c r="B462" s="5" t="inlineStr">
        <is>
          <t>GU-2713</t>
        </is>
      </c>
      <c r="D462" s="5" t="inlineStr">
        <is>
          <t>ダイアナ ジャンボGG スモール トートバッグ</t>
        </is>
      </c>
      <c r="E462" s="5" t="inlineStr">
        <is>
          <t>660195 UKMFT 2672</t>
        </is>
      </c>
      <c r="F462" s="5" t="inlineStr">
        <is>
          <t xml:space="preserve">  -</t>
        </is>
      </c>
      <c r="G462" s="11" t="inlineStr">
        <is>
          <t>SOLD</t>
        </is>
      </c>
      <c r="H462" s="22" t="inlineStr">
        <is>
          <t>SOLD</t>
        </is>
      </c>
      <c r="I462" s="18" t="n">
        <v>572000</v>
      </c>
      <c r="J462" s="23" t="inlineStr">
        <is>
          <t>NOTFOUND</t>
        </is>
      </c>
      <c r="K462" s="20" t="n">
        <v>0</v>
      </c>
      <c r="L462" s="4" t="inlineStr">
        <is>
          <t>https://www.gucci.com/jp/ja/pr/women/handbags/shoulder-bags-for-women/gucci-diana-jumbo-gg-small-tote-bag-p-660195UKMFT2672</t>
        </is>
      </c>
      <c r="M462" s="5">
        <f t="array" ref="M462">_xlfn.IFS(J462="NOTFOUND",I462,J462&gt;=I462,J462)</f>
        <v/>
      </c>
    </row>
    <row r="463" ht="18" customHeight="1" s="16">
      <c r="A463" s="5" t="n">
        <v>462</v>
      </c>
      <c r="B463" s="5" t="inlineStr">
        <is>
          <t>GU-2714</t>
        </is>
      </c>
      <c r="D463" s="5" t="inlineStr">
        <is>
          <t>ダイアナ ジャンボGG ミニ トートバッグ</t>
        </is>
      </c>
      <c r="E463" s="5" t="inlineStr">
        <is>
          <t>655661 UKMFT 2672</t>
        </is>
      </c>
      <c r="F463" s="5" t="inlineStr">
        <is>
          <t xml:space="preserve">  -</t>
        </is>
      </c>
      <c r="G463" s="11" t="inlineStr">
        <is>
          <t>SOLD</t>
        </is>
      </c>
      <c r="H463" s="22" t="inlineStr">
        <is>
          <t>SOLD</t>
        </is>
      </c>
      <c r="I463" s="18" t="n">
        <v>473000</v>
      </c>
      <c r="J463" s="23" t="inlineStr">
        <is>
          <t>NOTFOUND</t>
        </is>
      </c>
      <c r="K463" s="20" t="n">
        <v>0</v>
      </c>
      <c r="L463" s="4" t="inlineStr">
        <is>
          <t>https://www.gucci.com/jp/ja/pr/women/handbags/shoulder-bags-for-women/gucci-diana-jumbo-gg-mini-tote-bag-p-655661UKMFT2672</t>
        </is>
      </c>
      <c r="M463" s="5">
        <f t="array" ref="M463">_xlfn.IFS(J463="NOTFOUND",I463,J463&gt;=I463,J463)</f>
        <v/>
      </c>
    </row>
    <row r="464" ht="18" customHeight="1" s="16">
      <c r="A464" s="5" t="n">
        <v>463</v>
      </c>
      <c r="B464" s="5" t="inlineStr">
        <is>
          <t>GU-2715</t>
        </is>
      </c>
      <c r="D464" s="5" t="inlineStr">
        <is>
          <t>GGパターン バックパック</t>
        </is>
      </c>
      <c r="E464" s="5" t="inlineStr">
        <is>
          <t>771344 FACTA 9756</t>
        </is>
      </c>
      <c r="F464" s="5" t="inlineStr">
        <is>
          <t xml:space="preserve">  -</t>
        </is>
      </c>
      <c r="G464" s="11" t="inlineStr">
        <is>
          <t>SOLD</t>
        </is>
      </c>
      <c r="H464" s="22" t="inlineStr">
        <is>
          <t>SOLD</t>
        </is>
      </c>
      <c r="I464" s="18" t="n">
        <v>423500</v>
      </c>
      <c r="J464" s="23" t="inlineStr">
        <is>
          <t>NOTFOUND</t>
        </is>
      </c>
      <c r="K464" s="20" t="n">
        <v>0</v>
      </c>
      <c r="L464" s="4" t="inlineStr">
        <is>
          <t>https://www.gucci.com/jp/ja/pr/men/bags-for-men/backpacks-for-men/jackie-1961-gg-backpack-p-771344FACTA9756</t>
        </is>
      </c>
      <c r="M464" s="5">
        <f t="array" ref="M464">_xlfn.IFS(J464="NOTFOUND",I464,J464&gt;=I464,J464)</f>
        <v/>
      </c>
    </row>
    <row r="465" ht="18" customHeight="1" s="16">
      <c r="A465" s="5" t="n">
        <v>464</v>
      </c>
      <c r="B465" s="5" t="inlineStr">
        <is>
          <t>GU-2716</t>
        </is>
      </c>
      <c r="D465" s="5" t="inlineStr">
        <is>
          <t>ジャッキー 1961 ラージ ショルダーバッグ</t>
        </is>
      </c>
      <c r="E465" s="5" t="inlineStr">
        <is>
          <t>764202 AACN4 1000</t>
        </is>
      </c>
      <c r="F465" s="5" t="inlineStr">
        <is>
          <t>ブラック レザー</t>
        </is>
      </c>
      <c r="G465" s="11" t="inlineStr">
        <is>
          <t>SOLD</t>
        </is>
      </c>
      <c r="H465" s="22" t="inlineStr">
        <is>
          <t>SOLD</t>
        </is>
      </c>
      <c r="I465" s="18" t="n">
        <v>682000</v>
      </c>
      <c r="J465" s="23" t="inlineStr">
        <is>
          <t>NOTFOUND</t>
        </is>
      </c>
      <c r="K465" s="20" t="n">
        <v>0</v>
      </c>
      <c r="L465" s="4" t="inlineStr">
        <is>
          <t>https://www.gucci.com/jp/ja/pr/women/handbags/shoulder-bags-for-women/half-moon-bags-for-women/jackie-1961-large-shoulder-bag-p-764202AACN41000</t>
        </is>
      </c>
      <c r="M465" s="5">
        <f t="array" ref="M465">_xlfn.IFS(J465="NOTFOUND",I465,J465&gt;=I465,J465)</f>
        <v/>
      </c>
    </row>
    <row r="466" ht="18" customHeight="1" s="16">
      <c r="A466" s="5" t="n">
        <v>465</v>
      </c>
      <c r="B466" s="5" t="inlineStr">
        <is>
          <t>GU-2717</t>
        </is>
      </c>
      <c r="D466" s="5" t="inlineStr">
        <is>
          <t>ジャッキー ラージ トートバッグ</t>
        </is>
      </c>
      <c r="E466" s="5" t="inlineStr">
        <is>
          <t>796761 AZB5Z 2541</t>
        </is>
      </c>
      <c r="F466" s="5" t="inlineStr">
        <is>
          <t>ライトブラウン レザー</t>
        </is>
      </c>
      <c r="G466" s="10" t="inlineStr">
        <is>
          <t>OneSize</t>
        </is>
      </c>
      <c r="H466" s="22" t="inlineStr">
        <is>
          <t>SOLD</t>
        </is>
      </c>
      <c r="I466" s="18" t="n">
        <v>1045000</v>
      </c>
      <c r="J466" s="19" t="n">
        <v>1045000</v>
      </c>
      <c r="K466" s="20" t="n">
        <v>0</v>
      </c>
      <c r="L466" s="4" t="inlineStr">
        <is>
          <t>https://www.gucci.com/jp/ja/pr/women/handbags/tote-bags-for-women/large-tote-bag-with-hook-closure-p-796761AZB5Z2541</t>
        </is>
      </c>
      <c r="M466" s="5">
        <f t="array" ref="M466">_xlfn.IFS(J466="NOTFOUND",I466,J466&gt;=I466,J466)</f>
        <v/>
      </c>
    </row>
    <row r="467" ht="18" customHeight="1" s="16">
      <c r="A467" s="5" t="n">
        <v>466</v>
      </c>
      <c r="B467" s="5" t="inlineStr">
        <is>
          <t>GU-2718</t>
        </is>
      </c>
      <c r="D467" s="5" t="inlineStr">
        <is>
          <t>ジャッキー ラージ トートバッグ</t>
        </is>
      </c>
      <c r="E467" s="5" t="inlineStr">
        <is>
          <t>796761 AZB5Z 1057</t>
        </is>
      </c>
      <c r="F467" s="5" t="inlineStr">
        <is>
          <t>グレー レザー</t>
        </is>
      </c>
      <c r="G467" s="11" t="inlineStr">
        <is>
          <t>SOLD</t>
        </is>
      </c>
      <c r="H467" s="22" t="inlineStr">
        <is>
          <t>SOLD</t>
        </is>
      </c>
      <c r="I467" s="18" t="n">
        <v>1045000</v>
      </c>
      <c r="J467" s="23" t="inlineStr">
        <is>
          <t>NOTFOUND</t>
        </is>
      </c>
      <c r="K467" s="20" t="n">
        <v>0</v>
      </c>
      <c r="L467" s="4" t="inlineStr">
        <is>
          <t>https://www.gucci.com/jp/ja/pr/women/handbags/tote-bags-for-women/large-tote-bag-with-hook-closure-p-796761AZB5Z1057</t>
        </is>
      </c>
      <c r="M467" s="5">
        <f t="array" ref="M467">_xlfn.IFS(J467="NOTFOUND",I467,J467&gt;=I467,J467)</f>
        <v/>
      </c>
    </row>
    <row r="468" ht="18" customHeight="1" s="16">
      <c r="A468" s="5" t="n">
        <v>467</v>
      </c>
      <c r="B468" s="5" t="inlineStr">
        <is>
          <t>GU-2719</t>
        </is>
      </c>
      <c r="D468" s="5" t="inlineStr">
        <is>
          <t>オリジナルGG マザーズバッグ</t>
        </is>
      </c>
      <c r="E468" s="5" t="inlineStr">
        <is>
          <t>768116 FACPQ 8641</t>
        </is>
      </c>
      <c r="F468" s="5" t="inlineStr">
        <is>
          <t xml:space="preserve">  -</t>
        </is>
      </c>
      <c r="G468" s="11" t="inlineStr">
        <is>
          <t>SOLD</t>
        </is>
      </c>
      <c r="H468" s="22" t="inlineStr">
        <is>
          <t>SOLD</t>
        </is>
      </c>
      <c r="I468" s="18" t="n">
        <v>357500</v>
      </c>
      <c r="J468" s="19" t="n">
        <v>357500</v>
      </c>
      <c r="K468" s="20" t="n">
        <v>0</v>
      </c>
      <c r="L468" s="4" t="inlineStr">
        <is>
          <t>https://www.gucci.com/jp/ja/pr/women/handbags/tote-bags-for-women/original-gg-diaper-bag-p-768116FACPQ8641</t>
        </is>
      </c>
      <c r="M468" s="5">
        <f t="array" ref="M468">_xlfn.IFS(J468="NOTFOUND",I468,J468&gt;=I468,J468)</f>
        <v/>
      </c>
    </row>
    <row r="469" ht="18" customHeight="1" s="16">
      <c r="A469" s="5" t="n">
        <v>468</v>
      </c>
      <c r="B469" s="5" t="inlineStr">
        <is>
          <t>GU-2720</t>
        </is>
      </c>
      <c r="D469" s="5" t="inlineStr">
        <is>
          <t>GGマーモント スモール ショルダーバッグ</t>
        </is>
      </c>
      <c r="E469" s="5" t="inlineStr">
        <is>
          <t>443497 AACPF 9042</t>
        </is>
      </c>
      <c r="F469" s="5" t="inlineStr">
        <is>
          <t>オフホワイト シアリング</t>
        </is>
      </c>
      <c r="G469" s="11" t="inlineStr">
        <is>
          <t>SOLD</t>
        </is>
      </c>
      <c r="H469" s="22" t="inlineStr">
        <is>
          <t>SOLD</t>
        </is>
      </c>
      <c r="I469" s="18" t="n">
        <v>462000</v>
      </c>
      <c r="J469" s="23" t="inlineStr">
        <is>
          <t>NOTFOUND</t>
        </is>
      </c>
      <c r="K469" s="20" t="n">
        <v>0</v>
      </c>
      <c r="L469" s="4" t="inlineStr">
        <is>
          <t>https://www.gucci.com/jp/ja/pr/women/handbags/shoulder-bags-for-women/chain-bags-for-women/gg-marmont-small-shoulder-bag-p-443497AACPF9042</t>
        </is>
      </c>
      <c r="M469" s="5">
        <f t="array" ref="M469">_xlfn.IFS(J469="NOTFOUND",I469,J469&gt;=I469,J469)</f>
        <v/>
      </c>
    </row>
    <row r="470" ht="18" customHeight="1" s="16">
      <c r="A470" s="5" t="n">
        <v>469</v>
      </c>
      <c r="B470" s="5" t="inlineStr">
        <is>
          <t>GU-2721</t>
        </is>
      </c>
      <c r="D470" s="5" t="inlineStr">
        <is>
          <t>GGマーモント スモール ショルダーバッグ</t>
        </is>
      </c>
      <c r="E470" s="5" t="inlineStr">
        <is>
          <t>443497 AACPF 1000</t>
        </is>
      </c>
      <c r="F470" s="5" t="inlineStr">
        <is>
          <t>ブラック シアリング</t>
        </is>
      </c>
      <c r="G470" s="11" t="inlineStr">
        <is>
          <t>SOLD</t>
        </is>
      </c>
      <c r="H470" s="22" t="inlineStr">
        <is>
          <t>SOLD</t>
        </is>
      </c>
      <c r="I470" s="18" t="n">
        <v>462000</v>
      </c>
      <c r="J470" s="23" t="inlineStr">
        <is>
          <t>NOTFOUND</t>
        </is>
      </c>
      <c r="K470" s="20" t="n">
        <v>0</v>
      </c>
      <c r="L470" s="4" t="inlineStr">
        <is>
          <t>https://www.gucci.com/jp/ja/pr/women/handbags/shoulder-bags-for-women/chain-bags-for-women/gg-marmont-small-shoulder-bag-p-443497AACPF1000</t>
        </is>
      </c>
      <c r="M470" s="5">
        <f t="array" ref="M470">_xlfn.IFS(J470="NOTFOUND",I470,J470&gt;=I470,J470)</f>
        <v/>
      </c>
    </row>
    <row r="471" ht="18" customHeight="1" s="16">
      <c r="A471" s="5" t="n">
        <v>470</v>
      </c>
      <c r="B471" s="5" t="inlineStr">
        <is>
          <t>GU-2722</t>
        </is>
      </c>
      <c r="D471" s="5" t="inlineStr">
        <is>
          <t>GGマーモント ミニ ショルダーバッグ</t>
        </is>
      </c>
      <c r="E471" s="5" t="inlineStr">
        <is>
          <t>446744 FACK2 7103</t>
        </is>
      </c>
      <c r="F471" s="5" t="inlineStr">
        <is>
          <t>ダークイエロー ベルベット</t>
        </is>
      </c>
      <c r="G471" s="11" t="inlineStr">
        <is>
          <t>SOLD</t>
        </is>
      </c>
      <c r="H471" s="22" t="inlineStr">
        <is>
          <t>SOLD</t>
        </is>
      </c>
      <c r="I471" s="18" t="n">
        <v>473000</v>
      </c>
      <c r="J471" s="23" t="inlineStr">
        <is>
          <t>NOTFOUND</t>
        </is>
      </c>
      <c r="K471" s="20" t="n">
        <v>0</v>
      </c>
      <c r="L471" s="4" t="inlineStr">
        <is>
          <t>https://www.gucci.com/jp/ja/pr/women/handbags/exclusives-for-women/gg-marmont-mini-shoulder-bag-p-446744FACK27103</t>
        </is>
      </c>
      <c r="M471" s="5">
        <f t="array" ref="M471">_xlfn.IFS(J471="NOTFOUND",I471,J471&gt;=I471,J471)</f>
        <v/>
      </c>
    </row>
    <row r="472" ht="18" customHeight="1" s="16">
      <c r="A472" s="5" t="n">
        <v>471</v>
      </c>
      <c r="B472" s="5" t="inlineStr">
        <is>
          <t>GU-2723</t>
        </is>
      </c>
      <c r="D472" s="5" t="inlineStr">
        <is>
          <t>GGマーモント ミニ ショルダーバッグ</t>
        </is>
      </c>
      <c r="E472" s="5" t="inlineStr">
        <is>
          <t>446744 FACK2 2545</t>
        </is>
      </c>
      <c r="F472" s="5" t="inlineStr">
        <is>
          <t>グリーン ベルベット</t>
        </is>
      </c>
      <c r="G472" s="11" t="inlineStr">
        <is>
          <t>SOLD</t>
        </is>
      </c>
      <c r="H472" s="22" t="inlineStr">
        <is>
          <t>SOLD</t>
        </is>
      </c>
      <c r="I472" s="18" t="n">
        <v>473000</v>
      </c>
      <c r="J472" s="23" t="inlineStr">
        <is>
          <t>NOTFOUND</t>
        </is>
      </c>
      <c r="K472" s="20" t="n">
        <v>0</v>
      </c>
      <c r="L472" s="4" t="inlineStr">
        <is>
          <t>https://www.gucci.com/jp/ja/pr/women/handbags/mini-bags-for-women/gg-marmont-mini-shoulder-bag-p-446744FACK22545</t>
        </is>
      </c>
      <c r="M472" s="5">
        <f t="array" ref="M472">_xlfn.IFS(J472="NOTFOUND",I472,J472&gt;=I472,J472)</f>
        <v/>
      </c>
    </row>
    <row r="473" ht="18" customHeight="1" s="16">
      <c r="A473" s="5" t="n">
        <v>472</v>
      </c>
      <c r="B473" s="5" t="inlineStr">
        <is>
          <t>GU-2724</t>
        </is>
      </c>
      <c r="D473" s="5" t="inlineStr">
        <is>
          <t>GG ラージ トートバッグ</t>
        </is>
      </c>
      <c r="E473" s="5" t="inlineStr">
        <is>
          <t>802166 FADUU 8657</t>
        </is>
      </c>
      <c r="F473" s="5" t="inlineStr">
        <is>
          <t xml:space="preserve">ベージュ＆エボニー </t>
        </is>
      </c>
      <c r="G473" s="10" t="inlineStr">
        <is>
          <t>OneSize</t>
        </is>
      </c>
      <c r="H473" s="17" t="inlineStr">
        <is>
          <t>OneSize</t>
        </is>
      </c>
      <c r="I473" s="18" t="n">
        <v>302500</v>
      </c>
      <c r="J473" s="19" t="n">
        <v>302500</v>
      </c>
      <c r="K473" s="20" t="n">
        <v>5</v>
      </c>
      <c r="L473" s="4" t="inlineStr">
        <is>
          <t>https://www.gucci.com/jp/ja/pr/women/handbags/tote-bags-for-women/large-gg-tote-bag-p-802166FADUU8657</t>
        </is>
      </c>
      <c r="M473" s="5">
        <f t="array" ref="M473">_xlfn.IFS(J473="NOTFOUND",I473,J473&gt;=I473,J473)</f>
        <v/>
      </c>
    </row>
    <row r="474" ht="18" customHeight="1" s="16">
      <c r="A474" s="5" t="n">
        <v>473</v>
      </c>
      <c r="B474" s="5" t="inlineStr">
        <is>
          <t>GU-2725</t>
        </is>
      </c>
      <c r="D474" s="5" t="inlineStr">
        <is>
          <t>GG ラージ トートバッグ</t>
        </is>
      </c>
      <c r="E474" s="5" t="inlineStr">
        <is>
          <t>802166 FADUV 6449</t>
        </is>
      </c>
      <c r="F474" s="5" t="inlineStr">
        <is>
          <t>グッチ ロッソ アンコーラ（深い赤）</t>
        </is>
      </c>
      <c r="G474" s="11" t="inlineStr">
        <is>
          <t>SOLD</t>
        </is>
      </c>
      <c r="H474" s="22" t="inlineStr">
        <is>
          <t>SOLD</t>
        </is>
      </c>
      <c r="I474" s="18" t="n">
        <v>302500</v>
      </c>
      <c r="J474" s="23" t="inlineStr">
        <is>
          <t>NOTFOUND</t>
        </is>
      </c>
      <c r="K474" s="20" t="n">
        <v>0</v>
      </c>
      <c r="L474" s="4" t="inlineStr">
        <is>
          <t>https://www.gucci.com/jp/ja/pr/women/handbags/tote-bags-for-women/large-gg-tote-bag-p-802166FADUV6449</t>
        </is>
      </c>
      <c r="M474" s="5">
        <f t="array" ref="M474">_xlfn.IFS(J474="NOTFOUND",I474,J474&gt;=I474,J474)</f>
        <v/>
      </c>
    </row>
    <row r="475" ht="18" customHeight="1" s="16">
      <c r="A475" s="5" t="n">
        <v>474</v>
      </c>
      <c r="B475" s="5" t="inlineStr">
        <is>
          <t>GU-2726</t>
        </is>
      </c>
      <c r="D475" s="5" t="inlineStr">
        <is>
          <t>GG スモール クロスボディバッグ</t>
        </is>
      </c>
      <c r="E475" s="5" t="inlineStr">
        <is>
          <t>802096 FADWD 6249</t>
        </is>
      </c>
      <c r="F475" s="5" t="inlineStr">
        <is>
          <t>グッチ ロッソ アンコーラ（深い赤）</t>
        </is>
      </c>
      <c r="G475" s="11" t="inlineStr">
        <is>
          <t>SOLD</t>
        </is>
      </c>
      <c r="H475" s="22" t="inlineStr">
        <is>
          <t>SOLD</t>
        </is>
      </c>
      <c r="I475" s="18" t="n">
        <v>275000</v>
      </c>
      <c r="J475" s="23" t="inlineStr">
        <is>
          <t>NOTFOUND</t>
        </is>
      </c>
      <c r="K475" s="20" t="n">
        <v>0</v>
      </c>
      <c r="L475" s="4" t="inlineStr">
        <is>
          <t>https://www.gucci.com/jp/ja/pr/women/handbags/crossbody-bags-for-women/small-gg-crossbody-bag-p-802096FADWD6249</t>
        </is>
      </c>
      <c r="M475" s="5">
        <f t="array" ref="M475">_xlfn.IFS(J475="NOTFOUND",I475,J475&gt;=I475,J475)</f>
        <v/>
      </c>
    </row>
    <row r="476" ht="18" customHeight="1" s="16">
      <c r="A476" s="5" t="n">
        <v>475</v>
      </c>
      <c r="B476" s="5" t="inlineStr">
        <is>
          <t>GU-2727</t>
        </is>
      </c>
      <c r="D476" s="5" t="inlineStr">
        <is>
          <t>ロゴ ミディアム バックパック</t>
        </is>
      </c>
      <c r="E476" s="5" t="inlineStr">
        <is>
          <t>800265 FADSC 9852</t>
        </is>
      </c>
      <c r="F476" s="5" t="inlineStr">
        <is>
          <t xml:space="preserve">  -</t>
        </is>
      </c>
      <c r="G476" s="10" t="inlineStr">
        <is>
          <t>OneSize</t>
        </is>
      </c>
      <c r="H476" s="17" t="inlineStr">
        <is>
          <t>OneSize</t>
        </is>
      </c>
      <c r="I476" s="18" t="n">
        <v>437800</v>
      </c>
      <c r="J476" s="19" t="n">
        <v>437800</v>
      </c>
      <c r="K476" s="20" t="n">
        <v>5</v>
      </c>
      <c r="L476" s="4" t="inlineStr">
        <is>
          <t>https://www.gucci.com/jp/ja/pr/men/bags-for-men/backpacks-for-men/medium-backpack-with-gucci-logo-p-800265FADSC9852</t>
        </is>
      </c>
      <c r="M476" s="5">
        <f t="array" ref="M476">_xlfn.IFS(J476="NOTFOUND",I476,J476&gt;=I476,J476)</f>
        <v/>
      </c>
    </row>
    <row r="477" ht="18" customHeight="1" s="16">
      <c r="A477" s="5" t="n">
        <v>476</v>
      </c>
      <c r="B477" s="5" t="inlineStr">
        <is>
          <t>GU-2728</t>
        </is>
      </c>
      <c r="D477" s="5" t="inlineStr">
        <is>
          <t>タグ付き GG ミディアム バックパック</t>
        </is>
      </c>
      <c r="E477" s="5" t="inlineStr">
        <is>
          <t>795462 FADML 9048</t>
        </is>
      </c>
      <c r="F477" s="5" t="inlineStr">
        <is>
          <t>ホワイト スプリーム</t>
        </is>
      </c>
      <c r="G477" s="11" t="inlineStr">
        <is>
          <t>SOLD</t>
        </is>
      </c>
      <c r="H477" s="22" t="inlineStr">
        <is>
          <t>SOLD</t>
        </is>
      </c>
      <c r="I477" s="18" t="n">
        <v>401500</v>
      </c>
      <c r="J477" s="23" t="inlineStr">
        <is>
          <t>NOTFOUND</t>
        </is>
      </c>
      <c r="K477" s="20" t="n">
        <v>0</v>
      </c>
      <c r="L477" s="4" t="inlineStr">
        <is>
          <t>https://www.gucci.com/jp/ja/pr/men/bags-for-men/backpacks-for-men/medium-gg-backpack-with-tag-p-795462FADML9048</t>
        </is>
      </c>
      <c r="M477" s="5">
        <f t="array" ref="M477">_xlfn.IFS(J477="NOTFOUND",I477,J477&gt;=I477,J477)</f>
        <v/>
      </c>
    </row>
    <row r="478" ht="18" customHeight="1" s="16">
      <c r="A478" s="5" t="n">
        <v>477</v>
      </c>
      <c r="B478" s="5" t="inlineStr">
        <is>
          <t>GU-2729</t>
        </is>
      </c>
      <c r="D478" s="5" t="inlineStr">
        <is>
          <t>トーティッシマ ミディアム トートバッグ</t>
        </is>
      </c>
      <c r="E478" s="5" t="inlineStr">
        <is>
          <t>792529 FADJX 9769</t>
        </is>
      </c>
      <c r="F478" s="5" t="inlineStr">
        <is>
          <t>ベージュ＆エボニー</t>
        </is>
      </c>
      <c r="G478" s="11" t="inlineStr">
        <is>
          <t>SOLD</t>
        </is>
      </c>
      <c r="H478" s="22" t="inlineStr">
        <is>
          <t>SOLD</t>
        </is>
      </c>
      <c r="I478" s="18" t="n">
        <v>341000</v>
      </c>
      <c r="J478" s="23" t="inlineStr">
        <is>
          <t>NOTFOUND</t>
        </is>
      </c>
      <c r="K478" s="20" t="n">
        <v>0</v>
      </c>
      <c r="L478" s="4" t="inlineStr">
        <is>
          <t>https://www.gucci.com/jp/ja/pr/women/handbags/tote-bags-for-women/gucci-totissima-medium-tote-bag-p-792529FADJX9769</t>
        </is>
      </c>
      <c r="M478" s="5">
        <f t="array" ref="M478">_xlfn.IFS(J478="NOTFOUND",I478,J478&gt;=I478,J478)</f>
        <v/>
      </c>
    </row>
    <row r="479" ht="18" customHeight="1" s="16">
      <c r="A479" s="5" t="n">
        <v>478</v>
      </c>
      <c r="B479" s="5" t="inlineStr">
        <is>
          <t>GU-2730</t>
        </is>
      </c>
      <c r="D479" s="5" t="inlineStr">
        <is>
          <t>トーティッシマ ミディアム トートバッグ</t>
        </is>
      </c>
      <c r="E479" s="5" t="inlineStr">
        <is>
          <t>792529 FADJX 9770</t>
        </is>
      </c>
      <c r="F479" s="5" t="inlineStr">
        <is>
          <t>ベージュ＆エボニー</t>
        </is>
      </c>
      <c r="G479" s="11" t="inlineStr">
        <is>
          <t>SOLD</t>
        </is>
      </c>
      <c r="H479" s="22" t="inlineStr">
        <is>
          <t>SOLD</t>
        </is>
      </c>
      <c r="I479" s="18" t="n">
        <v>341000</v>
      </c>
      <c r="J479" s="23" t="inlineStr">
        <is>
          <t>NOTFOUND</t>
        </is>
      </c>
      <c r="K479" s="20" t="n">
        <v>0</v>
      </c>
      <c r="L479" s="4" t="inlineStr">
        <is>
          <t>https://www.gucci.com/jp/ja/pr/women/handbags/tote-bags-for-women/gucci-totissima-medium-tote-bag-p-792529FADJX9770</t>
        </is>
      </c>
      <c r="M479" s="5">
        <f t="array" ref="M479">_xlfn.IFS(J479="NOTFOUND",I479,J479&gt;=I479,J479)</f>
        <v/>
      </c>
    </row>
    <row r="480" ht="18" customHeight="1" s="16">
      <c r="A480" s="5" t="n">
        <v>479</v>
      </c>
      <c r="B480" s="5" t="inlineStr">
        <is>
          <t>GU-2731</t>
        </is>
      </c>
      <c r="D480" s="5" t="inlineStr">
        <is>
          <t>トーティッシマ ラージ トートバッグ</t>
        </is>
      </c>
      <c r="E480" s="5" t="inlineStr">
        <is>
          <t>786899 FADJX 9769</t>
        </is>
      </c>
      <c r="F480" s="5" t="inlineStr">
        <is>
          <t xml:space="preserve">  -</t>
        </is>
      </c>
      <c r="G480" s="11" t="inlineStr">
        <is>
          <t>SOLD</t>
        </is>
      </c>
      <c r="H480" s="22" t="inlineStr">
        <is>
          <t>SOLD</t>
        </is>
      </c>
      <c r="I480" s="18" t="n">
        <v>418000</v>
      </c>
      <c r="J480" s="23" t="inlineStr">
        <is>
          <t>NOTFOUND</t>
        </is>
      </c>
      <c r="K480" s="20" t="n">
        <v>0</v>
      </c>
      <c r="L480" s="4" t="inlineStr">
        <is>
          <t>https://www.gucci.com/jp/ja/pr/women/handbags/tote-bags-for-women/gucci-totissima-large-tote-bag-p-786899FADJX9769</t>
        </is>
      </c>
      <c r="M480" s="5">
        <f t="array" ref="M480">_xlfn.IFS(J480="NOTFOUND",I480,J480&gt;=I480,J480)</f>
        <v/>
      </c>
    </row>
    <row r="481" ht="18" customHeight="1" s="16">
      <c r="A481" s="5" t="n">
        <v>480</v>
      </c>
      <c r="B481" s="5" t="inlineStr">
        <is>
          <t>GU-2732</t>
        </is>
      </c>
      <c r="D481" s="5" t="inlineStr">
        <is>
          <t>GG シースルー トートバッグ</t>
        </is>
      </c>
      <c r="E481" s="5" t="inlineStr">
        <is>
          <t>779510 FAC9Y 9777</t>
        </is>
      </c>
      <c r="F481" s="5" t="inlineStr">
        <is>
          <t>ベージュ＆エボニー ファブリック</t>
        </is>
      </c>
      <c r="G481" s="11" t="inlineStr">
        <is>
          <t>SOLD</t>
        </is>
      </c>
      <c r="H481" s="22" t="inlineStr">
        <is>
          <t>SOLD</t>
        </is>
      </c>
      <c r="I481" s="18" t="n">
        <v>258500</v>
      </c>
      <c r="J481" s="23" t="inlineStr">
        <is>
          <t>NOTFOUND</t>
        </is>
      </c>
      <c r="K481" s="20" t="n">
        <v>0</v>
      </c>
      <c r="L481" s="4" t="inlineStr">
        <is>
          <t>https://www.gucci.com/jp/ja/pr/women/handbags/tote-bags-for-women/gg-see-through-tote-bag-p-779510FAC9Y9777</t>
        </is>
      </c>
      <c r="M481" s="5">
        <f t="array" ref="M481">_xlfn.IFS(J481="NOTFOUND",I481,J481&gt;=I481,J481)</f>
        <v/>
      </c>
    </row>
    <row r="482" ht="18" customHeight="1" s="16">
      <c r="A482" s="5" t="n">
        <v>481</v>
      </c>
      <c r="B482" s="5" t="inlineStr">
        <is>
          <t>GU-2733</t>
        </is>
      </c>
      <c r="D482" s="5" t="inlineStr">
        <is>
          <t>エンブロイダリー ラージ トートバッグ</t>
        </is>
      </c>
      <c r="E482" s="5" t="inlineStr">
        <is>
          <t>774183 FAC5Y 8657</t>
        </is>
      </c>
      <c r="F482" s="5" t="inlineStr">
        <is>
          <t xml:space="preserve">  -</t>
        </is>
      </c>
      <c r="G482" s="11" t="inlineStr">
        <is>
          <t>SOLD</t>
        </is>
      </c>
      <c r="H482" s="22" t="inlineStr">
        <is>
          <t>SOLD</t>
        </is>
      </c>
      <c r="I482" s="18" t="n">
        <v>319000</v>
      </c>
      <c r="J482" s="23" t="inlineStr">
        <is>
          <t>NOTFOUND</t>
        </is>
      </c>
      <c r="K482" s="20" t="n">
        <v>0</v>
      </c>
      <c r="L482" s="4" t="inlineStr">
        <is>
          <t>https://www.gucci.com/jp/ja/pr/women/handbags/tote-bags-for-women/large-tote-bag-with-gucci-embroidery-p-774183FAC5Y8657</t>
        </is>
      </c>
      <c r="M482" s="5">
        <f t="array" ref="M482">_xlfn.IFS(J482="NOTFOUND",I482,J482&gt;=I482,J482)</f>
        <v/>
      </c>
    </row>
    <row r="483" ht="18" customHeight="1" s="16">
      <c r="A483" s="5" t="n">
        <v>482</v>
      </c>
      <c r="B483" s="5" t="inlineStr">
        <is>
          <t>GU-2734</t>
        </is>
      </c>
      <c r="D483" s="5" t="inlineStr">
        <is>
          <t>オフィディア GG スモール ベルトバッグ</t>
        </is>
      </c>
      <c r="E483" s="5" t="inlineStr">
        <is>
          <t>752597 FADIC 9761</t>
        </is>
      </c>
      <c r="F483" s="5" t="inlineStr">
        <is>
          <t>ベージュ＆エボニー</t>
        </is>
      </c>
      <c r="G483" s="11" t="inlineStr">
        <is>
          <t>SOLD</t>
        </is>
      </c>
      <c r="H483" s="22" t="inlineStr">
        <is>
          <t>SOLD</t>
        </is>
      </c>
      <c r="I483" s="18" t="n">
        <v>148500</v>
      </c>
      <c r="J483" s="23" t="inlineStr">
        <is>
          <t>NOTFOUND</t>
        </is>
      </c>
      <c r="K483" s="20" t="n">
        <v>0</v>
      </c>
      <c r="L483" s="4" t="inlineStr">
        <is>
          <t>https://www.gucci.com/jp/ja/pr/men/bags-for-men/belt-bags-slingbag-for-men/ophidia-gg-small-belt-bag-p-752597FADIC9761</t>
        </is>
      </c>
      <c r="M483" s="5">
        <f t="array" ref="M483">_xlfn.IFS(J483="NOTFOUND",I483,J483&gt;=I483,J483)</f>
        <v/>
      </c>
    </row>
    <row r="484" ht="18" customHeight="1" s="16">
      <c r="A484" s="5" t="n">
        <v>483</v>
      </c>
      <c r="B484" s="5" t="inlineStr">
        <is>
          <t>GU-2735</t>
        </is>
      </c>
      <c r="D484" s="5" t="inlineStr">
        <is>
          <t>オフィディア GG スモール クロスボディバッグ</t>
        </is>
      </c>
      <c r="E484" s="5" t="inlineStr">
        <is>
          <t>752591 FADIC 9759</t>
        </is>
      </c>
      <c r="F484" s="5" t="inlineStr">
        <is>
          <t>ベージュ＆エボニー</t>
        </is>
      </c>
      <c r="G484" s="11" t="inlineStr">
        <is>
          <t>SOLD</t>
        </is>
      </c>
      <c r="H484" s="22" t="inlineStr">
        <is>
          <t>SOLD</t>
        </is>
      </c>
      <c r="I484" s="18" t="n">
        <v>242000</v>
      </c>
      <c r="J484" s="23" t="inlineStr">
        <is>
          <t>NOTFOUND</t>
        </is>
      </c>
      <c r="K484" s="20" t="n">
        <v>0</v>
      </c>
      <c r="L484" s="4" t="inlineStr">
        <is>
          <t>https://www.gucci.com/jp/ja/pr/women/handbags/crossbody-bags-for-women/ophidia-gg-small-crossbody-bag-p-752591FADIC9759</t>
        </is>
      </c>
      <c r="M484" s="5">
        <f t="array" ref="M484">_xlfn.IFS(J484="NOTFOUND",I484,J484&gt;=I484,J484)</f>
        <v/>
      </c>
    </row>
    <row r="485" ht="18" customHeight="1" s="16">
      <c r="A485" s="5" t="n">
        <v>484</v>
      </c>
      <c r="B485" s="5" t="inlineStr">
        <is>
          <t>GU-2736</t>
        </is>
      </c>
      <c r="D485" s="5" t="inlineStr">
        <is>
          <t>ブロードウェイ スパンコール スモール イブニングバッグ</t>
        </is>
      </c>
      <c r="E485" s="5" t="inlineStr">
        <is>
          <t>741874 FABVU 1000</t>
        </is>
      </c>
      <c r="F485" s="5" t="inlineStr">
        <is>
          <t xml:space="preserve">  -</t>
        </is>
      </c>
      <c r="G485" s="11" t="inlineStr">
        <is>
          <t>SOLD</t>
        </is>
      </c>
      <c r="H485" s="22" t="inlineStr">
        <is>
          <t>SOLD</t>
        </is>
      </c>
      <c r="I485" s="18" t="n">
        <v>583000</v>
      </c>
      <c r="J485" s="23" t="inlineStr">
        <is>
          <t>NOTFOUND</t>
        </is>
      </c>
      <c r="K485" s="20" t="n">
        <v>0</v>
      </c>
      <c r="L485" s="4" t="inlineStr">
        <is>
          <t>https://www.gucci.com/jp/ja/pr/women/handbags/clutches-evening-bags/broadway-small-sequin-evening-bag-p-741874FABVU1000</t>
        </is>
      </c>
      <c r="M485" s="5">
        <f t="array" ref="M485">_xlfn.IFS(J485="NOTFOUND",I485,J485&gt;=I485,J485)</f>
        <v/>
      </c>
    </row>
    <row r="486" ht="18" customHeight="1" s="16">
      <c r="A486" s="5" t="n">
        <v>485</v>
      </c>
      <c r="B486" s="5" t="inlineStr">
        <is>
          <t>GU-2737</t>
        </is>
      </c>
      <c r="D486" s="5" t="inlineStr">
        <is>
          <t>バンブー バックパック</t>
        </is>
      </c>
      <c r="E486" s="5" t="inlineStr">
        <is>
          <t>702101 UZY0T 4338</t>
        </is>
      </c>
      <c r="F486" s="5" t="inlineStr">
        <is>
          <t>ライトブルー レザー</t>
        </is>
      </c>
      <c r="G486" s="11" t="inlineStr">
        <is>
          <t>SOLD</t>
        </is>
      </c>
      <c r="H486" s="22" t="inlineStr">
        <is>
          <t>SOLD</t>
        </is>
      </c>
      <c r="I486" s="18" t="n">
        <v>489500</v>
      </c>
      <c r="J486" s="23" t="inlineStr">
        <is>
          <t>NOTFOUND</t>
        </is>
      </c>
      <c r="K486" s="20" t="n">
        <v>0</v>
      </c>
      <c r="L486" s="4" t="inlineStr">
        <is>
          <t>https://www.gucci.com/jp/ja/pr/women/handbags/belt-bags-backpacks-for-women/bamboo-small-backpack-p-702101UZY0T4338</t>
        </is>
      </c>
      <c r="M486" s="5">
        <f t="array" ref="M486">_xlfn.IFS(J486="NOTFOUND",I486,J486&gt;=I486,J486)</f>
        <v/>
      </c>
    </row>
    <row r="487" ht="18" customHeight="1" s="16">
      <c r="A487" s="5" t="n">
        <v>486</v>
      </c>
      <c r="B487" s="5" t="inlineStr">
        <is>
          <t>GU-2738</t>
        </is>
      </c>
      <c r="D487" s="5" t="inlineStr">
        <is>
          <t>バンブー バックパック</t>
        </is>
      </c>
      <c r="E487" s="5" t="inlineStr">
        <is>
          <t>702101 UZY0T 2535</t>
        </is>
      </c>
      <c r="F487" s="5" t="inlineStr">
        <is>
          <t>ブラウン レザー</t>
        </is>
      </c>
      <c r="G487" s="11" t="inlineStr">
        <is>
          <t>SOLD</t>
        </is>
      </c>
      <c r="H487" s="22" t="inlineStr">
        <is>
          <t>SOLD</t>
        </is>
      </c>
      <c r="I487" s="18" t="n">
        <v>489500</v>
      </c>
      <c r="J487" s="23" t="inlineStr">
        <is>
          <t>NOTFOUND</t>
        </is>
      </c>
      <c r="K487" s="20" t="n">
        <v>0</v>
      </c>
      <c r="L487" s="4" t="inlineStr">
        <is>
          <t>https://www.gucci.com/jp/ja/pr/men/bags-for-men/backpacks-for-men/bamboo-small-backpack-p-702101UZY0T2535</t>
        </is>
      </c>
      <c r="M487" s="5">
        <f t="array" ref="M487">_xlfn.IFS(J487="NOTFOUND",I487,J487&gt;=I487,J487)</f>
        <v/>
      </c>
    </row>
    <row r="488" ht="18" customHeight="1" s="16">
      <c r="A488" s="5" t="n">
        <v>487</v>
      </c>
      <c r="B488" s="5" t="inlineStr">
        <is>
          <t>GU-2739</t>
        </is>
      </c>
      <c r="D488" s="5" t="inlineStr">
        <is>
          <t>オフィディア GG スモール クロスボディバッグ</t>
        </is>
      </c>
      <c r="E488" s="5" t="inlineStr">
        <is>
          <t>699439 FADIC 9761</t>
        </is>
      </c>
      <c r="F488" s="5" t="inlineStr">
        <is>
          <t>ベージュ＆エボニー</t>
        </is>
      </c>
      <c r="G488" s="11" t="inlineStr">
        <is>
          <t>SOLD</t>
        </is>
      </c>
      <c r="H488" s="22" t="inlineStr">
        <is>
          <t>SOLD</t>
        </is>
      </c>
      <c r="I488" s="18" t="n">
        <v>242000</v>
      </c>
      <c r="J488" s="23" t="inlineStr">
        <is>
          <t>NOTFOUND</t>
        </is>
      </c>
      <c r="K488" s="20" t="n">
        <v>0</v>
      </c>
      <c r="L488" s="4" t="inlineStr">
        <is>
          <t>https://www.gucci.com/jp/ja/pr/women/handbags/crossbody-bags-for-women/ophidia-gg-small-crossbody-bag-p-699439FADIC9761</t>
        </is>
      </c>
      <c r="M488" s="5">
        <f t="array" ref="M488">_xlfn.IFS(J488="NOTFOUND",I488,J488&gt;=I488,J488)</f>
        <v/>
      </c>
    </row>
    <row r="489" ht="18" customHeight="1" s="16">
      <c r="A489" s="5" t="n">
        <v>488</v>
      </c>
      <c r="B489" s="5" t="inlineStr">
        <is>
          <t>GU-2740</t>
        </is>
      </c>
      <c r="D489" s="5" t="inlineStr">
        <is>
          <t>ジャッキー 1961 GG スモール ショルダーバッグ</t>
        </is>
      </c>
      <c r="E489" s="5" t="inlineStr">
        <is>
          <t>678843 UULAG 9682</t>
        </is>
      </c>
      <c r="F489" s="5" t="inlineStr">
        <is>
          <t xml:space="preserve">  -</t>
        </is>
      </c>
      <c r="G489" s="11" t="inlineStr">
        <is>
          <t>SOLD</t>
        </is>
      </c>
      <c r="H489" s="22" t="inlineStr">
        <is>
          <t>SOLD</t>
        </is>
      </c>
      <c r="I489" s="18" t="n">
        <v>352000</v>
      </c>
      <c r="J489" s="23" t="inlineStr">
        <is>
          <t>NOTFOUND</t>
        </is>
      </c>
      <c r="K489" s="20" t="n">
        <v>0</v>
      </c>
      <c r="L489" s="4" t="inlineStr">
        <is>
          <t>https://www.gucci.com/jp/ja/pr/women/handbags/shoulder-bags-for-women/half-moon-bags-for-women/jackie-1961-small-gg-shoulder-bag-p-678843UULAG9682</t>
        </is>
      </c>
      <c r="M489" s="5">
        <f t="array" ref="M489">_xlfn.IFS(J489="NOTFOUND",I489,J489&gt;=I489,J489)</f>
        <v/>
      </c>
    </row>
    <row r="490" ht="18" customHeight="1" s="16">
      <c r="A490" s="5" t="n">
        <v>489</v>
      </c>
      <c r="B490" s="5" t="inlineStr">
        <is>
          <t>GU-2741</t>
        </is>
      </c>
      <c r="D490" s="5" t="inlineStr">
        <is>
          <t>オフィディア GG スモール バックパック</t>
        </is>
      </c>
      <c r="E490" s="5" t="inlineStr">
        <is>
          <t>547965 FADID 9762</t>
        </is>
      </c>
      <c r="F490" s="5" t="inlineStr">
        <is>
          <t>ベージュ＆エボニー</t>
        </is>
      </c>
      <c r="G490" s="11" t="inlineStr">
        <is>
          <t>SOLD</t>
        </is>
      </c>
      <c r="H490" s="22" t="inlineStr">
        <is>
          <t>SOLD</t>
        </is>
      </c>
      <c r="I490" s="18" t="n">
        <v>253000</v>
      </c>
      <c r="J490" s="23" t="inlineStr">
        <is>
          <t>NOTFOUND</t>
        </is>
      </c>
      <c r="K490" s="20" t="n">
        <v>0</v>
      </c>
      <c r="L490" s="4" t="inlineStr">
        <is>
          <t>https://www.gucci.com/jp/ja/pr/men/bags-for-men/backpacks-for-men/ophidia-gg-small-backpack-p-547965FADID9762</t>
        </is>
      </c>
      <c r="M490" s="5">
        <f t="array" ref="M490">_xlfn.IFS(J490="NOTFOUND",I490,J490&gt;=I490,J490)</f>
        <v/>
      </c>
    </row>
    <row r="491" ht="18" customHeight="1" s="16">
      <c r="A491" s="5" t="n">
        <v>490</v>
      </c>
      <c r="B491" s="5" t="inlineStr">
        <is>
          <t>GU-2742</t>
        </is>
      </c>
      <c r="D491" s="5" t="inlineStr">
        <is>
          <t>グッチ リウェブ メンズ スニーカー</t>
        </is>
      </c>
      <c r="E491" s="5" t="inlineStr">
        <is>
          <t>787476 AADHW 9573</t>
        </is>
      </c>
      <c r="F491" s="5" t="inlineStr">
        <is>
          <t>オリジナルGGキャンバス</t>
        </is>
      </c>
      <c r="G491" s="10" t="inlineStr">
        <is>
          <t>5_5.5_6_6.5_7_7.5_8_8.5_9_9.5_10_10.5_11_11.5</t>
        </is>
      </c>
      <c r="H491" s="17" t="inlineStr">
        <is>
          <t>5_5.5_6_6.5_7_7.5_8_8.5_9_9.5_10_10.5_11_11.5</t>
        </is>
      </c>
      <c r="I491" s="18" t="n">
        <v>168300</v>
      </c>
      <c r="J491" s="19" t="n">
        <v>168300</v>
      </c>
      <c r="K491" s="20" t="n">
        <v>5</v>
      </c>
      <c r="L491" s="4" t="inlineStr">
        <is>
          <t>https://www.gucci.com/jp/ja/pr/men/shoes-for-men/sneakers-for-men/low-top-sneakers-for-men/mens-gucci-re-web-sneaker-p-787476AADHW9573</t>
        </is>
      </c>
      <c r="M491" s="5">
        <f t="array" ref="M491">_xlfn.IFS(J491="NOTFOUND",I491,J491&gt;=I491,J491)</f>
        <v/>
      </c>
    </row>
    <row r="492" ht="18" customHeight="1" s="16">
      <c r="A492" s="5" t="n">
        <v>491</v>
      </c>
      <c r="B492" s="5" t="inlineStr">
        <is>
          <t>GU-2743</t>
        </is>
      </c>
      <c r="D492" s="5" t="inlineStr">
        <is>
          <t>グッチ リウェブ メンズ スニーカー</t>
        </is>
      </c>
      <c r="E492" s="5" t="inlineStr">
        <is>
          <t>786186 AADJ9 9097</t>
        </is>
      </c>
      <c r="F492" s="5" t="inlineStr">
        <is>
          <t>ホワイト レザー</t>
        </is>
      </c>
      <c r="G492" s="10" t="inlineStr">
        <is>
          <t>5_5.5_6_6.5_7_7.5_8_8.5_9_9.5_10_10.5_11_11.5</t>
        </is>
      </c>
      <c r="H492" s="17" t="inlineStr">
        <is>
          <t>5_5.5_6_6.5_7_7.5_8_8.5_9_9.5_10_10.5_11_11.5</t>
        </is>
      </c>
      <c r="I492" s="18" t="n">
        <v>168300</v>
      </c>
      <c r="J492" s="19" t="n">
        <v>168300</v>
      </c>
      <c r="K492" s="20" t="n">
        <v>5</v>
      </c>
      <c r="L492" s="4" t="inlineStr">
        <is>
          <t>https://www.gucci.com/jp/ja/pr/men/shoes-for-men/sneakers-for-men/low-top-sneakers-for-men/mens-gucci-re-web-sneaker-p-786186AADJ99097</t>
        </is>
      </c>
      <c r="M492" s="5">
        <f t="array" ref="M492">_xlfn.IFS(J492="NOTFOUND",I492,J492&gt;=I492,J492)</f>
        <v/>
      </c>
    </row>
    <row r="493" ht="18" customHeight="1" s="16">
      <c r="A493" s="5" t="n">
        <v>492</v>
      </c>
      <c r="B493" s="5" t="inlineStr">
        <is>
          <t>GU-2744</t>
        </is>
      </c>
      <c r="D493" s="5" t="inlineStr">
        <is>
          <t>グッチ リウェブ メンズ スニーカー</t>
        </is>
      </c>
      <c r="E493" s="5" t="inlineStr">
        <is>
          <t>787476 AADHW 1077</t>
        </is>
      </c>
      <c r="F493" s="5" t="inlineStr">
        <is>
          <t>ブラック オリジナル</t>
        </is>
      </c>
      <c r="G493" s="10" t="inlineStr">
        <is>
          <t>5_5.5_6_6.5_7_7.5_8_8.5_9_9.5_10_10.5_11</t>
        </is>
      </c>
      <c r="H493" s="17" t="inlineStr">
        <is>
          <t>5_5.5_6_6.5_7_7.5_8_8.5_9_9.5_10_10.5_11</t>
        </is>
      </c>
      <c r="I493" s="18" t="n">
        <v>168300</v>
      </c>
      <c r="J493" s="19" t="n">
        <v>168300</v>
      </c>
      <c r="K493" s="20" t="n">
        <v>5</v>
      </c>
      <c r="L493" s="4" t="inlineStr">
        <is>
          <t>https://www.gucci.com/jp/ja/pr/men/shoes-for-men/sneakers-for-men/low-top-sneakers-for-men/mens-gucci-re-web-sneaker-p-787476AADHW1077</t>
        </is>
      </c>
      <c r="M493" s="5">
        <f t="array" ref="M493">_xlfn.IFS(J493="NOTFOUND",I493,J493&gt;=I493,J493)</f>
        <v/>
      </c>
    </row>
    <row r="494" ht="18" customHeight="1" s="16">
      <c r="A494" s="5" t="n">
        <v>493</v>
      </c>
      <c r="B494" s="5" t="inlineStr">
        <is>
          <t>GU-2745</t>
        </is>
      </c>
      <c r="D494" s="5" t="inlineStr">
        <is>
          <t>グッチ リウェブ メンズ スニーカー</t>
        </is>
      </c>
      <c r="E494" s="5" t="inlineStr">
        <is>
          <t>786186 AADPM 9055</t>
        </is>
      </c>
      <c r="F494" s="5" t="inlineStr">
        <is>
          <t>ホワイト レザー</t>
        </is>
      </c>
      <c r="G494" s="11" t="inlineStr">
        <is>
          <t>SOLD</t>
        </is>
      </c>
      <c r="H494" s="22" t="inlineStr">
        <is>
          <t>SOLD</t>
        </is>
      </c>
      <c r="I494" s="18" t="n">
        <v>168300</v>
      </c>
      <c r="J494" s="23" t="inlineStr">
        <is>
          <t>NOTFOUND</t>
        </is>
      </c>
      <c r="K494" s="20" t="n">
        <v>0</v>
      </c>
      <c r="L494" s="4" t="inlineStr">
        <is>
          <t>https://www.gucci.com/jp/ja/pr/men/shoes-for-men/sneakers-for-men/low-top-sneakers-for-men/mens-gucci-re-web-sneaker-p-786186AADPM9055</t>
        </is>
      </c>
      <c r="M494" s="5">
        <f t="array" ref="M494">_xlfn.IFS(J494="NOTFOUND",I494,J494&gt;=I494,J494)</f>
        <v/>
      </c>
    </row>
    <row r="495" ht="18" customHeight="1" s="16">
      <c r="A495" s="5" t="n">
        <v>494</v>
      </c>
      <c r="B495" s="5" t="inlineStr">
        <is>
          <t>GU-2746</t>
        </is>
      </c>
      <c r="D495" s="5" t="inlineStr">
        <is>
          <t>グッチ リウェブ メンズ スニーカー</t>
        </is>
      </c>
      <c r="E495" s="5" t="inlineStr">
        <is>
          <t>786186 AADKA 9570</t>
        </is>
      </c>
      <c r="F495" s="5" t="inlineStr">
        <is>
          <t>ホワイト レザー</t>
        </is>
      </c>
      <c r="G495" s="11" t="inlineStr">
        <is>
          <t>SOLD</t>
        </is>
      </c>
      <c r="H495" s="22" t="inlineStr">
        <is>
          <t>SOLD</t>
        </is>
      </c>
      <c r="I495" s="18" t="n">
        <v>168300</v>
      </c>
      <c r="J495" s="23" t="inlineStr">
        <is>
          <t>NOTFOUND</t>
        </is>
      </c>
      <c r="K495" s="20" t="n">
        <v>0</v>
      </c>
      <c r="L495" s="4" t="inlineStr">
        <is>
          <t>https://www.gucci.com/jp/ja/pr/men/shoes-for-men/sneakers-for-men/low-top-sneakers-for-men/mens-gucci-re-web-sneaker-p-786186AADKA9570</t>
        </is>
      </c>
      <c r="M495" s="5">
        <f t="array" ref="M495">_xlfn.IFS(J495="NOTFOUND",I495,J495&gt;=I495,J495)</f>
        <v/>
      </c>
    </row>
    <row r="496" ht="18" customHeight="1" s="16">
      <c r="A496" s="5" t="n">
        <v>495</v>
      </c>
      <c r="B496" s="5" t="inlineStr">
        <is>
          <t>GU-2747</t>
        </is>
      </c>
      <c r="D496" s="5" t="inlineStr">
        <is>
          <t>グッチ リウェブ メンズ スニーカー</t>
        </is>
      </c>
      <c r="E496" s="5" t="inlineStr">
        <is>
          <t>787476 AADHW 9568</t>
        </is>
      </c>
      <c r="F496" s="5" t="inlineStr">
        <is>
          <t>ベージュ＆エボニー</t>
        </is>
      </c>
      <c r="G496" s="10" t="inlineStr">
        <is>
          <t>5.5_6_6.5_7_7.5_8_8.5_9_9.5_10.5</t>
        </is>
      </c>
      <c r="H496" s="17" t="inlineStr">
        <is>
          <t>5.5_6_6.5_7_7.5_8_8.5_9_9.5_10.5</t>
        </is>
      </c>
      <c r="I496" s="18" t="n">
        <v>168300</v>
      </c>
      <c r="J496" s="19" t="n">
        <v>168300</v>
      </c>
      <c r="K496" s="20" t="n">
        <v>5</v>
      </c>
      <c r="L496" s="4" t="inlineStr">
        <is>
          <t>https://www.gucci.com/jp/ja/pr/men/shoes-for-men/sneakers-for-men/low-top-sneakers-for-men/mens-gucci-re-web-sneaker-p-787476AADHW9568</t>
        </is>
      </c>
      <c r="M496" s="5">
        <f t="array" ref="M496">_xlfn.IFS(J496="NOTFOUND",I496,J496&gt;=I496,J496)</f>
        <v/>
      </c>
    </row>
    <row r="497" ht="18" customHeight="1" s="16">
      <c r="A497" s="5" t="n">
        <v>496</v>
      </c>
      <c r="B497" s="5" t="inlineStr">
        <is>
          <t>GU-2748</t>
        </is>
      </c>
      <c r="D497" s="5" t="inlineStr">
        <is>
          <t>グッチ リウェブ メンズ スニーカー</t>
        </is>
      </c>
      <c r="E497" s="5" t="inlineStr">
        <is>
          <t>787476 AADHW 9571</t>
        </is>
      </c>
      <c r="F497" s="5" t="inlineStr">
        <is>
          <t>オリジナルGGキャンバス</t>
        </is>
      </c>
      <c r="G497" s="11" t="inlineStr">
        <is>
          <t>SOLD</t>
        </is>
      </c>
      <c r="H497" s="22" t="inlineStr">
        <is>
          <t>SOLD</t>
        </is>
      </c>
      <c r="I497" s="18" t="n">
        <v>168300</v>
      </c>
      <c r="J497" s="23" t="inlineStr">
        <is>
          <t>NOTFOUND</t>
        </is>
      </c>
      <c r="K497" s="20" t="n">
        <v>0</v>
      </c>
      <c r="L497" s="4" t="inlineStr">
        <is>
          <t>https://www.gucci.com/jp/ja/pr/men/shoes-for-men/sneakers-for-men/low-top-sneakers-for-men/mens-gucci-re-web-sneaker-p-787476AADHW9571</t>
        </is>
      </c>
      <c r="M497" s="5">
        <f t="array" ref="M497">_xlfn.IFS(J497="NOTFOUND",I497,J497&gt;=I497,J497)</f>
        <v/>
      </c>
    </row>
    <row r="498" ht="18" customHeight="1" s="16">
      <c r="A498" s="5" t="n">
        <v>497</v>
      </c>
      <c r="B498" s="5" t="inlineStr">
        <is>
          <t>GU-2749</t>
        </is>
      </c>
      <c r="D498" s="5" t="inlineStr">
        <is>
          <t>インターロッキングG メンズ スニーカー</t>
        </is>
      </c>
      <c r="E498" s="5" t="inlineStr">
        <is>
          <t>791742 AADM0 9110</t>
        </is>
      </c>
      <c r="F498" s="5" t="inlineStr">
        <is>
          <t>ホワイト スエード</t>
        </is>
      </c>
      <c r="G498" s="10" t="inlineStr">
        <is>
          <t>5_6_6.5_7_7.5_8_8.5_9_9.5_10_10.5_11</t>
        </is>
      </c>
      <c r="H498" s="17" t="inlineStr">
        <is>
          <t>5_6_6.5_7_7.5_8_8.5_9_9.5_10_10.5_11</t>
        </is>
      </c>
      <c r="I498" s="18" t="n">
        <v>139700</v>
      </c>
      <c r="J498" s="19" t="n">
        <v>139700</v>
      </c>
      <c r="K498" s="20" t="n">
        <v>5</v>
      </c>
      <c r="L498" s="4" t="inlineStr">
        <is>
          <t>https://www.gucci.com/jp/ja/pr/men/shoes-for-men/sneakers-for-men/low-top-sneakers-for-men/mens-interlocking-g-sneaker-p-791742AADM09110</t>
        </is>
      </c>
      <c r="M498" s="5">
        <f t="array" ref="M498">_xlfn.IFS(J498="NOTFOUND",I498,J498&gt;=I498,J498)</f>
        <v/>
      </c>
    </row>
    <row r="499" ht="18" customHeight="1" s="16">
      <c r="A499" s="5" t="n">
        <v>498</v>
      </c>
      <c r="B499" s="5" t="inlineStr">
        <is>
          <t>GU-2750</t>
        </is>
      </c>
      <c r="D499" s="5" t="inlineStr">
        <is>
          <t>インターロッキングG メンズ スニーカー</t>
        </is>
      </c>
      <c r="E499" s="5" t="inlineStr">
        <is>
          <t>791742 AADM0 4141</t>
        </is>
      </c>
      <c r="F499" s="5" t="inlineStr">
        <is>
          <t>ブルー スエード</t>
        </is>
      </c>
      <c r="G499" s="10" t="inlineStr">
        <is>
          <t>5_5.5_6_6.5_7_7.5_8_8.5_9_9.5_10_10.5_11</t>
        </is>
      </c>
      <c r="H499" s="17" t="inlineStr">
        <is>
          <t>5_5.5_6_6.5_7_7.5_8_8.5_9_9.5_10_10.5_11</t>
        </is>
      </c>
      <c r="I499" s="18" t="n">
        <v>139700</v>
      </c>
      <c r="J499" s="19" t="n">
        <v>139700</v>
      </c>
      <c r="K499" s="20" t="n">
        <v>5</v>
      </c>
      <c r="L499" s="4" t="inlineStr">
        <is>
          <t>https://www.gucci.com/jp/ja/pr/men/shoes-for-men/sneakers-for-men/low-top-sneakers-for-men/mens-interlocking-g-sneaker-p-791742AADM04141</t>
        </is>
      </c>
      <c r="M499" s="5">
        <f t="array" ref="M499">_xlfn.IFS(J499="NOTFOUND",I499,J499&gt;=I499,J499)</f>
        <v/>
      </c>
    </row>
    <row r="500" ht="18" customHeight="1" s="16">
      <c r="A500" s="5" t="n">
        <v>499</v>
      </c>
      <c r="B500" s="5" t="inlineStr">
        <is>
          <t>GU-2751</t>
        </is>
      </c>
      <c r="D500" s="5" t="inlineStr">
        <is>
          <t>インターロッキングG メンズ スニーカー</t>
        </is>
      </c>
      <c r="E500" s="5" t="inlineStr">
        <is>
          <t>791742 AADM0 3143</t>
        </is>
      </c>
      <c r="F500" s="5" t="inlineStr">
        <is>
          <t>グリーン スエード</t>
        </is>
      </c>
      <c r="G500" s="11" t="inlineStr">
        <is>
          <t>SOLD</t>
        </is>
      </c>
      <c r="H500" s="22" t="inlineStr">
        <is>
          <t>SOLD</t>
        </is>
      </c>
      <c r="I500" s="18" t="n">
        <v>139700</v>
      </c>
      <c r="J500" s="23" t="inlineStr">
        <is>
          <t>NOTFOUND</t>
        </is>
      </c>
      <c r="K500" s="20" t="n">
        <v>0</v>
      </c>
      <c r="L500" s="4" t="inlineStr">
        <is>
          <t>https://www.gucci.com/jp/ja/pr/men/shoes-for-men/sneakers-for-men/low-top-sneakers-for-men/mens-interlocking-g-sneaker-p-791742AADM03143</t>
        </is>
      </c>
      <c r="M500" s="5">
        <f t="array" ref="M500">_xlfn.IFS(J500="NOTFOUND",I500,J500&gt;=I500,J500)</f>
        <v/>
      </c>
    </row>
    <row r="501" ht="18" customHeight="1" s="16">
      <c r="A501" s="5" t="n">
        <v>500</v>
      </c>
      <c r="B501" s="5" t="inlineStr">
        <is>
          <t>GU-2752</t>
        </is>
      </c>
      <c r="D501" s="5" t="inlineStr">
        <is>
          <t>インターロッキングG メンズ スニーカー</t>
        </is>
      </c>
      <c r="E501" s="5" t="inlineStr">
        <is>
          <t>791742 AADM0 6444</t>
        </is>
      </c>
      <c r="F501" s="5" t="inlineStr">
        <is>
          <t>レッド スエード</t>
        </is>
      </c>
      <c r="G501" s="11" t="inlineStr">
        <is>
          <t>SOLD</t>
        </is>
      </c>
      <c r="H501" s="22" t="inlineStr">
        <is>
          <t>SOLD</t>
        </is>
      </c>
      <c r="I501" s="18" t="n">
        <v>139700</v>
      </c>
      <c r="J501" s="23" t="inlineStr">
        <is>
          <t>NOTFOUND</t>
        </is>
      </c>
      <c r="K501" s="20" t="n">
        <v>0</v>
      </c>
      <c r="L501" s="4" t="inlineStr">
        <is>
          <t>https://www.gucci.com/jp/ja/pr/men/shoes-for-men/sneakers-for-men/low-top-sneakers-for-men/mens-interlocking-g-sneaker-p-791742AADM06444</t>
        </is>
      </c>
      <c r="M501" s="5">
        <f t="array" ref="M501">_xlfn.IFS(J501="NOTFOUND",I501,J501&gt;=I501,J501)</f>
        <v/>
      </c>
    </row>
    <row r="502" ht="18" customHeight="1" s="16">
      <c r="A502" s="5" t="n">
        <v>501</v>
      </c>
      <c r="B502" s="5" t="inlineStr">
        <is>
          <t>GU-2753</t>
        </is>
      </c>
      <c r="D502" s="5" t="inlineStr">
        <is>
          <t>エース ウェブ ストライプ メンズ スニーカー</t>
        </is>
      </c>
      <c r="E502" s="5" t="inlineStr">
        <is>
          <t>757892 AACAG 1096</t>
        </is>
      </c>
      <c r="F502" s="5" t="inlineStr">
        <is>
          <t>ブラック レザー</t>
        </is>
      </c>
      <c r="G502" s="10" t="inlineStr">
        <is>
          <t>5_5.5_6_6.5_7_7.5_8_8.5_9_9.5_10_10.5_11</t>
        </is>
      </c>
      <c r="H502" s="17" t="inlineStr">
        <is>
          <t>5_5.5_6_6.5_7_7.5_8_8.5_9_9.5_10_10.5_11</t>
        </is>
      </c>
      <c r="I502" s="18" t="n">
        <v>125400</v>
      </c>
      <c r="J502" s="19" t="n">
        <v>132000</v>
      </c>
      <c r="K502" s="20" t="n">
        <v>5</v>
      </c>
      <c r="L502" s="4" t="inlineStr">
        <is>
          <t>https://www.gucci.com/jp/ja/pr/men/shoes-for-men/sneakers-for-men/low-top-sneakers-for-men/mens-gucci-ace-sneaker-with-web-p-757892AACAG1096</t>
        </is>
      </c>
      <c r="M502" s="5">
        <f t="array" ref="M502">_xlfn.IFS(J502="NOTFOUND",I502,J502&gt;=I502,J502)</f>
        <v/>
      </c>
    </row>
    <row r="503" ht="18" customHeight="1" s="16">
      <c r="A503" s="5" t="n">
        <v>502</v>
      </c>
      <c r="B503" s="5" t="inlineStr">
        <is>
          <t>GU-2754</t>
        </is>
      </c>
      <c r="D503" s="5" t="inlineStr">
        <is>
          <t>エース ウェブ ストライプ メンズ スニーカー</t>
        </is>
      </c>
      <c r="E503" s="5" t="inlineStr">
        <is>
          <t>760775 FACMZ 9746</t>
        </is>
      </c>
      <c r="F503" s="5" t="inlineStr">
        <is>
          <t>ベージュ＆エボニー</t>
        </is>
      </c>
      <c r="G503" s="10" t="inlineStr">
        <is>
          <t>5_5.5_6_6.5_7_7.5_8_8.5_9_9.5_10_10.5_11_11.5</t>
        </is>
      </c>
      <c r="H503" s="17" t="inlineStr">
        <is>
          <t>5_5.5_6_6.5_7_7.5_8_8.5_9_9.5_10_10.5_11_11.5</t>
        </is>
      </c>
      <c r="I503" s="18" t="n">
        <v>117700</v>
      </c>
      <c r="J503" s="19" t="n">
        <v>117700</v>
      </c>
      <c r="K503" s="20" t="n">
        <v>5</v>
      </c>
      <c r="L503" s="4" t="inlineStr">
        <is>
          <t>https://www.gucci.com/jp/ja/pr/men/shoes-for-men/sneakers-for-men/low-top-sneakers-for-men/mens-gucci-ace-sneaker-with-web-p-760775FACMZ9746</t>
        </is>
      </c>
      <c r="M503" s="5">
        <f t="array" ref="M503">_xlfn.IFS(J503="NOTFOUND",I503,J503&gt;=I503,J503)</f>
        <v/>
      </c>
    </row>
    <row r="504" ht="18" customHeight="1" s="16">
      <c r="A504" s="5" t="n">
        <v>503</v>
      </c>
      <c r="B504" s="5" t="inlineStr">
        <is>
          <t>GU-2755</t>
        </is>
      </c>
      <c r="D504" s="5" t="inlineStr">
        <is>
          <t>エース ウェブ ストライプ メンズ スニーカー</t>
        </is>
      </c>
      <c r="E504" s="5" t="inlineStr">
        <is>
          <t>760775 FACMZ 1065</t>
        </is>
      </c>
      <c r="F504" s="5" t="inlineStr">
        <is>
          <t>ブラック</t>
        </is>
      </c>
      <c r="G504" s="10" t="inlineStr">
        <is>
          <t>5_5.5_6_6.5_7_7.5_8_8.5_9_9.5_10_10.5_11</t>
        </is>
      </c>
      <c r="H504" s="17" t="inlineStr">
        <is>
          <t>5_5.5_6_6.5_7_7.5_8_8.5_9_9.5_10_10.5_11</t>
        </is>
      </c>
      <c r="I504" s="18" t="n">
        <v>117700</v>
      </c>
      <c r="J504" s="19" t="n">
        <v>117700</v>
      </c>
      <c r="K504" s="20" t="n">
        <v>5</v>
      </c>
      <c r="L504" s="4" t="inlineStr">
        <is>
          <t>https://www.gucci.com/jp/ja/pr/men/shoes-for-men/sneakers-for-men/low-top-sneakers-for-men/mens-gucci-ace-sneaker-with-web-p-760775FACMZ1065</t>
        </is>
      </c>
      <c r="M504" s="5">
        <f t="array" ref="M504">_xlfn.IFS(J504="NOTFOUND",I504,J504&gt;=I504,J504)</f>
        <v/>
      </c>
    </row>
    <row r="505" ht="18" customHeight="1" s="16">
      <c r="A505" s="5" t="n">
        <v>504</v>
      </c>
      <c r="B505" s="5" t="inlineStr">
        <is>
          <t>GU-2756</t>
        </is>
      </c>
      <c r="D505" s="5" t="inlineStr">
        <is>
          <t>エース ウェブ ストライプ メンズ スニーカー</t>
        </is>
      </c>
      <c r="E505" s="5" t="inlineStr">
        <is>
          <t>760775 FACMZ 4049</t>
        </is>
      </c>
      <c r="F505" s="5" t="inlineStr">
        <is>
          <t>ベージュ＆ブルー</t>
        </is>
      </c>
      <c r="G505" s="10" t="inlineStr">
        <is>
          <t>5.5_6_6.5_7_7.5_8_8.5_9_9.5_10</t>
        </is>
      </c>
      <c r="H505" s="17" t="inlineStr">
        <is>
          <t>5.5_6_6.5_7_7.5_8_8.5_9_9.5_10</t>
        </is>
      </c>
      <c r="I505" s="18" t="n">
        <v>117700</v>
      </c>
      <c r="J505" s="19" t="n">
        <v>117700</v>
      </c>
      <c r="K505" s="20" t="n">
        <v>5</v>
      </c>
      <c r="L505" s="4" t="inlineStr">
        <is>
          <t>https://www.gucci.com/jp/ja/pr/men/shoes-for-men/sneakers-for-men/low-top-sneakers-for-men/mens-gucci-ace-sneaker-with-web-p-760775FACMZ4049</t>
        </is>
      </c>
      <c r="M505" s="5">
        <f t="array" ref="M505">_xlfn.IFS(J505="NOTFOUND",I505,J505&gt;=I505,J505)</f>
        <v/>
      </c>
    </row>
    <row r="506" ht="18" customHeight="1" s="16">
      <c r="A506" s="5" t="n">
        <v>505</v>
      </c>
      <c r="B506" s="5" t="inlineStr">
        <is>
          <t>GU-2757</t>
        </is>
      </c>
      <c r="D506" s="5" t="inlineStr">
        <is>
          <t>エース ウェブ ストライプ メンズ スニーカー</t>
        </is>
      </c>
      <c r="E506" s="5" t="inlineStr">
        <is>
          <t>757892 AACAG 9055</t>
        </is>
      </c>
      <c r="F506" s="5" t="inlineStr">
        <is>
          <t>ホワイト レザー</t>
        </is>
      </c>
      <c r="G506" s="10" t="inlineStr">
        <is>
          <t>5_5.5_6_6.5_7_7.5_8_8.5_9_9.5_10_10.5_11_11.5</t>
        </is>
      </c>
      <c r="H506" s="17" t="inlineStr">
        <is>
          <t>5_5.5_6_6.5_7_7.5_8_8.5_9_9.5_10_10.5_11_11.5</t>
        </is>
      </c>
      <c r="I506" s="18" t="n">
        <v>125400</v>
      </c>
      <c r="J506" s="19" t="n">
        <v>132000</v>
      </c>
      <c r="K506" s="20" t="n">
        <v>5</v>
      </c>
      <c r="L506" s="4" t="inlineStr">
        <is>
          <t>https://www.gucci.com/jp/ja/pr/men/shoes-for-men/sneakers-for-men/low-top-sneakers-for-men/mens-gucci-ace-sneaker-with-web-p-757892AACAG9055</t>
        </is>
      </c>
      <c r="M506" s="5">
        <f t="array" ref="M506">_xlfn.IFS(J506="NOTFOUND",I506,J506&gt;=I506,J506)</f>
        <v/>
      </c>
    </row>
    <row r="507" ht="18" customHeight="1" s="16">
      <c r="A507" s="5" t="n">
        <v>506</v>
      </c>
      <c r="B507" s="5" t="inlineStr">
        <is>
          <t>GU-2758</t>
        </is>
      </c>
      <c r="D507" s="5" t="inlineStr">
        <is>
          <t>エース エンブロイダリー付き メンズ スニーカー</t>
        </is>
      </c>
      <c r="E507" s="5" t="inlineStr">
        <is>
          <t>429446 02JP0 9064</t>
        </is>
      </c>
      <c r="F507" s="5" t="inlineStr">
        <is>
          <t>ホワイト レザー</t>
        </is>
      </c>
      <c r="G507" s="10" t="inlineStr">
        <is>
          <t>5_5.5_6_6.5_7_7.5_8_8.5_9_9.5_10_10.5_11_11.5_12_12.5_13_13.5_14_14.5_15_15.5_16</t>
        </is>
      </c>
      <c r="H507" s="17" t="inlineStr">
        <is>
          <t>5_5.5_6_6.5_7_7.5_8_8.5_9_9.5_10_10.5_11_11.5_12_12.5_13_13.5_14_14.5_15_15.5_16</t>
        </is>
      </c>
      <c r="I507" s="18" t="n">
        <v>125400</v>
      </c>
      <c r="J507" s="19" t="n">
        <v>132000</v>
      </c>
      <c r="K507" s="20" t="n">
        <v>5</v>
      </c>
      <c r="L507" s="4" t="inlineStr">
        <is>
          <t>https://www.gucci.com/jp/ja/pr/men/shoes-for-men/sneakers-for-men/low-top-sneakers-for-men/mens-gucci-ace-embroidered-sneaker-p-42944602JP09064</t>
        </is>
      </c>
      <c r="M507" s="5">
        <f t="array" ref="M507">_xlfn.IFS(J507="NOTFOUND",I507,J507&gt;=I507,J507)</f>
        <v/>
      </c>
    </row>
    <row r="508" ht="18" customHeight="1" s="16">
      <c r="A508" s="5" t="n">
        <v>507</v>
      </c>
      <c r="B508" s="5" t="inlineStr">
        <is>
          <t>GU-2759</t>
        </is>
      </c>
      <c r="D508" s="5" t="inlineStr">
        <is>
          <t>エース エンブロイダリー付き メンズ スニーカー</t>
        </is>
      </c>
      <c r="E508" s="5" t="inlineStr">
        <is>
          <t>429446 02JP0 1284</t>
        </is>
      </c>
      <c r="F508" s="5" t="inlineStr">
        <is>
          <t>ブラック レザー</t>
        </is>
      </c>
      <c r="G508" s="11" t="inlineStr">
        <is>
          <t>SOLD</t>
        </is>
      </c>
      <c r="H508" s="22" t="inlineStr">
        <is>
          <t>SOLD</t>
        </is>
      </c>
      <c r="I508" s="18" t="n">
        <v>125400</v>
      </c>
      <c r="J508" s="23" t="inlineStr">
        <is>
          <t>NOTFOUND</t>
        </is>
      </c>
      <c r="K508" s="20" t="n">
        <v>0</v>
      </c>
      <c r="L508" s="4" t="inlineStr">
        <is>
          <t>https://www.gucci.com/jp/ja/pr/men/shoes-for-men/sneakers-for-men/low-top-sneakers-for-men/mens-gucci-ace-embroidered-sneaker-p-42944602JP01284</t>
        </is>
      </c>
      <c r="M508" s="5">
        <f t="array" ref="M508">_xlfn.IFS(J508="NOTFOUND",I508,J508&gt;=I508,J508)</f>
        <v/>
      </c>
    </row>
    <row r="509" ht="18" customHeight="1" s="16">
      <c r="A509" s="5" t="n">
        <v>508</v>
      </c>
      <c r="B509" s="5" t="inlineStr">
        <is>
          <t>GU-2760</t>
        </is>
      </c>
      <c r="D509" s="5" t="inlineStr">
        <is>
          <t>グッチ リップル メンズ スニーカー</t>
        </is>
      </c>
      <c r="E509" s="5" t="inlineStr">
        <is>
          <t>787645 FADF3 9046</t>
        </is>
      </c>
      <c r="F509" s="5" t="inlineStr">
        <is>
          <t>ホワイト＆グレー メッシュ</t>
        </is>
      </c>
      <c r="G509" s="11" t="inlineStr">
        <is>
          <t>SOLD</t>
        </is>
      </c>
      <c r="H509" s="22" t="inlineStr">
        <is>
          <t>SOLD</t>
        </is>
      </c>
      <c r="I509" s="18" t="n">
        <v>207900</v>
      </c>
      <c r="J509" s="23" t="inlineStr">
        <is>
          <t>NOTFOUND</t>
        </is>
      </c>
      <c r="K509" s="20" t="n">
        <v>0</v>
      </c>
      <c r="L509" s="4" t="inlineStr">
        <is>
          <t>https://www.gucci.com/jp/ja/pr/men/shoes-for-men/sneakers-for-men/low-top-sneakers-for-men/mens-gucci-ripple-sneaker-p-787645FADF39046</t>
        </is>
      </c>
      <c r="M509" s="5">
        <f t="array" ref="M509">_xlfn.IFS(J509="NOTFOUND",I509,J509&gt;=I509,J509)</f>
        <v/>
      </c>
    </row>
    <row r="510" ht="18" customHeight="1" s="16">
      <c r="A510" s="5" t="n">
        <v>509</v>
      </c>
      <c r="B510" s="5" t="inlineStr">
        <is>
          <t>GU-2761</t>
        </is>
      </c>
      <c r="D510" s="5" t="inlineStr">
        <is>
          <t>グッチ リップル メンズ スニーカー</t>
        </is>
      </c>
      <c r="E510" s="5" t="inlineStr">
        <is>
          <t>787645 FADF3 1058</t>
        </is>
      </c>
      <c r="F510" s="5" t="inlineStr">
        <is>
          <t>ブラック メッシュ</t>
        </is>
      </c>
      <c r="G510" s="11" t="inlineStr">
        <is>
          <t>SOLD</t>
        </is>
      </c>
      <c r="H510" s="22" t="inlineStr">
        <is>
          <t>SOLD</t>
        </is>
      </c>
      <c r="I510" s="18" t="n">
        <v>207900</v>
      </c>
      <c r="J510" s="23" t="inlineStr">
        <is>
          <t>NOTFOUND</t>
        </is>
      </c>
      <c r="K510" s="20" t="n">
        <v>0</v>
      </c>
      <c r="L510" s="4" t="inlineStr">
        <is>
          <t>https://www.gucci.com/jp/ja/pr/men/shoes-for-men/sneakers-for-men/low-top-sneakers-for-men/mens-gucci-ripple-sneaker-p-787645FADF31058</t>
        </is>
      </c>
      <c r="M510" s="5">
        <f t="array" ref="M510">_xlfn.IFS(J510="NOTFOUND",I510,J510&gt;=I510,J510)</f>
        <v/>
      </c>
    </row>
    <row r="511" ht="18" customHeight="1" s="16">
      <c r="A511" s="5" t="n">
        <v>510</v>
      </c>
      <c r="B511" s="5" t="inlineStr">
        <is>
          <t>GU-2762</t>
        </is>
      </c>
      <c r="D511" s="5" t="inlineStr">
        <is>
          <t>グッチ リップル メンズ スニーカー</t>
        </is>
      </c>
      <c r="E511" s="5" t="inlineStr">
        <is>
          <t>787645 FADF3 3341</t>
        </is>
      </c>
      <c r="F511" s="5" t="inlineStr">
        <is>
          <t>グリーン＆オレンジ メッシュ</t>
        </is>
      </c>
      <c r="G511" s="11" t="inlineStr">
        <is>
          <t>SOLD</t>
        </is>
      </c>
      <c r="H511" s="22" t="inlineStr">
        <is>
          <t>SOLD</t>
        </is>
      </c>
      <c r="I511" s="18" t="n">
        <v>207900</v>
      </c>
      <c r="J511" s="23" t="inlineStr">
        <is>
          <t>NOTFOUND</t>
        </is>
      </c>
      <c r="K511" s="20" t="n">
        <v>0</v>
      </c>
      <c r="L511" s="4" t="inlineStr">
        <is>
          <t>https://www.gucci.com/jp/ja/pr/men/shoes-for-men/sneakers-for-men/low-top-sneakers-for-men/mens-gucci-ripple-sneaker-p-787645FADF33341</t>
        </is>
      </c>
      <c r="M511" s="5">
        <f t="array" ref="M511">_xlfn.IFS(J511="NOTFOUND",I511,J511&gt;=I511,J511)</f>
        <v/>
      </c>
    </row>
    <row r="512" ht="18" customHeight="1" s="16">
      <c r="A512" s="5" t="n">
        <v>511</v>
      </c>
      <c r="B512" s="5" t="inlineStr">
        <is>
          <t>GU-2763</t>
        </is>
      </c>
      <c r="D512" s="5" t="inlineStr">
        <is>
          <t>グッチ リップル メンズ スニーカー</t>
        </is>
      </c>
      <c r="E512" s="5" t="inlineStr">
        <is>
          <t>771471 AAC95 1000</t>
        </is>
      </c>
      <c r="F512" s="5" t="inlineStr">
        <is>
          <t>ブラック レザー</t>
        </is>
      </c>
      <c r="G512" s="11" t="inlineStr">
        <is>
          <t>SOLD</t>
        </is>
      </c>
      <c r="H512" s="22" t="inlineStr">
        <is>
          <t>SOLD</t>
        </is>
      </c>
      <c r="I512" s="18" t="n">
        <v>207900</v>
      </c>
      <c r="J512" s="23" t="inlineStr">
        <is>
          <t>NOTFOUND</t>
        </is>
      </c>
      <c r="K512" s="20" t="n">
        <v>0</v>
      </c>
      <c r="L512" s="4" t="inlineStr">
        <is>
          <t>https://www.gucci.com/jp/ja/pr/men/shoes-for-men/sneakers-for-men/low-top-sneakers-for-men/mens-gucci-ripple-sneaker-p-771471AAC951000</t>
        </is>
      </c>
      <c r="M512" s="5">
        <f t="array" ref="M512">_xlfn.IFS(J512="NOTFOUND",I512,J512&gt;=I512,J512)</f>
        <v/>
      </c>
    </row>
    <row r="513" ht="18" customHeight="1" s="16">
      <c r="A513" s="5" t="n">
        <v>512</v>
      </c>
      <c r="B513" s="5" t="inlineStr">
        <is>
          <t>GU-2764</t>
        </is>
      </c>
      <c r="D513" s="5" t="inlineStr">
        <is>
          <t>グッチ リップル メンズ スニーカー</t>
        </is>
      </c>
      <c r="E513" s="5" t="inlineStr">
        <is>
          <t>771471 AAC95 9110</t>
        </is>
      </c>
      <c r="F513" s="5" t="inlineStr">
        <is>
          <t>オフホワイト レザー</t>
        </is>
      </c>
      <c r="G513" s="11" t="inlineStr">
        <is>
          <t>SOLD</t>
        </is>
      </c>
      <c r="H513" s="22" t="inlineStr">
        <is>
          <t>SOLD</t>
        </is>
      </c>
      <c r="I513" s="18" t="n">
        <v>207900</v>
      </c>
      <c r="J513" s="23" t="inlineStr">
        <is>
          <t>NOTFOUND</t>
        </is>
      </c>
      <c r="K513" s="20" t="n">
        <v>0</v>
      </c>
      <c r="L513" s="4" t="inlineStr">
        <is>
          <t>https://www.gucci.com/jp/ja/pr/men/shoes-for-men/sneakers-for-men/low-top-sneakers-for-men/mens-gucci-ripple-sneaker-p-771471AAC959110</t>
        </is>
      </c>
      <c r="M513" s="5">
        <f t="array" ref="M513">_xlfn.IFS(J513="NOTFOUND",I513,J513&gt;=I513,J513)</f>
        <v/>
      </c>
    </row>
    <row r="514" ht="18" customHeight="1" s="16">
      <c r="A514" s="5" t="n">
        <v>513</v>
      </c>
      <c r="B514" s="5" t="inlineStr">
        <is>
          <t>GU-2765</t>
        </is>
      </c>
      <c r="D514" s="5" t="inlineStr">
        <is>
          <t>GUCCI RUN メンズ スニーカー</t>
        </is>
      </c>
      <c r="E514" s="5" t="inlineStr">
        <is>
          <t>749785 AAB62 9144</t>
        </is>
      </c>
      <c r="F514" s="5" t="inlineStr">
        <is>
          <t>ホワイト スエード</t>
        </is>
      </c>
      <c r="G514" s="11" t="inlineStr">
        <is>
          <t>SOLD</t>
        </is>
      </c>
      <c r="H514" s="22" t="inlineStr">
        <is>
          <t>SOLD</t>
        </is>
      </c>
      <c r="I514" s="18" t="n">
        <v>161700</v>
      </c>
      <c r="J514" s="23" t="inlineStr">
        <is>
          <t>NOTFOUND</t>
        </is>
      </c>
      <c r="K514" s="20" t="n">
        <v>0</v>
      </c>
      <c r="L514" s="4" t="inlineStr">
        <is>
          <t>https://www.gucci.com/jp/ja/pr/men/shoes-for-men/sneakers-for-men/low-top-sneakers-for-men/mens-gucci-run-sneaker-p-749785AAB629144</t>
        </is>
      </c>
      <c r="M514" s="5">
        <f t="array" ref="M514">_xlfn.IFS(J514="NOTFOUND",I514,J514&gt;=I514,J514)</f>
        <v/>
      </c>
    </row>
    <row r="515" ht="18" customHeight="1" s="16">
      <c r="A515" s="5" t="n">
        <v>514</v>
      </c>
      <c r="B515" s="5" t="inlineStr">
        <is>
          <t>GU-2766</t>
        </is>
      </c>
      <c r="D515" s="5" t="inlineStr">
        <is>
          <t>GUCCI RUN メンズ スニーカー</t>
        </is>
      </c>
      <c r="E515" s="5" t="inlineStr">
        <is>
          <t>749785 AAB62 1441</t>
        </is>
      </c>
      <c r="F515" s="5" t="inlineStr">
        <is>
          <t>ライトグレー レザー</t>
        </is>
      </c>
      <c r="G515" s="11" t="inlineStr">
        <is>
          <t>SOLD</t>
        </is>
      </c>
      <c r="H515" s="22" t="inlineStr">
        <is>
          <t>SOLD</t>
        </is>
      </c>
      <c r="I515" s="18" t="n">
        <v>161700</v>
      </c>
      <c r="J515" s="23" t="inlineStr">
        <is>
          <t>NOTFOUND</t>
        </is>
      </c>
      <c r="K515" s="20" t="n">
        <v>0</v>
      </c>
      <c r="L515" s="4" t="inlineStr">
        <is>
          <t>https://www.gucci.com/jp/ja/pr/men/shoes-for-men/sneakers-for-men/low-top-sneakers-for-men/mens-gucci-run-sneaker-p-749785AAB621441</t>
        </is>
      </c>
      <c r="M515" s="5">
        <f t="array" ref="M515">_xlfn.IFS(J515="NOTFOUND",I515,J515&gt;=I515,J515)</f>
        <v/>
      </c>
    </row>
    <row r="516" ht="18" customHeight="1" s="16">
      <c r="A516" s="5" t="n">
        <v>515</v>
      </c>
      <c r="B516" s="5" t="inlineStr">
        <is>
          <t>GU-2767</t>
        </is>
      </c>
      <c r="D516" s="5" t="inlineStr">
        <is>
          <t>GUCCI RUN メンズ スニーカー</t>
        </is>
      </c>
      <c r="E516" s="5" t="inlineStr">
        <is>
          <t>749785 AACSK 1089</t>
        </is>
      </c>
      <c r="F516" s="5" t="inlineStr">
        <is>
          <t>ブラック スエード</t>
        </is>
      </c>
      <c r="G516" s="11" t="inlineStr">
        <is>
          <t>SOLD</t>
        </is>
      </c>
      <c r="H516" s="22" t="inlineStr">
        <is>
          <t>SOLD</t>
        </is>
      </c>
      <c r="I516" s="18" t="n">
        <v>161700</v>
      </c>
      <c r="J516" s="23" t="inlineStr">
        <is>
          <t>NOTFOUND</t>
        </is>
      </c>
      <c r="K516" s="20" t="n">
        <v>0</v>
      </c>
      <c r="L516" s="4" t="inlineStr">
        <is>
          <t>https://www.gucci.com/jp/ja/pr/men/shoes-for-men/sneakers-for-men/low-top-sneakers-for-men/mens-gucci-run-sneaker-p-749785AACSK1089</t>
        </is>
      </c>
      <c r="M516" s="5">
        <f t="array" ref="M516">_xlfn.IFS(J516="NOTFOUND",I516,J516&gt;=I516,J516)</f>
        <v/>
      </c>
    </row>
    <row r="517" ht="18" customHeight="1" s="16">
      <c r="A517" s="5" t="n">
        <v>516</v>
      </c>
      <c r="B517" s="5" t="inlineStr">
        <is>
          <t>GU-2768</t>
        </is>
      </c>
      <c r="D517" s="5" t="inlineStr">
        <is>
          <t>MAC80 メンズ スニーカー</t>
        </is>
      </c>
      <c r="E517" s="5" t="inlineStr">
        <is>
          <t>782783 FAC97 9449</t>
        </is>
      </c>
      <c r="F517" s="5" t="inlineStr">
        <is>
          <t xml:space="preserve">  -</t>
        </is>
      </c>
      <c r="G517" s="11" t="inlineStr">
        <is>
          <t>SOLD</t>
        </is>
      </c>
      <c r="H517" s="22" t="inlineStr">
        <is>
          <t>SOLD</t>
        </is>
      </c>
      <c r="I517" s="18" t="n">
        <v>139700</v>
      </c>
      <c r="J517" s="23" t="inlineStr">
        <is>
          <t>NOTFOUND</t>
        </is>
      </c>
      <c r="K517" s="20" t="n">
        <v>0</v>
      </c>
      <c r="L517" s="4" t="inlineStr">
        <is>
          <t>https://www.gucci.com/jp/ja/pr/men/shoes-for-men/sneakers-for-men/low-top-sneakers-for-men/mens-mac80-sneaker-p-782783FAC979449</t>
        </is>
      </c>
      <c r="M517" s="5">
        <f t="array" ref="M517">_xlfn.IFS(J517="NOTFOUND",I517,J517&gt;=I517,J517)</f>
        <v/>
      </c>
    </row>
    <row r="518" ht="18" customHeight="1" s="16">
      <c r="A518" s="5" t="n">
        <v>517</v>
      </c>
      <c r="B518" s="5" t="inlineStr">
        <is>
          <t>GU-2769</t>
        </is>
      </c>
      <c r="D518" s="5" t="inlineStr">
        <is>
          <t>MAC80 メンズ スニーカー</t>
        </is>
      </c>
      <c r="E518" s="5" t="inlineStr">
        <is>
          <t>756811 AAB79 1051</t>
        </is>
      </c>
      <c r="F518" s="5" t="inlineStr">
        <is>
          <t xml:space="preserve">  -</t>
        </is>
      </c>
      <c r="G518" s="11" t="inlineStr">
        <is>
          <t>SOLD</t>
        </is>
      </c>
      <c r="H518" s="22" t="inlineStr">
        <is>
          <t>SOLD</t>
        </is>
      </c>
      <c r="I518" s="18" t="n">
        <v>139700</v>
      </c>
      <c r="J518" s="23" t="inlineStr">
        <is>
          <t>NOTFOUND</t>
        </is>
      </c>
      <c r="K518" s="20" t="n">
        <v>0</v>
      </c>
      <c r="L518" s="4" t="inlineStr">
        <is>
          <t>https://www.gucci.com/jp/ja/pr/men/shoes-for-men/sneakers-for-men/low-top-sneakers-for-men/mens-mac80-sneaker-p-756811AAB791051</t>
        </is>
      </c>
      <c r="M518" s="5">
        <f t="array" ref="M518">_xlfn.IFS(J518="NOTFOUND",I518,J518&gt;=I518,J518)</f>
        <v/>
      </c>
    </row>
    <row r="519" ht="18" customHeight="1" s="16">
      <c r="A519" s="5" t="n">
        <v>518</v>
      </c>
      <c r="B519" s="5" t="inlineStr">
        <is>
          <t>GU-2770</t>
        </is>
      </c>
      <c r="D519" s="5" t="inlineStr">
        <is>
          <t>MAC80 メンズ スニーカー</t>
        </is>
      </c>
      <c r="E519" s="5" t="inlineStr">
        <is>
          <t>747953 AAB8C 9110</t>
        </is>
      </c>
      <c r="F519" s="5" t="inlineStr">
        <is>
          <t xml:space="preserve">  -</t>
        </is>
      </c>
      <c r="G519" s="11" t="inlineStr">
        <is>
          <t>SOLD</t>
        </is>
      </c>
      <c r="H519" s="22" t="inlineStr">
        <is>
          <t>SOLD</t>
        </is>
      </c>
      <c r="I519" s="18" t="n">
        <v>139700</v>
      </c>
      <c r="J519" s="23" t="inlineStr">
        <is>
          <t>NOTFOUND</t>
        </is>
      </c>
      <c r="K519" s="20" t="n">
        <v>0</v>
      </c>
      <c r="L519" s="4" t="inlineStr">
        <is>
          <t>https://www.gucci.com/jp/ja/pr/men/shoes-for-men/sneakers-for-men/low-top-sneakers-for-men/mens-mac80-sneaker-p-747953AAB8C9110</t>
        </is>
      </c>
      <c r="M519" s="5">
        <f t="array" ref="M519">_xlfn.IFS(J519="NOTFOUND",I519,J519&gt;=I519,J519)</f>
        <v/>
      </c>
    </row>
    <row r="520" ht="18" customHeight="1" s="16">
      <c r="A520" s="5" t="n">
        <v>519</v>
      </c>
      <c r="B520" s="5" t="inlineStr">
        <is>
          <t>GU-2771</t>
        </is>
      </c>
      <c r="D520" s="5" t="inlineStr">
        <is>
          <t>MAC80 メンズ スニーカー</t>
        </is>
      </c>
      <c r="E520" s="5" t="inlineStr">
        <is>
          <t>741656 AAB79 9151</t>
        </is>
      </c>
      <c r="F520" s="5" t="inlineStr">
        <is>
          <t xml:space="preserve">  -</t>
        </is>
      </c>
      <c r="G520" s="11" t="inlineStr">
        <is>
          <t>SOLD</t>
        </is>
      </c>
      <c r="H520" s="22" t="inlineStr">
        <is>
          <t>SOLD</t>
        </is>
      </c>
      <c r="I520" s="18" t="n">
        <v>139700</v>
      </c>
      <c r="J520" s="23" t="inlineStr">
        <is>
          <t>NOTFOUND</t>
        </is>
      </c>
      <c r="K520" s="20" t="n">
        <v>0</v>
      </c>
      <c r="L520" s="4" t="inlineStr">
        <is>
          <t>https://www.gucci.com/jp/ja/pr/men/shoes-for-men/sneakers-for-men/low-top-sneakers-for-men/mens-mac80-sneaker-p-741656AAB799151</t>
        </is>
      </c>
      <c r="M520" s="5">
        <f t="array" ref="M520">_xlfn.IFS(J520="NOTFOUND",I520,J520&gt;=I520,J520)</f>
        <v/>
      </c>
    </row>
    <row r="521" ht="18" customHeight="1" s="16">
      <c r="A521" s="5" t="n">
        <v>520</v>
      </c>
      <c r="B521" s="5" t="inlineStr">
        <is>
          <t>GU-2772</t>
        </is>
      </c>
      <c r="D521" s="5" t="inlineStr">
        <is>
          <t>メンズ チャンキースニーカー</t>
        </is>
      </c>
      <c r="E521" s="5" t="inlineStr">
        <is>
          <t>798539 2SH50 9014</t>
        </is>
      </c>
      <c r="F521" s="5" t="inlineStr">
        <is>
          <t xml:space="preserve">  -</t>
        </is>
      </c>
      <c r="G521" s="11" t="inlineStr">
        <is>
          <t>SOLD</t>
        </is>
      </c>
      <c r="H521" s="22" t="inlineStr">
        <is>
          <t>SOLD</t>
        </is>
      </c>
      <c r="I521" s="18" t="n">
        <v>159500</v>
      </c>
      <c r="J521" s="23" t="inlineStr">
        <is>
          <t>NOTFOUND</t>
        </is>
      </c>
      <c r="K521" s="20" t="n">
        <v>0</v>
      </c>
      <c r="L521" s="4" t="inlineStr">
        <is>
          <t>https://www.gucci.com/jp/ja/pr/men/shoes-for-men/sneakers-for-men/low-top-sneakers-for-men/mens-chunky-sneaker-p-7985392SH509014</t>
        </is>
      </c>
      <c r="M521" s="5">
        <f t="array" ref="M521">_xlfn.IFS(J521="NOTFOUND",I521,J521&gt;=I521,J521)</f>
        <v/>
      </c>
    </row>
    <row r="522" ht="18" customHeight="1" s="16">
      <c r="A522" s="5" t="n">
        <v>521</v>
      </c>
      <c r="B522" s="5" t="inlineStr">
        <is>
          <t>GU-2773</t>
        </is>
      </c>
      <c r="D522" s="5" t="inlineStr">
        <is>
          <t>ウェブ付き メンズ スニーカー</t>
        </is>
      </c>
      <c r="E522" s="5" t="inlineStr">
        <is>
          <t>669698 UPG10 9060</t>
        </is>
      </c>
      <c r="F522" s="5" t="inlineStr">
        <is>
          <t xml:space="preserve">  -</t>
        </is>
      </c>
      <c r="G522" s="11" t="inlineStr">
        <is>
          <t>SOLD</t>
        </is>
      </c>
      <c r="H522" s="22" t="inlineStr">
        <is>
          <t>SOLD</t>
        </is>
      </c>
      <c r="I522" s="18" t="n">
        <v>124300</v>
      </c>
      <c r="J522" s="23" t="inlineStr">
        <is>
          <t>NOTFOUND</t>
        </is>
      </c>
      <c r="K522" s="20" t="n">
        <v>0</v>
      </c>
      <c r="L522" s="4" t="inlineStr">
        <is>
          <t>https://www.gucci.com/jp/ja/pr/men/shoes-for-men/sneakers-for-men/mens-sneaker-with-web-p-669698UPG109060</t>
        </is>
      </c>
      <c r="M522" s="5">
        <f t="array" ref="M522">_xlfn.IFS(J522="NOTFOUND",I522,J522&gt;=I522,J522)</f>
        <v/>
      </c>
    </row>
    <row r="523" ht="18" customHeight="1" s="16">
      <c r="A523" s="5" t="n">
        <v>522</v>
      </c>
      <c r="B523" s="5" t="inlineStr">
        <is>
          <t>GU-2774</t>
        </is>
      </c>
      <c r="D523" s="5" t="inlineStr">
        <is>
          <t>GGエンボス メンズ スニーカー</t>
        </is>
      </c>
      <c r="E523" s="5" t="inlineStr">
        <is>
          <t>669582 1XL10 9014</t>
        </is>
      </c>
      <c r="F523" s="5" t="inlineStr">
        <is>
          <t>ホワイト レザー</t>
        </is>
      </c>
      <c r="G523" s="11" t="inlineStr">
        <is>
          <t>SOLD</t>
        </is>
      </c>
      <c r="H523" s="22" t="inlineStr">
        <is>
          <t>SOLD</t>
        </is>
      </c>
      <c r="I523" s="18" t="n">
        <v>124300</v>
      </c>
      <c r="J523" s="23" t="inlineStr">
        <is>
          <t>NOTFOUND</t>
        </is>
      </c>
      <c r="K523" s="20" t="n">
        <v>0</v>
      </c>
      <c r="L523" s="4" t="inlineStr">
        <is>
          <t>https://www.gucci.com/jp/ja/pr/men/shoes-for-men/sneakers-for-men/mens-gg-embossed-sneaker-p-6695821XL109014</t>
        </is>
      </c>
      <c r="M523" s="5">
        <f t="array" ref="M523">_xlfn.IFS(J523="NOTFOUND",I523,J523&gt;=I523,J523)</f>
        <v/>
      </c>
    </row>
    <row r="524" ht="18" customHeight="1" s="16">
      <c r="A524" s="5" t="n">
        <v>523</v>
      </c>
      <c r="B524" s="5" t="inlineStr">
        <is>
          <t>GU-2775</t>
        </is>
      </c>
      <c r="D524" s="5" t="inlineStr">
        <is>
          <t>メンズ GG スニーカー</t>
        </is>
      </c>
      <c r="E524" s="5" t="inlineStr">
        <is>
          <t>669582 UPGB0 4273</t>
        </is>
      </c>
      <c r="F524" s="5" t="inlineStr">
        <is>
          <t>ベージュ＆ブルー</t>
        </is>
      </c>
      <c r="G524" s="10" t="inlineStr">
        <is>
          <t>5_5.5_6_6.5_7_7.5_8_8.5_9_9.5_10_10.5_11_11.5</t>
        </is>
      </c>
      <c r="H524" s="17" t="inlineStr">
        <is>
          <t>5_5.5_6_6.5_7_7.5_8_8.5_9_9.5_10_10.5_11_11.5</t>
        </is>
      </c>
      <c r="I524" s="18" t="n">
        <v>124300</v>
      </c>
      <c r="J524" s="19" t="n">
        <v>133100</v>
      </c>
      <c r="K524" s="20" t="n">
        <v>5</v>
      </c>
      <c r="L524" s="4" t="inlineStr">
        <is>
          <t>https://www.gucci.com/jp/ja/pr/men/shoes-for-men/sneakers-for-men/low-top-sneakers-for-men/mens-gg-sneaker-p-669582UPGB04273</t>
        </is>
      </c>
      <c r="M524" s="5">
        <f t="array" ref="M524">_xlfn.IFS(J524="NOTFOUND",I524,J524&gt;=I524,J524)</f>
        <v/>
      </c>
    </row>
    <row r="525" ht="18" customHeight="1" s="16">
      <c r="A525" s="5" t="n">
        <v>524</v>
      </c>
      <c r="B525" s="5" t="inlineStr">
        <is>
          <t>GU-2776</t>
        </is>
      </c>
      <c r="D525" s="5" t="inlineStr">
        <is>
          <t>メンズ GG スニーカー</t>
        </is>
      </c>
      <c r="E525" s="5" t="inlineStr">
        <is>
          <t>675840 UPG20 2866</t>
        </is>
      </c>
      <c r="F525" s="5" t="inlineStr">
        <is>
          <t xml:space="preserve">  -</t>
        </is>
      </c>
      <c r="G525" s="11" t="inlineStr">
        <is>
          <t>SOLD</t>
        </is>
      </c>
      <c r="H525" s="22" t="inlineStr">
        <is>
          <t>SOLD</t>
        </is>
      </c>
      <c r="I525" s="18" t="n">
        <v>124300</v>
      </c>
      <c r="J525" s="23" t="inlineStr">
        <is>
          <t>NOTFOUND</t>
        </is>
      </c>
      <c r="K525" s="20" t="n">
        <v>0</v>
      </c>
      <c r="L525" s="4" t="inlineStr">
        <is>
          <t>https://www.gucci.com/jp/ja/pr/men/shoes-for-men/sneakers-for-men/mens-gg-sneaker-p-675840UPG202866</t>
        </is>
      </c>
      <c r="M525" s="5">
        <f t="array" ref="M525">_xlfn.IFS(J525="NOTFOUND",I525,J525&gt;=I525,J525)</f>
        <v/>
      </c>
    </row>
    <row r="526" ht="18" customHeight="1" s="16">
      <c r="A526" s="5" t="n">
        <v>525</v>
      </c>
      <c r="B526" s="5" t="inlineStr">
        <is>
          <t>GU-2777</t>
        </is>
      </c>
      <c r="D526" s="5" t="inlineStr">
        <is>
          <t>メンズ GG スニーカー</t>
        </is>
      </c>
      <c r="E526" s="5" t="inlineStr">
        <is>
          <t>669582 UPGA0 2348</t>
        </is>
      </c>
      <c r="F526" s="5" t="inlineStr">
        <is>
          <t>ベージュ＆エボニー</t>
        </is>
      </c>
      <c r="G526" s="11" t="inlineStr">
        <is>
          <t>SOLD</t>
        </is>
      </c>
      <c r="H526" s="22" t="inlineStr">
        <is>
          <t>SOLD</t>
        </is>
      </c>
      <c r="I526" s="18" t="n">
        <v>124300</v>
      </c>
      <c r="J526" s="23" t="inlineStr">
        <is>
          <t>NOTFOUND</t>
        </is>
      </c>
      <c r="K526" s="20" t="n">
        <v>0</v>
      </c>
      <c r="L526" s="4" t="inlineStr">
        <is>
          <t>https://www.gucci.com/jp/ja/pr/men/shoes-for-men/sneakers-for-men/low-top-sneakers-for-men/mens-gg-sneaker-p-669582UPGA02348</t>
        </is>
      </c>
      <c r="M526" s="5">
        <f t="array" ref="M526">_xlfn.IFS(J526="NOTFOUND",I526,J526&gt;=I526,J526)</f>
        <v/>
      </c>
    </row>
    <row r="527" ht="18" customHeight="1" s="16">
      <c r="A527" s="5" t="n">
        <v>526</v>
      </c>
      <c r="B527" s="5" t="inlineStr">
        <is>
          <t>GU-2778</t>
        </is>
      </c>
      <c r="D527" s="5" t="inlineStr">
        <is>
          <t>スクリーナー ウェブ ストライプ メンズ スニーカー</t>
        </is>
      </c>
      <c r="E527" s="5" t="inlineStr">
        <is>
          <t>771457 AAC0S 9063</t>
        </is>
      </c>
      <c r="F527" s="5" t="inlineStr">
        <is>
          <t xml:space="preserve">  -</t>
        </is>
      </c>
      <c r="G527" s="11" t="inlineStr">
        <is>
          <t>SOLD</t>
        </is>
      </c>
      <c r="H527" s="22" t="inlineStr">
        <is>
          <t>SOLD</t>
        </is>
      </c>
      <c r="I527" s="18" t="n">
        <v>168300</v>
      </c>
      <c r="J527" s="23" t="inlineStr">
        <is>
          <t>NOTFOUND</t>
        </is>
      </c>
      <c r="K527" s="20" t="n">
        <v>0</v>
      </c>
      <c r="L527" s="4" t="inlineStr">
        <is>
          <t>https://www.gucci.com/jp/ja/pr/men/shoes-for-men/sneakers-for-men/low-top-sneakers-for-men/mens-screener-sneaker-with-web-p-771457AAC0S9063</t>
        </is>
      </c>
      <c r="M527" s="5">
        <f t="array" ref="M527">_xlfn.IFS(J527="NOTFOUND",I527,J527&gt;=I527,J527)</f>
        <v/>
      </c>
    </row>
    <row r="528" ht="18" customHeight="1" s="16">
      <c r="A528" s="5" t="n">
        <v>527</v>
      </c>
      <c r="B528" s="5" t="inlineStr">
        <is>
          <t>GU-2779</t>
        </is>
      </c>
      <c r="D528" s="5" t="inlineStr">
        <is>
          <t>スクリーナー ウェブ ストライプ メンズ スニーカー</t>
        </is>
      </c>
      <c r="E528" s="5" t="inlineStr">
        <is>
          <t>777106 AAC72 9554</t>
        </is>
      </c>
      <c r="F528" s="5" t="inlineStr">
        <is>
          <t xml:space="preserve">  -</t>
        </is>
      </c>
      <c r="G528" s="11" t="inlineStr">
        <is>
          <t>SOLD</t>
        </is>
      </c>
      <c r="H528" s="22" t="inlineStr">
        <is>
          <t>SOLD</t>
        </is>
      </c>
      <c r="I528" s="18" t="n">
        <v>168300</v>
      </c>
      <c r="J528" s="23" t="inlineStr">
        <is>
          <t>NOTFOUND</t>
        </is>
      </c>
      <c r="K528" s="20" t="n">
        <v>0</v>
      </c>
      <c r="L528" s="4" t="inlineStr">
        <is>
          <t>https://www.gucci.com/jp/ja/pr/men/shoes-for-men/sneakers-for-men/low-top-sneakers-for-men/mens-screener-sneaker-with-web-p-777106AAC729554</t>
        </is>
      </c>
      <c r="M528" s="5">
        <f t="array" ref="M528">_xlfn.IFS(J528="NOTFOUND",I528,J528&gt;=I528,J528)</f>
        <v/>
      </c>
    </row>
    <row r="529" ht="18" customHeight="1" s="16">
      <c r="A529" s="5" t="n">
        <v>528</v>
      </c>
      <c r="B529" s="5" t="inlineStr">
        <is>
          <t>GU-2780</t>
        </is>
      </c>
      <c r="D529" s="5" t="inlineStr">
        <is>
          <t>スクリーナー メンズ GGスニーカー</t>
        </is>
      </c>
      <c r="E529" s="5" t="inlineStr">
        <is>
          <t>750048 FAB39 9083</t>
        </is>
      </c>
      <c r="F529" s="5" t="inlineStr">
        <is>
          <t>ホワイト</t>
        </is>
      </c>
      <c r="G529" s="11" t="inlineStr">
        <is>
          <t>SOLD</t>
        </is>
      </c>
      <c r="H529" s="22" t="inlineStr">
        <is>
          <t>SOLD</t>
        </is>
      </c>
      <c r="I529" s="18" t="n">
        <v>165000</v>
      </c>
      <c r="J529" s="23" t="inlineStr">
        <is>
          <t>NOTFOUND</t>
        </is>
      </c>
      <c r="K529" s="20" t="n">
        <v>0</v>
      </c>
      <c r="L529" s="4" t="inlineStr">
        <is>
          <t>https://www.gucci.com/jp/ja/pr/men/shoes-for-men/sneakers-for-men/low-top-sneakers-for-men/mens-screener-gg-sneaker-p-750048FAB399083</t>
        </is>
      </c>
      <c r="M529" s="5">
        <f t="array" ref="M529">_xlfn.IFS(J529="NOTFOUND",I529,J529&gt;=I529,J529)</f>
        <v/>
      </c>
    </row>
    <row r="530" ht="18" customHeight="1" s="16">
      <c r="A530" s="5" t="n">
        <v>529</v>
      </c>
      <c r="B530" s="5" t="inlineStr">
        <is>
          <t>GU-2781</t>
        </is>
      </c>
      <c r="D530" s="5" t="inlineStr">
        <is>
          <t>スクリーナー メンズ GGスニーカー</t>
        </is>
      </c>
      <c r="E530" s="5" t="inlineStr">
        <is>
          <t>750048 FAB39 9754</t>
        </is>
      </c>
      <c r="F530" s="5" t="inlineStr">
        <is>
          <t>ベージュ＆エボニー</t>
        </is>
      </c>
      <c r="G530" s="11" t="inlineStr">
        <is>
          <t>SOLD</t>
        </is>
      </c>
      <c r="H530" s="22" t="inlineStr">
        <is>
          <t>SOLD</t>
        </is>
      </c>
      <c r="I530" s="18" t="n">
        <v>165000</v>
      </c>
      <c r="J530" s="23" t="inlineStr">
        <is>
          <t>NOTFOUND</t>
        </is>
      </c>
      <c r="K530" s="20" t="n">
        <v>0</v>
      </c>
      <c r="L530" s="4" t="inlineStr">
        <is>
          <t>https://www.gucci.com/jp/ja/pr/men/shoes-for-men/sneakers-for-men/low-top-sneakers-for-men/mens-screener-gg-sneaker-p-750048FAB399754</t>
        </is>
      </c>
      <c r="M530" s="5">
        <f t="array" ref="M530">_xlfn.IFS(J530="NOTFOUND",I530,J530&gt;=I530,J530)</f>
        <v/>
      </c>
    </row>
    <row r="531" ht="18" customHeight="1" s="16">
      <c r="A531" s="5" t="n">
        <v>530</v>
      </c>
      <c r="B531" s="5" t="inlineStr">
        <is>
          <t>GU-2782</t>
        </is>
      </c>
      <c r="D531" s="5" t="inlineStr">
        <is>
          <t>スクリーナー ウェブ ストライプ メンズ スニーカー</t>
        </is>
      </c>
      <c r="E531" s="5" t="inlineStr">
        <is>
          <t>771457 AAC0S 9063</t>
        </is>
      </c>
      <c r="F531" s="5" t="inlineStr">
        <is>
          <t xml:space="preserve">  -</t>
        </is>
      </c>
      <c r="G531" s="11" t="inlineStr">
        <is>
          <t>SOLD</t>
        </is>
      </c>
      <c r="H531" s="22" t="inlineStr">
        <is>
          <t>SOLD</t>
        </is>
      </c>
      <c r="I531" s="18" t="n">
        <v>168300</v>
      </c>
      <c r="J531" s="23" t="inlineStr">
        <is>
          <t>NOTFOUND</t>
        </is>
      </c>
      <c r="K531" s="20" t="n">
        <v>0</v>
      </c>
      <c r="L531" s="4" t="inlineStr">
        <is>
          <t>https://www.gucci.com/jp/ja/pr/men/shoes-for-men/sneakers-for-men/low-top-sneakers-for-men/mens-screener-sneaker-with-web-p-771457AAC0S9063</t>
        </is>
      </c>
      <c r="M531" s="5">
        <f t="array" ref="M531">_xlfn.IFS(J531="NOTFOUND",I531,J531&gt;=I531,J531)</f>
        <v/>
      </c>
    </row>
    <row r="532" ht="18" customHeight="1" s="16">
      <c r="A532" s="5" t="n">
        <v>531</v>
      </c>
      <c r="B532" s="5" t="inlineStr">
        <is>
          <t>GU-2783</t>
        </is>
      </c>
      <c r="D532" s="5" t="inlineStr">
        <is>
          <t>スクリーナー ウェブ ストライプ メンズ スニーカー</t>
        </is>
      </c>
      <c r="E532" s="5" t="inlineStr">
        <is>
          <t>777106 AAC72 9554</t>
        </is>
      </c>
      <c r="F532" s="5" t="inlineStr">
        <is>
          <t xml:space="preserve">  -</t>
        </is>
      </c>
      <c r="G532" s="11" t="inlineStr">
        <is>
          <t>SOLD</t>
        </is>
      </c>
      <c r="H532" s="22" t="inlineStr">
        <is>
          <t>SOLD</t>
        </is>
      </c>
      <c r="I532" s="18" t="n">
        <v>168300</v>
      </c>
      <c r="J532" s="23" t="inlineStr">
        <is>
          <t>NOTFOUND</t>
        </is>
      </c>
      <c r="K532" s="20" t="n">
        <v>0</v>
      </c>
      <c r="L532" s="4" t="inlineStr">
        <is>
          <t>https://www.gucci.com/jp/ja/pr/men/shoes-for-men/sneakers-for-men/low-top-sneakers-for-men/mens-screener-sneaker-with-web-p-777106AAC729554</t>
        </is>
      </c>
      <c r="M532" s="5">
        <f t="array" ref="M532">_xlfn.IFS(J532="NOTFOUND",I532,J532&gt;=I532,J532)</f>
        <v/>
      </c>
    </row>
    <row r="533" ht="18" customHeight="1" s="16">
      <c r="A533" s="5" t="n">
        <v>532</v>
      </c>
      <c r="B533" s="5" t="inlineStr">
        <is>
          <t>GU-2784</t>
        </is>
      </c>
      <c r="D533" s="5" t="inlineStr">
        <is>
          <t>スクリーナー メンズ GGスニーカー</t>
        </is>
      </c>
      <c r="E533" s="5" t="inlineStr">
        <is>
          <t>750048 FAB39 9083</t>
        </is>
      </c>
      <c r="F533" s="5" t="inlineStr">
        <is>
          <t>ホワイト GGキャンバス</t>
        </is>
      </c>
      <c r="G533" s="11" t="inlineStr">
        <is>
          <t>SOLD</t>
        </is>
      </c>
      <c r="H533" s="22" t="inlineStr">
        <is>
          <t>SOLD</t>
        </is>
      </c>
      <c r="I533" s="18" t="n">
        <v>165000</v>
      </c>
      <c r="J533" s="23" t="inlineStr">
        <is>
          <t>NOTFOUND</t>
        </is>
      </c>
      <c r="K533" s="20" t="n">
        <v>0</v>
      </c>
      <c r="L533" s="4" t="inlineStr">
        <is>
          <t>https://www.gucci.com/jp/ja/pr/men/shoes-for-men/sneakers-for-men/low-top-sneakers-for-men/mens-screener-gg-sneaker-p-750048FAB399083</t>
        </is>
      </c>
      <c r="M533" s="5">
        <f t="array" ref="M533">_xlfn.IFS(J533="NOTFOUND",I533,J533&gt;=I533,J533)</f>
        <v/>
      </c>
    </row>
    <row r="534" ht="18" customHeight="1" s="16">
      <c r="A534" s="5" t="n">
        <v>533</v>
      </c>
      <c r="B534" s="5" t="inlineStr">
        <is>
          <t>GU-2785</t>
        </is>
      </c>
      <c r="D534" s="5" t="inlineStr">
        <is>
          <t>スクリーナー メンズ GGスニーカー</t>
        </is>
      </c>
      <c r="E534" s="5" t="inlineStr">
        <is>
          <t>750048 FAB39 9754</t>
        </is>
      </c>
      <c r="F534" s="5" t="inlineStr">
        <is>
          <t>ベージュ＆エボニー</t>
        </is>
      </c>
      <c r="G534" s="11" t="inlineStr">
        <is>
          <t>SOLD</t>
        </is>
      </c>
      <c r="H534" s="22" t="inlineStr">
        <is>
          <t>SOLD</t>
        </is>
      </c>
      <c r="I534" s="18" t="n">
        <v>165000</v>
      </c>
      <c r="J534" s="23" t="inlineStr">
        <is>
          <t>NOTFOUND</t>
        </is>
      </c>
      <c r="K534" s="20" t="n">
        <v>0</v>
      </c>
      <c r="L534" s="4" t="inlineStr">
        <is>
          <t>https://www.gucci.com/jp/ja/pr/men/shoes-for-men/sneakers-for-men/low-top-sneakers-for-men/mens-screener-gg-sneaker-p-750048FAB399754</t>
        </is>
      </c>
      <c r="M534" s="5">
        <f t="array" ref="M534">_xlfn.IFS(J534="NOTFOUND",I534,J534&gt;=I534,J534)</f>
        <v/>
      </c>
    </row>
    <row r="535" ht="18" customHeight="1" s="16">
      <c r="A535" s="5" t="n">
        <v>534</v>
      </c>
      <c r="B535" s="5" t="inlineStr">
        <is>
          <t>GU-2786</t>
        </is>
      </c>
      <c r="D535" s="5" t="inlineStr">
        <is>
          <t>エース GGエンボス メンズ スニーカー</t>
        </is>
      </c>
      <c r="E535" s="5" t="inlineStr">
        <is>
          <t>625787 1XK10 1000</t>
        </is>
      </c>
      <c r="F535" s="5" t="inlineStr">
        <is>
          <t xml:space="preserve">  -</t>
        </is>
      </c>
      <c r="G535" s="11" t="inlineStr">
        <is>
          <t>SOLD</t>
        </is>
      </c>
      <c r="H535" s="22" t="inlineStr">
        <is>
          <t>SOLD</t>
        </is>
      </c>
      <c r="I535" s="18" t="n">
        <v>125400</v>
      </c>
      <c r="J535" s="23" t="inlineStr">
        <is>
          <t>NOTFOUND</t>
        </is>
      </c>
      <c r="K535" s="20" t="n">
        <v>0</v>
      </c>
      <c r="L535" s="4" t="inlineStr">
        <is>
          <t>https://www.gucci.com/jp/ja/pr/men/shoes-for-men/sneakers-for-men/low-top-sneakers-for-men/mens-ace-gg-embossed-sneaker-p-6257871XK101000</t>
        </is>
      </c>
      <c r="M535" s="5">
        <f t="array" ref="M535">_xlfn.IFS(J535="NOTFOUND",I535,J535&gt;=I535,J535)</f>
        <v/>
      </c>
    </row>
    <row r="536" ht="18" customHeight="1" s="16">
      <c r="A536" s="5" t="n">
        <v>535</v>
      </c>
      <c r="B536" s="5" t="inlineStr">
        <is>
          <t>GU-2787</t>
        </is>
      </c>
      <c r="D536" s="5" t="inlineStr">
        <is>
          <t>スクリーナー メンズ スニーカー</t>
        </is>
      </c>
      <c r="E536" s="5" t="inlineStr">
        <is>
          <t>798785 AADU0 9094</t>
        </is>
      </c>
      <c r="F536" s="5" t="inlineStr">
        <is>
          <t xml:space="preserve">  -</t>
        </is>
      </c>
      <c r="G536" s="10" t="inlineStr">
        <is>
          <t>5_5.5_6_6.5_7_7.5_8_8.5_9_9.5_10_10.5_11</t>
        </is>
      </c>
      <c r="H536" s="17" t="inlineStr">
        <is>
          <t>5_5.5_6_6.5_7_7.5_8_8.5_9_9.5_10_10.5_11</t>
        </is>
      </c>
      <c r="I536" s="18" t="n">
        <v>149600</v>
      </c>
      <c r="J536" s="19" t="n">
        <v>159500</v>
      </c>
      <c r="K536" s="20" t="n">
        <v>5</v>
      </c>
      <c r="L536" s="4" t="inlineStr">
        <is>
          <t>https://www.gucci.com/jp/ja/pr/men/shoes-for-men/sneakers-for-men/low-top-sneakers-for-men/mens-screener-sneaker-p-798785AADU09094</t>
        </is>
      </c>
      <c r="M536" s="5">
        <f t="array" ref="M536">_xlfn.IFS(J536="NOTFOUND",I536,J536&gt;=I536,J536)</f>
        <v/>
      </c>
    </row>
    <row r="537" ht="18" customHeight="1" s="16">
      <c r="A537" s="5" t="n">
        <v>536</v>
      </c>
      <c r="B537" s="5" t="inlineStr">
        <is>
          <t>GU-2788</t>
        </is>
      </c>
      <c r="D537" s="5" t="inlineStr">
        <is>
          <t>スクリーナー ウェブ ストライプ メンズ スニーカー</t>
        </is>
      </c>
      <c r="E537" s="5" t="inlineStr">
        <is>
          <t>782906 FAC6S 7042</t>
        </is>
      </c>
      <c r="F537" s="5" t="inlineStr">
        <is>
          <t xml:space="preserve">  -</t>
        </is>
      </c>
      <c r="G537" s="11" t="inlineStr">
        <is>
          <t>SOLD</t>
        </is>
      </c>
      <c r="H537" s="22" t="inlineStr">
        <is>
          <t>SOLD</t>
        </is>
      </c>
      <c r="I537" s="18" t="n">
        <v>126500</v>
      </c>
      <c r="J537" s="23" t="inlineStr">
        <is>
          <t>NOTFOUND</t>
        </is>
      </c>
      <c r="K537" s="20" t="n">
        <v>0</v>
      </c>
      <c r="L537" s="4" t="inlineStr">
        <is>
          <t>https://www.gucci.com/jp/ja/pr/men/shoes-for-men/sneakers-for-men/low-top-sneakers-for-men/mens-screener-sneaker-with-web-p-782906FAC6S7042</t>
        </is>
      </c>
      <c r="M537" s="5">
        <f t="array" ref="M537">_xlfn.IFS(J537="NOTFOUND",I537,J537&gt;=I537,J537)</f>
        <v/>
      </c>
    </row>
    <row r="538" ht="18" customHeight="1" s="16">
      <c r="A538" s="5" t="n">
        <v>537</v>
      </c>
      <c r="B538" s="5" t="inlineStr">
        <is>
          <t>GU-2789</t>
        </is>
      </c>
      <c r="D538" s="5" t="inlineStr">
        <is>
          <t>スクリーナー ウェブ ストライプ メンズ スニーカー</t>
        </is>
      </c>
      <c r="E538" s="5" t="inlineStr">
        <is>
          <t>780260 FAC6S 1000</t>
        </is>
      </c>
      <c r="F538" s="5" t="inlineStr">
        <is>
          <t xml:space="preserve">  -</t>
        </is>
      </c>
      <c r="G538" s="11" t="inlineStr">
        <is>
          <t>SOLD</t>
        </is>
      </c>
      <c r="H538" s="22" t="inlineStr">
        <is>
          <t>SOLD</t>
        </is>
      </c>
      <c r="I538" s="18" t="n">
        <v>126500</v>
      </c>
      <c r="J538" s="23" t="inlineStr">
        <is>
          <t>NOTFOUND</t>
        </is>
      </c>
      <c r="K538" s="20" t="n">
        <v>0</v>
      </c>
      <c r="L538" s="4" t="inlineStr">
        <is>
          <t>https://www.gucci.com/jp/ja/pr/men/shoes-for-men/sneakers-for-men/low-top-sneakers-for-men/mens-screener-sneaker-with-web-p-780260FAC6S1000</t>
        </is>
      </c>
      <c r="M538" s="5">
        <f t="array" ref="M538">_xlfn.IFS(J538="NOTFOUND",I538,J538&gt;=I538,J538)</f>
        <v/>
      </c>
    </row>
    <row r="539" ht="18" customHeight="1" s="16">
      <c r="A539" s="5" t="n">
        <v>538</v>
      </c>
      <c r="B539" s="5" t="inlineStr">
        <is>
          <t>GU-2790</t>
        </is>
      </c>
      <c r="D539" s="5" t="inlineStr">
        <is>
          <t>スクリーナー メンズ スニーカー</t>
        </is>
      </c>
      <c r="E539" s="5" t="inlineStr">
        <is>
          <t>771097 FAC1U 4145</t>
        </is>
      </c>
      <c r="F539" s="5" t="inlineStr">
        <is>
          <t xml:space="preserve">  -</t>
        </is>
      </c>
      <c r="G539" s="11" t="inlineStr">
        <is>
          <t>SOLD</t>
        </is>
      </c>
      <c r="H539" s="22" t="inlineStr">
        <is>
          <t>SOLD</t>
        </is>
      </c>
      <c r="I539" s="18" t="n">
        <v>141900</v>
      </c>
      <c r="J539" s="23" t="inlineStr">
        <is>
          <t>NOTFOUND</t>
        </is>
      </c>
      <c r="K539" s="20" t="n">
        <v>0</v>
      </c>
      <c r="L539" s="4" t="inlineStr">
        <is>
          <t>https://www.gucci.com/jp/ja/pr/men/shoes-for-men/sneakers-for-men/low-top-sneakers-for-men/mens-screener-sneaker-p-771097FAC1U4145</t>
        </is>
      </c>
      <c r="M539" s="5">
        <f t="array" ref="M539">_xlfn.IFS(J539="NOTFOUND",I539,J539&gt;=I539,J539)</f>
        <v/>
      </c>
    </row>
    <row r="540" ht="18" customHeight="1" s="16">
      <c r="A540" s="5" t="n">
        <v>539</v>
      </c>
      <c r="B540" s="5" t="inlineStr">
        <is>
          <t>GU-2791</t>
        </is>
      </c>
      <c r="D540" s="5" t="inlineStr">
        <is>
          <t>スクリーナー メンズ スニーカー</t>
        </is>
      </c>
      <c r="E540" s="5" t="inlineStr">
        <is>
          <t>763525 FACMI 8443</t>
        </is>
      </c>
      <c r="F540" s="5" t="inlineStr">
        <is>
          <t>ブルー＆ダークブルー</t>
        </is>
      </c>
      <c r="G540" s="10" t="inlineStr">
        <is>
          <t>5_5.5_6_6.5_7_7.5_8_8.5_9_9.5_10_11</t>
        </is>
      </c>
      <c r="H540" s="17" t="inlineStr">
        <is>
          <t>5_5.5_6_6.5_7_7.5_8_8.5_9_9.5_10_11</t>
        </is>
      </c>
      <c r="I540" s="18" t="n">
        <v>141900</v>
      </c>
      <c r="J540" s="19" t="n">
        <v>147400</v>
      </c>
      <c r="K540" s="20" t="n">
        <v>5</v>
      </c>
      <c r="L540" s="4" t="inlineStr">
        <is>
          <t>https://www.gucci.com/jp/ja/pr/men/shoes-for-men/sneakers-for-men/low-top-sneakers-for-men/mens-screener-sneaker-p-763525FACMI8443</t>
        </is>
      </c>
      <c r="M540" s="5">
        <f t="array" ref="M540">_xlfn.IFS(J540="NOTFOUND",I540,J540&gt;=I540,J540)</f>
        <v/>
      </c>
    </row>
    <row r="541" ht="18" customHeight="1" s="16">
      <c r="A541" s="5" t="n">
        <v>540</v>
      </c>
      <c r="B541" s="5" t="inlineStr">
        <is>
          <t>GU-2792</t>
        </is>
      </c>
      <c r="D541" s="5" t="inlineStr">
        <is>
          <t>スクリーナー メンズ スニーカー</t>
        </is>
      </c>
      <c r="E541" s="5" t="inlineStr">
        <is>
          <t>763525 FACMI 8444</t>
        </is>
      </c>
      <c r="F541" s="5" t="inlineStr">
        <is>
          <t>ブラック＆グレー</t>
        </is>
      </c>
      <c r="G541" s="11" t="inlineStr">
        <is>
          <t>SOLD</t>
        </is>
      </c>
      <c r="H541" s="22" t="inlineStr">
        <is>
          <t>SOLD</t>
        </is>
      </c>
      <c r="I541" s="18" t="n">
        <v>141900</v>
      </c>
      <c r="J541" s="23" t="inlineStr">
        <is>
          <t>NOTFOUND</t>
        </is>
      </c>
      <c r="K541" s="20" t="n">
        <v>0</v>
      </c>
      <c r="L541" s="4" t="inlineStr">
        <is>
          <t>https://www.gucci.com/jp/ja/pr/men/shoes-for-men/sneakers-for-men/low-top-sneakers-for-men/mens-screener-sneaker-p-763525FACMI8444</t>
        </is>
      </c>
      <c r="M541" s="5">
        <f t="array" ref="M541">_xlfn.IFS(J541="NOTFOUND",I541,J541&gt;=I541,J541)</f>
        <v/>
      </c>
    </row>
    <row r="542" ht="18" customHeight="1" s="16">
      <c r="A542" s="5" t="n">
        <v>541</v>
      </c>
      <c r="B542" s="5" t="inlineStr">
        <is>
          <t>GU-2793</t>
        </is>
      </c>
      <c r="D542" s="5" t="inlineStr">
        <is>
          <t>スクリーナー ウェブ ストライプ メンズ スニーカー</t>
        </is>
      </c>
      <c r="E542" s="5" t="inlineStr">
        <is>
          <t>703648 UULG0 9680</t>
        </is>
      </c>
      <c r="F542" s="5" t="inlineStr">
        <is>
          <t xml:space="preserve">  -</t>
        </is>
      </c>
      <c r="G542" s="11" t="inlineStr">
        <is>
          <t>SOLD</t>
        </is>
      </c>
      <c r="H542" s="22" t="inlineStr">
        <is>
          <t>SOLD</t>
        </is>
      </c>
      <c r="I542" s="18" t="n">
        <v>141900</v>
      </c>
      <c r="J542" s="23" t="inlineStr">
        <is>
          <t>NOTFOUND</t>
        </is>
      </c>
      <c r="K542" s="20" t="n">
        <v>0</v>
      </c>
      <c r="L542" s="4" t="inlineStr">
        <is>
          <t>https://www.gucci.com/jp/ja/pr/men/shoes-for-men/sneakers-for-men/low-top-sneakers-for-men/mens-screener-sneaker-with-web-p-703648UULG09680</t>
        </is>
      </c>
      <c r="M542" s="5">
        <f t="array" ref="M542">_xlfn.IFS(J542="NOTFOUND",I542,J542&gt;=I542,J542)</f>
        <v/>
      </c>
    </row>
    <row r="543" ht="18" customHeight="1" s="16">
      <c r="A543" s="5" t="n">
        <v>542</v>
      </c>
      <c r="B543" s="5" t="inlineStr">
        <is>
          <t>GU-2794</t>
        </is>
      </c>
      <c r="D543" s="5" t="inlineStr">
        <is>
          <t>スクリーナー メンズ スニーカー</t>
        </is>
      </c>
      <c r="E543" s="5" t="inlineStr">
        <is>
          <t>674530 96GE0 9766</t>
        </is>
      </c>
      <c r="F543" s="5" t="inlineStr">
        <is>
          <t xml:space="preserve">  -</t>
        </is>
      </c>
      <c r="G543" s="11" t="inlineStr">
        <is>
          <t>SOLD</t>
        </is>
      </c>
      <c r="H543" s="22" t="inlineStr">
        <is>
          <t>SOLD</t>
        </is>
      </c>
      <c r="I543" s="18" t="n">
        <v>141900</v>
      </c>
      <c r="J543" s="23" t="inlineStr">
        <is>
          <t>NOTFOUND</t>
        </is>
      </c>
      <c r="K543" s="20" t="n">
        <v>0</v>
      </c>
      <c r="L543" s="4" t="inlineStr">
        <is>
          <t>https://www.gucci.com/jp/ja/pr/men/shoes-for-men/sneakers-for-men/mens-screener-sneaker-p-67453096GE09766</t>
        </is>
      </c>
      <c r="M543" s="5">
        <f t="array" ref="M543">_xlfn.IFS(J543="NOTFOUND",I543,J543&gt;=I543,J543)</f>
        <v/>
      </c>
    </row>
    <row r="544" ht="18" customHeight="1" s="16">
      <c r="A544" s="5" t="n">
        <v>543</v>
      </c>
      <c r="B544" s="5" t="inlineStr">
        <is>
          <t>GU-2795</t>
        </is>
      </c>
      <c r="D544" s="5" t="inlineStr">
        <is>
          <t>スクリーナー メンズ スニーカー</t>
        </is>
      </c>
      <c r="E544" s="5" t="inlineStr">
        <is>
          <t>576223 FAA3T 4551</t>
        </is>
      </c>
      <c r="F544" s="5" t="inlineStr">
        <is>
          <t xml:space="preserve">  -</t>
        </is>
      </c>
      <c r="G544" s="10" t="inlineStr">
        <is>
          <t>6_6.5_7_7.5_8_8.5_9</t>
        </is>
      </c>
      <c r="H544" s="17" t="inlineStr">
        <is>
          <t>6_6.5_7_7.5_8_8.5_9</t>
        </is>
      </c>
      <c r="I544" s="18" t="n">
        <v>141900</v>
      </c>
      <c r="J544" s="19" t="n">
        <v>147400</v>
      </c>
      <c r="K544" s="20" t="n">
        <v>5</v>
      </c>
      <c r="L544" s="4" t="inlineStr">
        <is>
          <t>https://www.gucci.com/jp/ja/pr/men/shoes-for-men/sneakers-for-men/low-top-sneakers-for-men/mens-gg-screener-sneaker-p-576223FAA3T4551</t>
        </is>
      </c>
      <c r="M544" s="5">
        <f t="array" ref="M544">_xlfn.IFS(J544="NOTFOUND",I544,J544&gt;=I544,J544)</f>
        <v/>
      </c>
    </row>
    <row r="545" ht="18" customHeight="1" s="16">
      <c r="A545" s="5" t="n">
        <v>544</v>
      </c>
      <c r="B545" s="5" t="inlineStr">
        <is>
          <t>GU-2796</t>
        </is>
      </c>
      <c r="D545" s="5" t="inlineStr">
        <is>
          <t>スクリーナー  GGキャンバス＆レザー スニーカー</t>
        </is>
      </c>
      <c r="E545" s="5" t="inlineStr">
        <is>
          <t>546551 9Y920 9666</t>
        </is>
      </c>
      <c r="F545" s="5" t="inlineStr">
        <is>
          <t xml:space="preserve">  -</t>
        </is>
      </c>
      <c r="G545" s="10" t="inlineStr">
        <is>
          <t>5_5.5_6_6.5_7_7.5_8_8.5_9_9.5_10</t>
        </is>
      </c>
      <c r="H545" s="17" t="inlineStr">
        <is>
          <t>5_5.5_6_6.5_7_7.5_8_8.5_9_9.5_10</t>
        </is>
      </c>
      <c r="I545" s="18" t="n">
        <v>141900</v>
      </c>
      <c r="J545" s="19" t="n">
        <v>147400</v>
      </c>
      <c r="K545" s="20" t="n">
        <v>5</v>
      </c>
      <c r="L545" s="4" t="inlineStr">
        <is>
          <t>https://www.gucci.com/jp/ja/pr/men/shoes-for-men/sneakers-for-men/low-top-sneakers-for-men/mens-screener-gg-sneaker-p-5465519Y9209666</t>
        </is>
      </c>
      <c r="M545" s="5">
        <f t="array" ref="M545">_xlfn.IFS(J545="NOTFOUND",I545,J545&gt;=I545,J545)</f>
        <v/>
      </c>
    </row>
    <row r="546" ht="18" customHeight="1" s="16">
      <c r="A546" s="5" t="n">
        <v>545</v>
      </c>
      <c r="B546" s="5" t="inlineStr">
        <is>
          <t>GU-2797</t>
        </is>
      </c>
      <c r="D546" s="5" t="inlineStr">
        <is>
          <t>グッチ リップル メンズ スニーカー</t>
        </is>
      </c>
      <c r="E546" s="5" t="inlineStr">
        <is>
          <t>771471 AAC95 1440</t>
        </is>
      </c>
      <c r="F546" s="5" t="inlineStr">
        <is>
          <t>グレー レザー</t>
        </is>
      </c>
      <c r="G546" s="11" t="inlineStr">
        <is>
          <t>SOLD</t>
        </is>
      </c>
      <c r="H546" s="22" t="inlineStr">
        <is>
          <t>SOLD</t>
        </is>
      </c>
      <c r="I546" s="18" t="n">
        <v>207900</v>
      </c>
      <c r="J546" s="23" t="inlineStr">
        <is>
          <t>NOTFOUND</t>
        </is>
      </c>
      <c r="K546" s="20" t="n">
        <v>0</v>
      </c>
      <c r="L546" s="4" t="inlineStr">
        <is>
          <t>https://www.gucci.com/jp/ja/pr/men/shoes-for-men/sneakers-for-men/low-top-sneakers-for-men/mens-gucci-ripple-sneaker-p-771471AAC951440</t>
        </is>
      </c>
      <c r="M546" s="5">
        <f t="array" ref="M546">_xlfn.IFS(J546="NOTFOUND",I546,J546&gt;=I546,J546)</f>
        <v/>
      </c>
    </row>
    <row r="547" ht="18" customHeight="1" s="16">
      <c r="A547" s="5" t="n">
        <v>546</v>
      </c>
      <c r="B547" s="5" t="inlineStr">
        <is>
          <t>GU-2798</t>
        </is>
      </c>
      <c r="D547" s="5" t="inlineStr">
        <is>
          <t>ライトン インターロッキングG メンズ スニーカー</t>
        </is>
      </c>
      <c r="E547" s="5" t="inlineStr">
        <is>
          <t>757857 UPG70 9567</t>
        </is>
      </c>
      <c r="F547" s="5" t="inlineStr">
        <is>
          <t>アイボリー レザー</t>
        </is>
      </c>
      <c r="G547" s="11" t="inlineStr">
        <is>
          <t>SOLD</t>
        </is>
      </c>
      <c r="H547" s="22" t="inlineStr">
        <is>
          <t>SOLD</t>
        </is>
      </c>
      <c r="I547" s="18" t="n">
        <v>163900</v>
      </c>
      <c r="J547" s="23" t="inlineStr">
        <is>
          <t>NOTFOUND</t>
        </is>
      </c>
      <c r="K547" s="20" t="n">
        <v>0</v>
      </c>
      <c r="L547" s="4" t="inlineStr">
        <is>
          <t>https://www.gucci.com/jp/ja/pr/men/shoes-for-men/sneakers-for-men/low-top-sneakers-for-men/mens-interlocking-g-rhyton-sneaker-p-757857UPG709567</t>
        </is>
      </c>
      <c r="M547" s="5">
        <f t="array" ref="M547">_xlfn.IFS(J547="NOTFOUND",I547,J547&gt;=I547,J547)</f>
        <v/>
      </c>
    </row>
    <row r="548" ht="18" customHeight="1" s="16">
      <c r="A548" s="5" t="n">
        <v>547</v>
      </c>
      <c r="B548" s="5" t="inlineStr">
        <is>
          <t>GU-2799</t>
        </is>
      </c>
      <c r="D548" s="5" t="inlineStr">
        <is>
          <t>ライトン インターロッキングG メンズ スニーカー</t>
        </is>
      </c>
      <c r="E548" s="5" t="inlineStr">
        <is>
          <t>757857 UPG70 1057</t>
        </is>
      </c>
      <c r="F548" s="5" t="inlineStr">
        <is>
          <t>ブラック レザー</t>
        </is>
      </c>
      <c r="G548" s="11" t="inlineStr">
        <is>
          <t>SOLD</t>
        </is>
      </c>
      <c r="H548" s="22" t="inlineStr">
        <is>
          <t>SOLD</t>
        </is>
      </c>
      <c r="I548" s="18" t="n">
        <v>163900</v>
      </c>
      <c r="J548" s="23" t="inlineStr">
        <is>
          <t>NOTFOUND</t>
        </is>
      </c>
      <c r="K548" s="20" t="n">
        <v>0</v>
      </c>
      <c r="L548" s="4" t="inlineStr">
        <is>
          <t>https://www.gucci.com/jp/ja/pr/men/shoes-for-men/sneakers-for-men/low-top-sneakers-for-men/mens-interlocking-g-rhyton-sneaker-p-757857UPG701057</t>
        </is>
      </c>
      <c r="M548" s="5">
        <f t="array" ref="M548">_xlfn.IFS(J548="NOTFOUND",I548,J548&gt;=I548,J548)</f>
        <v/>
      </c>
    </row>
    <row r="549" ht="18" customHeight="1" s="16">
      <c r="A549" s="5" t="n">
        <v>548</v>
      </c>
      <c r="B549" s="5" t="inlineStr">
        <is>
          <t>GU-2800</t>
        </is>
      </c>
      <c r="D549" s="5" t="inlineStr">
        <is>
          <t>ライトン メンズ スニーカー</t>
        </is>
      </c>
      <c r="E549" s="5" t="inlineStr">
        <is>
          <t>704796 KGD00 1000</t>
        </is>
      </c>
      <c r="F549" s="5" t="inlineStr">
        <is>
          <t xml:space="preserve">  -</t>
        </is>
      </c>
      <c r="G549" s="11" t="inlineStr">
        <is>
          <t>SOLD</t>
        </is>
      </c>
      <c r="H549" s="22" t="inlineStr">
        <is>
          <t>SOLD</t>
        </is>
      </c>
      <c r="I549" s="18" t="n">
        <v>133100</v>
      </c>
      <c r="J549" s="23" t="inlineStr">
        <is>
          <t>NOTFOUND</t>
        </is>
      </c>
      <c r="K549" s="20" t="n">
        <v>0</v>
      </c>
      <c r="L549" s="4" t="inlineStr">
        <is>
          <t>https://www.gucci.com/jp/ja/pr/men/shoes-for-men/sneakers-for-men/low-top-sneakers-for-men/mens-gg-rhyton-sneaker-p-704796KGD001000</t>
        </is>
      </c>
      <c r="M549" s="5">
        <f t="array" ref="M549">_xlfn.IFS(J549="NOTFOUND",I549,J549&gt;=I549,J549)</f>
        <v/>
      </c>
    </row>
    <row r="550" ht="18" customHeight="1" s="16">
      <c r="A550" s="5" t="n">
        <v>549</v>
      </c>
      <c r="B550" s="5" t="inlineStr">
        <is>
          <t>GU-2801</t>
        </is>
      </c>
      <c r="D550" s="5" t="inlineStr">
        <is>
          <t>ライトン GG メンズ スニーカー</t>
        </is>
      </c>
      <c r="E550" s="5" t="inlineStr">
        <is>
          <t>692909 UIQ20 1060</t>
        </is>
      </c>
      <c r="F550" s="5" t="inlineStr">
        <is>
          <t xml:space="preserve">  -</t>
        </is>
      </c>
      <c r="G550" s="11" t="inlineStr">
        <is>
          <t>SOLD</t>
        </is>
      </c>
      <c r="H550" s="22" t="inlineStr">
        <is>
          <t>SOLD</t>
        </is>
      </c>
      <c r="I550" s="18" t="n">
        <v>133100</v>
      </c>
      <c r="J550" s="23" t="inlineStr">
        <is>
          <t>NOTFOUND</t>
        </is>
      </c>
      <c r="K550" s="20" t="n">
        <v>0</v>
      </c>
      <c r="L550" s="4" t="inlineStr">
        <is>
          <t>https://www.gucci.com/jp/ja/pr/men/shoes-for-men/sneakers-for-men/low-top-sneakers-for-men/mens-gg-rhyton-sneaker-p-692909UIQ201060</t>
        </is>
      </c>
      <c r="M550" s="5">
        <f t="array" ref="M550">_xlfn.IFS(J550="NOTFOUND",I550,J550&gt;=I550,J550)</f>
        <v/>
      </c>
    </row>
    <row r="551" ht="18" customHeight="1" s="16">
      <c r="A551" s="5" t="n">
        <v>550</v>
      </c>
      <c r="B551" s="5" t="inlineStr">
        <is>
          <t>GU-2802</t>
        </is>
      </c>
      <c r="D551" s="5" t="inlineStr">
        <is>
          <t>ライトン グッチ ロゴ レザー スニーカー</t>
        </is>
      </c>
      <c r="E551" s="5" t="inlineStr">
        <is>
          <t>500877 DRW00 9522</t>
        </is>
      </c>
      <c r="F551" s="5" t="inlineStr">
        <is>
          <t xml:space="preserve">  -</t>
        </is>
      </c>
      <c r="G551" s="10" t="inlineStr">
        <is>
          <t>5_5.5_6_6.5_7_7.5_8_8.5_9_9.5_10_10.5_11_11.5_13</t>
        </is>
      </c>
      <c r="H551" s="17" t="inlineStr">
        <is>
          <t>5_5.5_6_6.5_7_7.5_8_8.5_9_9.5_10_10.5_11_11.5_13</t>
        </is>
      </c>
      <c r="I551" s="18" t="n">
        <v>163900</v>
      </c>
      <c r="J551" s="19" t="n">
        <v>174900</v>
      </c>
      <c r="K551" s="20" t="n">
        <v>5</v>
      </c>
      <c r="L551" s="4" t="inlineStr">
        <is>
          <t>https://www.gucci.com/jp/ja/pr/men/shoes-for-men/sneakers-for-men/mens-rhyton-gucci-logo-leather-sneaker-p-500877DRW009522</t>
        </is>
      </c>
      <c r="M551" s="5">
        <f t="array" ref="M551">_xlfn.IFS(J551="NOTFOUND",I551,J551&gt;=I551,J551)</f>
        <v/>
      </c>
    </row>
    <row r="552" ht="18" customHeight="1" s="16">
      <c r="A552" s="5" t="n">
        <v>551</v>
      </c>
      <c r="B552" s="5" t="inlineStr">
        <is>
          <t>GU-2803</t>
        </is>
      </c>
      <c r="D552" s="5" t="inlineStr">
        <is>
          <t>グッチ テニス 1977 メンズ スニーカー</t>
        </is>
      </c>
      <c r="E552" s="5" t="inlineStr">
        <is>
          <t>771461 FACTD 1144</t>
        </is>
      </c>
      <c r="F552" s="5" t="inlineStr">
        <is>
          <t xml:space="preserve">  -</t>
        </is>
      </c>
      <c r="G552" s="11" t="inlineStr">
        <is>
          <t>SOLD</t>
        </is>
      </c>
      <c r="H552" s="22" t="inlineStr">
        <is>
          <t>SOLD</t>
        </is>
      </c>
      <c r="I552" s="18" t="n">
        <v>122100</v>
      </c>
      <c r="J552" s="23" t="inlineStr">
        <is>
          <t>NOTFOUND</t>
        </is>
      </c>
      <c r="K552" s="20" t="n">
        <v>0</v>
      </c>
      <c r="L552" s="4" t="inlineStr">
        <is>
          <t>https://www.gucci.com/jp/ja/pr/men/shoes-for-men/sneakers-for-men/low-top-sneakers-for-men/mens-gucci-tennis-1977-sneaker-p-771461FACTD1144</t>
        </is>
      </c>
      <c r="M552" s="5">
        <f t="array" ref="M552">_xlfn.IFS(J552="NOTFOUND",I552,J552&gt;=I552,J552)</f>
        <v/>
      </c>
    </row>
    <row r="553" ht="18" customHeight="1" s="16">
      <c r="A553" s="5" t="n">
        <v>552</v>
      </c>
      <c r="B553" s="5" t="inlineStr">
        <is>
          <t>GU-2804</t>
        </is>
      </c>
      <c r="D553" s="5" t="inlineStr">
        <is>
          <t>グッチ テニス 1977 メンズ スリッポンスニーカー</t>
        </is>
      </c>
      <c r="E553" s="5" t="inlineStr">
        <is>
          <t>643489 2HK30 9761</t>
        </is>
      </c>
      <c r="F553" s="5" t="inlineStr">
        <is>
          <t xml:space="preserve">  -</t>
        </is>
      </c>
      <c r="G553" s="11" t="inlineStr">
        <is>
          <t>SOLD</t>
        </is>
      </c>
      <c r="H553" s="22" t="inlineStr">
        <is>
          <t>SOLD</t>
        </is>
      </c>
      <c r="I553" s="18" t="n">
        <v>104500</v>
      </c>
      <c r="J553" s="23" t="inlineStr">
        <is>
          <t>NOTFOUND</t>
        </is>
      </c>
      <c r="K553" s="20" t="n">
        <v>0</v>
      </c>
      <c r="L553" s="4" t="inlineStr">
        <is>
          <t>https://www.gucci.com/jp/ja/pr/men/shoes-for-men/sneakers-for-men/mens-gucci-tennis-1977-slip-on-sneaker-p-6434892HK309761</t>
        </is>
      </c>
      <c r="M553" s="5">
        <f t="array" ref="M553">_xlfn.IFS(J553="NOTFOUND",I553,J553&gt;=I553,J553)</f>
        <v/>
      </c>
    </row>
    <row r="554" ht="18" customHeight="1" s="16">
      <c r="A554" s="5" t="n">
        <v>553</v>
      </c>
      <c r="B554" s="5" t="inlineStr">
        <is>
          <t>GU-2805</t>
        </is>
      </c>
      <c r="D554" s="5" t="inlineStr">
        <is>
          <t>GUCCI OFF THE GRID メンズ ハイトップスニーカー</t>
        </is>
      </c>
      <c r="E554" s="5" t="inlineStr">
        <is>
          <t>628717 H9H80 1074</t>
        </is>
      </c>
      <c r="F554" s="5" t="inlineStr">
        <is>
          <t xml:space="preserve">  -</t>
        </is>
      </c>
      <c r="G554" s="11" t="inlineStr">
        <is>
          <t>SOLD</t>
        </is>
      </c>
      <c r="H554" s="22" t="inlineStr">
        <is>
          <t>SOLD</t>
        </is>
      </c>
      <c r="I554" s="18" t="n">
        <v>121000</v>
      </c>
      <c r="J554" s="23" t="inlineStr">
        <is>
          <t>NOTFOUND</t>
        </is>
      </c>
      <c r="K554" s="20" t="n">
        <v>0</v>
      </c>
      <c r="L554" s="4" t="inlineStr">
        <is>
          <t>https://www.gucci.com/jp/ja/pr/men/shoes-for-men/sneakers-for-men/high-top-sneakers-for-men/mens-gucci-off-the-grid-high-top-sneaker-p-628717H9H801074</t>
        </is>
      </c>
      <c r="M554" s="5">
        <f t="array" ref="M554">_xlfn.IFS(J554="NOTFOUND",I554,J554&gt;=I554,J554)</f>
        <v/>
      </c>
    </row>
    <row r="555" ht="18" customHeight="1" s="16">
      <c r="A555" s="5" t="n">
        <v>554</v>
      </c>
      <c r="B555" s="5" t="inlineStr">
        <is>
          <t>GU-2806</t>
        </is>
      </c>
      <c r="D555" s="5" t="inlineStr">
        <is>
          <t>GUCCI OFF THE GRID メンズ スニーカー</t>
        </is>
      </c>
      <c r="E555" s="5" t="inlineStr">
        <is>
          <t>628709 H9H70 1072</t>
        </is>
      </c>
      <c r="F555" s="5" t="inlineStr">
        <is>
          <t xml:space="preserve">  -</t>
        </is>
      </c>
      <c r="G555" s="11" t="inlineStr">
        <is>
          <t>SOLD</t>
        </is>
      </c>
      <c r="H555" s="22" t="inlineStr">
        <is>
          <t>SOLD</t>
        </is>
      </c>
      <c r="I555" s="18" t="n">
        <v>118800</v>
      </c>
      <c r="J555" s="23" t="inlineStr">
        <is>
          <t>NOTFOUND</t>
        </is>
      </c>
      <c r="K555" s="20" t="n">
        <v>0</v>
      </c>
      <c r="L555" s="4" t="inlineStr">
        <is>
          <t>https://www.gucci.com/jp/ja/pr/men/shoes-for-men/sneakers-for-men/low-top-sneakers-for-men/mens-gucci-off-the-grid-sneaker-p-628709H9H701072</t>
        </is>
      </c>
      <c r="M555" s="5">
        <f t="array" ref="M555">_xlfn.IFS(J555="NOTFOUND",I555,J555&gt;=I555,J555)</f>
        <v/>
      </c>
    </row>
    <row r="556" ht="18" customHeight="1" s="16">
      <c r="A556" s="5" t="n">
        <v>555</v>
      </c>
      <c r="B556" s="5" t="inlineStr">
        <is>
          <t>GU-2807</t>
        </is>
      </c>
      <c r="D556" s="5" t="inlineStr">
        <is>
          <t>グッチ テニス 1977 メンズ ハイトップ スニーカー</t>
        </is>
      </c>
      <c r="E556" s="5" t="inlineStr">
        <is>
          <t>625807 HVK70 9765</t>
        </is>
      </c>
      <c r="F556" s="5" t="inlineStr">
        <is>
          <t xml:space="preserve">  -</t>
        </is>
      </c>
      <c r="G556" s="11" t="inlineStr">
        <is>
          <t>SOLD</t>
        </is>
      </c>
      <c r="H556" s="22" t="inlineStr">
        <is>
          <t>SOLD</t>
        </is>
      </c>
      <c r="I556" s="18" t="n">
        <v>118800</v>
      </c>
      <c r="J556" s="23" t="inlineStr">
        <is>
          <t>NOTFOUND</t>
        </is>
      </c>
      <c r="K556" s="20" t="n">
        <v>0</v>
      </c>
      <c r="L556" s="4" t="inlineStr">
        <is>
          <t>https://www.gucci.com/jp/ja/pr/men/shoes-for-men/sneakers-for-men/high-top-sneakers-for-men/mens-gucci-tennis-1977-high-top-sneaker-p-625807HVK709765</t>
        </is>
      </c>
      <c r="M556" s="5">
        <f t="array" ref="M556">_xlfn.IFS(J556="NOTFOUND",I556,J556&gt;=I556,J556)</f>
        <v/>
      </c>
    </row>
    <row r="557" ht="18" customHeight="1" s="16">
      <c r="A557" s="5" t="n">
        <v>556</v>
      </c>
      <c r="B557" s="5" t="inlineStr">
        <is>
          <t>GU-2808</t>
        </is>
      </c>
      <c r="D557" s="5" t="inlineStr">
        <is>
          <t>グッチ テニス 1977 GG メンズ スニーカー</t>
        </is>
      </c>
      <c r="E557" s="5" t="inlineStr">
        <is>
          <t>606111 HVK20 9766</t>
        </is>
      </c>
      <c r="F557" s="5" t="inlineStr">
        <is>
          <t xml:space="preserve">  -</t>
        </is>
      </c>
      <c r="G557" s="10" t="inlineStr">
        <is>
          <t>5_5.5_6_6.5_7_7.5_8_8.5_9_9.5_10_10.5_11_11.5_12_12.5_13_13.5_14_14.5_15_15.5</t>
        </is>
      </c>
      <c r="H557" s="17" t="inlineStr">
        <is>
          <t>5_5.5_6_6.5_7_7.5_8_8.5_9_9.5_10_10.5_11_11.5_12_13_13.5_14_14.5_15_15.5</t>
        </is>
      </c>
      <c r="I557" s="18" t="n">
        <v>113300</v>
      </c>
      <c r="J557" s="19" t="n">
        <v>113300</v>
      </c>
      <c r="K557" s="20" t="n">
        <v>5</v>
      </c>
      <c r="L557" s="4" t="inlineStr">
        <is>
          <t>https://www.gucci.com/jp/ja/pr/men/shoes-for-men/sneakers-for-men/low-top-sneakers-for-men/mens-gg-gucci-tennis-1977-sneaker-p-606111HVK209766</t>
        </is>
      </c>
      <c r="M557" s="5">
        <f t="array" ref="M557">_xlfn.IFS(J557="NOTFOUND",I557,J557&gt;=I557,J557)</f>
        <v/>
      </c>
    </row>
    <row r="558" ht="18" customHeight="1" s="16">
      <c r="A558" s="5" t="n">
        <v>557</v>
      </c>
      <c r="B558" s="5" t="inlineStr">
        <is>
          <t>GU-2809</t>
        </is>
      </c>
      <c r="D558" s="5" t="inlineStr">
        <is>
          <t>ホースビット 1955 カードケース ウォレット財布</t>
        </is>
      </c>
      <c r="E558" s="5" t="inlineStr">
        <is>
          <t>621887 FAD6L 9741</t>
        </is>
      </c>
      <c r="F558" s="5" t="inlineStr">
        <is>
          <t>ベージュ＆ダークブラウン ファブリック</t>
        </is>
      </c>
      <c r="G558" s="10" t="inlineStr">
        <is>
          <t>OneSize</t>
        </is>
      </c>
      <c r="H558" s="17" t="inlineStr">
        <is>
          <t>OneSize</t>
        </is>
      </c>
      <c r="I558" s="18" t="n">
        <v>72600</v>
      </c>
      <c r="J558" s="19" t="n">
        <v>72600</v>
      </c>
      <c r="K558" s="20" t="n">
        <v>5</v>
      </c>
      <c r="L558" s="4" t="inlineStr">
        <is>
          <t>https://www.gucci.com/jp/ja/pr/women/small-leather-goods-for-women/folded-wallets-for-women/gucci-horsebit-1955-card-case-wallet-p-621887FAD6L9741</t>
        </is>
      </c>
      <c r="M558" s="5">
        <f t="array" ref="M558">_xlfn.IFS(J558="NOTFOUND",I558,J558&gt;=I558,J558)</f>
        <v/>
      </c>
    </row>
    <row r="559" ht="18" customHeight="1" s="16">
      <c r="A559" s="5" t="n">
        <v>558</v>
      </c>
      <c r="B559" s="5" t="inlineStr">
        <is>
          <t>GU-2810</t>
        </is>
      </c>
      <c r="D559" s="5" t="inlineStr">
        <is>
          <t>ホースビット 1955 カードケース ウォレット財布</t>
        </is>
      </c>
      <c r="E559" s="5" t="inlineStr">
        <is>
          <t>621887 92TCG 8563</t>
        </is>
      </c>
      <c r="F559" s="5" t="inlineStr">
        <is>
          <t>GGスプリーム/ブラウン</t>
        </is>
      </c>
      <c r="G559" s="10" t="inlineStr">
        <is>
          <t>OneSize</t>
        </is>
      </c>
      <c r="H559" s="17" t="inlineStr">
        <is>
          <t>OneSize</t>
        </is>
      </c>
      <c r="I559" s="18" t="n">
        <v>72600</v>
      </c>
      <c r="J559" s="19" t="n">
        <v>72600</v>
      </c>
      <c r="K559" s="20" t="n">
        <v>5</v>
      </c>
      <c r="L559" s="4" t="inlineStr">
        <is>
          <t>https://www.gucci.com/jp/ja/pr/women/small-leather-goods-for-women/folded-wallets-for-women/gucci-horsebit-1955-card-case-wallet-p-62188792TCG8563</t>
        </is>
      </c>
      <c r="M559" s="5">
        <f t="array" ref="M559">_xlfn.IFS(J559="NOTFOUND",I559,J559&gt;=I559,J559)</f>
        <v/>
      </c>
    </row>
    <row r="560" ht="18" customHeight="1" s="16">
      <c r="A560" s="5" t="n">
        <v>559</v>
      </c>
      <c r="B560" s="5" t="inlineStr">
        <is>
          <t>GU-2811</t>
        </is>
      </c>
      <c r="D560" s="5" t="inlineStr">
        <is>
          <t>ホースビット 1955 カードケース ウォレット財布</t>
        </is>
      </c>
      <c r="E560" s="5" t="inlineStr">
        <is>
          <t>726846 92TCG 8563</t>
        </is>
      </c>
      <c r="F560" s="5" t="inlineStr">
        <is>
          <t xml:space="preserve">  -</t>
        </is>
      </c>
      <c r="G560" s="10" t="inlineStr">
        <is>
          <t>OneSize</t>
        </is>
      </c>
      <c r="H560" s="17" t="inlineStr">
        <is>
          <t>OneSize</t>
        </is>
      </c>
      <c r="I560" s="18" t="n">
        <v>99000</v>
      </c>
      <c r="J560" s="19" t="n">
        <v>99000</v>
      </c>
      <c r="K560" s="20" t="n">
        <v>5</v>
      </c>
      <c r="L560" s="4" t="inlineStr">
        <is>
          <t>https://www.gucci.com/jp/ja/pr/women/small-leather-goods-for-women/folded-wallets-for-women/gucci-horsebit-1955-card-case-wallet-p-72684692TCG8563</t>
        </is>
      </c>
      <c r="M560" s="5">
        <f t="array" ref="M560">_xlfn.IFS(J560="NOTFOUND",I560,J560&gt;=I560,J560)</f>
        <v/>
      </c>
    </row>
    <row r="561" ht="18" customHeight="1" s="16">
      <c r="A561" s="5" t="n">
        <v>560</v>
      </c>
      <c r="B561" s="5" t="inlineStr">
        <is>
          <t>GU-2812</t>
        </is>
      </c>
      <c r="D561" s="5" t="inlineStr">
        <is>
          <t>ホースビット 1955 ミニバッグ</t>
        </is>
      </c>
      <c r="E561" s="5" t="inlineStr">
        <is>
          <t>699296 92TCG 8563</t>
        </is>
      </c>
      <c r="F561" s="5" t="inlineStr">
        <is>
          <t>ベージュ＆エボニー GGスプリーム キャンバス</t>
        </is>
      </c>
      <c r="G561" s="10" t="inlineStr">
        <is>
          <t>OneSize</t>
        </is>
      </c>
      <c r="H561" s="17" t="inlineStr">
        <is>
          <t>OneSize</t>
        </is>
      </c>
      <c r="I561" s="18" t="n">
        <v>192500</v>
      </c>
      <c r="J561" s="19" t="n">
        <v>192500</v>
      </c>
      <c r="K561" s="20" t="n">
        <v>5</v>
      </c>
      <c r="L561" s="4" t="inlineStr">
        <is>
          <t>https://www.gucci.com/jp/ja/pr/women/handbags/mini-bags-for-women/gucci-horsebit-1955-mini-bag-p-69929692TCG8563</t>
        </is>
      </c>
      <c r="M561" s="5">
        <f t="array" ref="M561">_xlfn.IFS(J561="NOTFOUND",I561,J561&gt;=I561,J561)</f>
        <v/>
      </c>
    </row>
    <row r="562" ht="18" customHeight="1" s="16">
      <c r="A562" s="5" t="n">
        <v>561</v>
      </c>
      <c r="B562" s="5" t="inlineStr">
        <is>
          <t>GU-2813</t>
        </is>
      </c>
      <c r="D562" s="5" t="inlineStr">
        <is>
          <t xml:space="preserve">ダブルG カードケース </t>
        </is>
      </c>
      <c r="E562" s="5" t="inlineStr">
        <is>
          <t>466492 DTDHT 1712</t>
        </is>
      </c>
      <c r="F562" s="5" t="inlineStr">
        <is>
          <t>ライトグレー レザー</t>
        </is>
      </c>
      <c r="G562" s="11" t="inlineStr">
        <is>
          <t>SOLD</t>
        </is>
      </c>
      <c r="H562" s="22" t="inlineStr">
        <is>
          <t>SOLD</t>
        </is>
      </c>
      <c r="I562" s="18" t="n">
        <v>72600</v>
      </c>
      <c r="J562" s="23" t="inlineStr">
        <is>
          <t>NOTFOUND</t>
        </is>
      </c>
      <c r="K562" s="20" t="n">
        <v>0</v>
      </c>
      <c r="L562" s="4" t="inlineStr">
        <is>
          <t>https://www.gucci.com/jp/ja/pr/women/small-leather-goods-for-women/folded-wallets-for-women/gg-marmont-card-case-wallet-p-466492DTDHT1712</t>
        </is>
      </c>
      <c r="M562" s="5">
        <f t="array" ref="M562">_xlfn.IFS(J562="NOTFOUND",I562,J562&gt;=I562,J562)</f>
        <v/>
      </c>
    </row>
    <row r="563" ht="18" customHeight="1" s="16">
      <c r="A563" s="5" t="n">
        <v>562</v>
      </c>
      <c r="B563" s="5" t="inlineStr">
        <is>
          <t>GU-2814</t>
        </is>
      </c>
      <c r="D563" s="5" t="inlineStr">
        <is>
          <t>ダブルG ジップアラウンドウォレット財布</t>
        </is>
      </c>
      <c r="E563" s="5" t="inlineStr">
        <is>
          <t>443123 DTDHT 1712</t>
        </is>
      </c>
      <c r="F563" s="5" t="inlineStr">
        <is>
          <t>ライトグレー レザー</t>
        </is>
      </c>
      <c r="G563" s="11" t="inlineStr">
        <is>
          <t>SOLD</t>
        </is>
      </c>
      <c r="H563" s="22" t="inlineStr">
        <is>
          <t>SOLD</t>
        </is>
      </c>
      <c r="I563" s="18" t="n">
        <v>110000</v>
      </c>
      <c r="J563" s="23" t="inlineStr">
        <is>
          <t>NOTFOUND</t>
        </is>
      </c>
      <c r="K563" s="20" t="n">
        <v>0</v>
      </c>
      <c r="L563" s="4" t="inlineStr">
        <is>
          <t>https://www.gucci.com/jp/ja/pr/women/small-leather-goods-for-women/zip-around-wallets-for-women/gg-marmont-zip-around-wallet-p-443123DTDHT1712</t>
        </is>
      </c>
      <c r="M563" s="5">
        <f t="array" ref="M563">_xlfn.IFS(J563="NOTFOUND",I563,J563&gt;=I563,J563)</f>
        <v/>
      </c>
    </row>
    <row r="564" ht="18" customHeight="1" s="16">
      <c r="A564" s="5" t="n">
        <v>563</v>
      </c>
      <c r="B564" s="5" t="inlineStr">
        <is>
          <t>GU-2815</t>
        </is>
      </c>
      <c r="D564" s="5" t="inlineStr">
        <is>
          <t xml:space="preserve">ダブルG カードケース </t>
        </is>
      </c>
      <c r="E564" s="5" t="inlineStr">
        <is>
          <t>466492 DTD1T 1000</t>
        </is>
      </c>
      <c r="F564" s="5" t="inlineStr">
        <is>
          <t>ブラック レザー</t>
        </is>
      </c>
      <c r="G564" s="11" t="inlineStr">
        <is>
          <t>SOLD</t>
        </is>
      </c>
      <c r="H564" s="22" t="inlineStr">
        <is>
          <t>SOLD</t>
        </is>
      </c>
      <c r="I564" s="18" t="n">
        <v>72600</v>
      </c>
      <c r="J564" s="23" t="inlineStr">
        <is>
          <t>NOTFOUND</t>
        </is>
      </c>
      <c r="K564" s="20" t="n">
        <v>0</v>
      </c>
      <c r="L564" s="4" t="inlineStr">
        <is>
          <t>https://www.gucci.com/jp/ja/pr/women/small-leather-goods-for-women/folded-wallets-for-women/gg-marmont-card-case-wallet-p-466492DTD1T1000</t>
        </is>
      </c>
      <c r="M564" s="5">
        <f t="array" ref="M564">_xlfn.IFS(J564="NOTFOUND",I564,J564&gt;=I564,J564)</f>
        <v/>
      </c>
    </row>
    <row r="565" ht="18" customHeight="1" s="16">
      <c r="A565" s="5" t="n">
        <v>564</v>
      </c>
      <c r="B565" s="5" t="inlineStr">
        <is>
          <t>GU-2816</t>
        </is>
      </c>
      <c r="D565" s="5" t="inlineStr">
        <is>
          <t>ダブルG ジップ キーケース</t>
        </is>
      </c>
      <c r="E565" s="5" t="inlineStr">
        <is>
          <t>813353 DTDHD 1000</t>
        </is>
      </c>
      <c r="F565" s="5" t="inlineStr">
        <is>
          <t xml:space="preserve">  -</t>
        </is>
      </c>
      <c r="G565" s="11" t="inlineStr">
        <is>
          <t>SOLD</t>
        </is>
      </c>
      <c r="H565" s="22" t="inlineStr">
        <is>
          <t>SOLD</t>
        </is>
      </c>
      <c r="I565" s="18" t="n">
        <v>70400</v>
      </c>
      <c r="J565" s="23" t="inlineStr">
        <is>
          <t>NOTFOUND</t>
        </is>
      </c>
      <c r="K565" s="20" t="n">
        <v>0</v>
      </c>
      <c r="L565" s="4" t="inlineStr">
        <is>
          <t>https://www.gucci.com/jp/ja/pr/women/small-leather-goods-for-women/card-coin-cases-for-women/gg-marmont-zip-key-case-p-813353DTDHD1000</t>
        </is>
      </c>
      <c r="M565" s="5">
        <f t="array" ref="M565">_xlfn.IFS(J565="NOTFOUND",I565,J565&gt;=I565,J565)</f>
        <v/>
      </c>
    </row>
    <row r="566" ht="18" customHeight="1" s="16">
      <c r="A566" s="5" t="n">
        <v>565</v>
      </c>
      <c r="B566" s="5" t="inlineStr">
        <is>
          <t>GU-2817</t>
        </is>
      </c>
      <c r="D566" s="5" t="inlineStr">
        <is>
          <t xml:space="preserve">ダブルG カードケース </t>
        </is>
      </c>
      <c r="E566" s="5" t="inlineStr">
        <is>
          <t>466492 DTDHV 6207</t>
        </is>
      </c>
      <c r="F566" s="5" t="inlineStr">
        <is>
          <t>ロッソ アンコーラ レッド レザー</t>
        </is>
      </c>
      <c r="G566" s="10" t="inlineStr">
        <is>
          <t>OneSize</t>
        </is>
      </c>
      <c r="H566" s="17" t="inlineStr">
        <is>
          <t>OneSize</t>
        </is>
      </c>
      <c r="I566" s="18" t="n">
        <v>72600</v>
      </c>
      <c r="J566" s="19" t="n">
        <v>72600</v>
      </c>
      <c r="K566" s="20" t="n">
        <v>5</v>
      </c>
      <c r="L566" s="4" t="inlineStr">
        <is>
          <t>https://www.gucci.com/jp/ja/pr/women/small-leather-goods-for-women/folded-wallets-for-women/gg-marmont-card-case-wallet-p-466492DTDHV6207</t>
        </is>
      </c>
      <c r="M566" s="5">
        <f t="array" ref="M566">_xlfn.IFS(J566="NOTFOUND",I566,J566&gt;=I566,J566)</f>
        <v/>
      </c>
    </row>
    <row r="567" ht="18" customHeight="1" s="16">
      <c r="A567" s="5" t="n">
        <v>566</v>
      </c>
      <c r="B567" s="5" t="inlineStr">
        <is>
          <t>GU-2818</t>
        </is>
      </c>
      <c r="D567" s="5" t="inlineStr">
        <is>
          <t xml:space="preserve">ダブルG カードケース </t>
        </is>
      </c>
      <c r="E567" s="5" t="inlineStr">
        <is>
          <t>466492 DTDHD 6705</t>
        </is>
      </c>
      <c r="F567" s="5" t="inlineStr">
        <is>
          <t>ライトピンク レザー</t>
        </is>
      </c>
      <c r="G567" s="10" t="inlineStr">
        <is>
          <t>OneSize</t>
        </is>
      </c>
      <c r="H567" s="17" t="inlineStr">
        <is>
          <t>OneSize</t>
        </is>
      </c>
      <c r="I567" s="18" t="n">
        <v>72600</v>
      </c>
      <c r="J567" s="19" t="n">
        <v>72600</v>
      </c>
      <c r="K567" s="20" t="n">
        <v>5</v>
      </c>
      <c r="L567" s="4" t="inlineStr">
        <is>
          <t>https://www.gucci.com/jp/ja/pr/women/small-leather-goods-for-women/folded-wallets-for-women/gg-marmont-card-case-wallet-p-466492DTDHD6705</t>
        </is>
      </c>
      <c r="M567" s="5">
        <f t="array" ref="M567">_xlfn.IFS(J567="NOTFOUND",I567,J567&gt;=I567,J567)</f>
        <v/>
      </c>
    </row>
    <row r="568" ht="18" customHeight="1" s="16">
      <c r="A568" s="5" t="n">
        <v>567</v>
      </c>
      <c r="B568" s="5" t="inlineStr">
        <is>
          <t>GU-2819</t>
        </is>
      </c>
      <c r="D568" s="5" t="inlineStr">
        <is>
          <t>ダブルG ウォレット財布</t>
        </is>
      </c>
      <c r="E568" s="5" t="inlineStr">
        <is>
          <t>781583 DTDHV 6207</t>
        </is>
      </c>
      <c r="F568" s="5" t="inlineStr">
        <is>
          <t>ロッソ アンコーラ レッド レザー</t>
        </is>
      </c>
      <c r="G568" s="11" t="inlineStr">
        <is>
          <t>SOLD</t>
        </is>
      </c>
      <c r="H568" s="22" t="inlineStr">
        <is>
          <t>SOLD</t>
        </is>
      </c>
      <c r="I568" s="18" t="n">
        <v>105600</v>
      </c>
      <c r="J568" s="19" t="n">
        <v>105600</v>
      </c>
      <c r="K568" s="20" t="n">
        <v>0</v>
      </c>
      <c r="L568" s="4" t="inlineStr">
        <is>
          <t>https://www.gucci.com/jp/ja/pr/women/small-leather-goods-for-women/folded-wallets-for-women/gg-marmont-wallet-p-781583DTDHV6207</t>
        </is>
      </c>
      <c r="M568" s="5">
        <f t="array" ref="M568">_xlfn.IFS(J568="NOTFOUND",I568,J568&gt;=I568,J568)</f>
        <v/>
      </c>
    </row>
    <row r="569" ht="18" customHeight="1" s="16">
      <c r="A569" s="5" t="n">
        <v>568</v>
      </c>
      <c r="B569" s="5" t="inlineStr">
        <is>
          <t>GU-2820</t>
        </is>
      </c>
      <c r="D569" s="5" t="inlineStr">
        <is>
          <t>ダブルG ウォレット財布</t>
        </is>
      </c>
      <c r="E569" s="5" t="inlineStr">
        <is>
          <t>781583 DTDHD 6705</t>
        </is>
      </c>
      <c r="F569" s="5" t="inlineStr">
        <is>
          <t>ライトピンク レザー</t>
        </is>
      </c>
      <c r="G569" s="10" t="inlineStr">
        <is>
          <t>OneSize</t>
        </is>
      </c>
      <c r="H569" s="17" t="inlineStr">
        <is>
          <t>OneSize</t>
        </is>
      </c>
      <c r="I569" s="18" t="n">
        <v>105600</v>
      </c>
      <c r="J569" s="19" t="n">
        <v>105600</v>
      </c>
      <c r="K569" s="20" t="n">
        <v>5</v>
      </c>
      <c r="L569" s="4" t="inlineStr">
        <is>
          <t>https://www.gucci.com/jp/ja/pr/women/small-leather-goods-for-women/folded-wallets-for-women/gg-marmont-wallet-p-781583DTDHD6705</t>
        </is>
      </c>
      <c r="M569" s="5">
        <f t="array" ref="M569">_xlfn.IFS(J569="NOTFOUND",I569,J569&gt;=I569,J569)</f>
        <v/>
      </c>
    </row>
    <row r="570" ht="18" customHeight="1" s="16">
      <c r="A570" s="5" t="n">
        <v>569</v>
      </c>
      <c r="B570" s="5" t="inlineStr">
        <is>
          <t>GU-2821</t>
        </is>
      </c>
      <c r="D570" s="5" t="inlineStr">
        <is>
          <t>ドッグ ディテール GG ミニウォレット財布</t>
        </is>
      </c>
      <c r="E570" s="5" t="inlineStr">
        <is>
          <t>818767 FAEEQ 8561</t>
        </is>
      </c>
      <c r="F570" s="5" t="inlineStr">
        <is>
          <t>ベージュ＆ダークブラウン ファブリック</t>
        </is>
      </c>
      <c r="G570" s="11" t="inlineStr">
        <is>
          <t>SOLD</t>
        </is>
      </c>
      <c r="H570" s="22" t="inlineStr">
        <is>
          <t>SOLD</t>
        </is>
      </c>
      <c r="I570" s="18" t="n">
        <v>84700</v>
      </c>
      <c r="J570" s="23" t="inlineStr">
        <is>
          <t>NOTFOUND</t>
        </is>
      </c>
      <c r="K570" s="20" t="n">
        <v>0</v>
      </c>
      <c r="L570" s="4" t="inlineStr">
        <is>
          <t>https://www.gucci.com/jp/ja/pr/women/small-leather-goods-for-women/folded-wallets-for-women/gg-mini-wallet-with-dog-detail-p-818767FAEEQ8561</t>
        </is>
      </c>
      <c r="M570" s="5">
        <f t="array" ref="M570">_xlfn.IFS(J570="NOTFOUND",I570,J570&gt;=I570,J570)</f>
        <v/>
      </c>
    </row>
    <row r="571" ht="18" customHeight="1" s="16">
      <c r="A571" s="5" t="n">
        <v>570</v>
      </c>
      <c r="B571" s="5" t="inlineStr">
        <is>
          <t>GU-2822</t>
        </is>
      </c>
      <c r="D571" s="5" t="inlineStr">
        <is>
          <t>パンダ シェイプ バッグ チャーム</t>
        </is>
      </c>
      <c r="E571" s="5" t="inlineStr">
        <is>
          <t>821811 FAEE1 8585</t>
        </is>
      </c>
      <c r="F571" s="5" t="inlineStr">
        <is>
          <t xml:space="preserve">  -</t>
        </is>
      </c>
      <c r="G571" s="10" t="inlineStr">
        <is>
          <t>OneSize</t>
        </is>
      </c>
      <c r="H571" s="17" t="inlineStr">
        <is>
          <t>OneSize</t>
        </is>
      </c>
      <c r="I571" s="18" t="n">
        <v>42900</v>
      </c>
      <c r="J571" s="19" t="n">
        <v>42900</v>
      </c>
      <c r="K571" s="20" t="n">
        <v>5</v>
      </c>
      <c r="L571" s="4" t="inlineStr">
        <is>
          <t>https://www.gucci.com/jp/ja/pr/women/small-leather-goods-for-women/key-cases-charms-for-women/panda-shaped-bag-charm-p-821811FAEE18585</t>
        </is>
      </c>
      <c r="M571" s="5">
        <f t="array" ref="M571">_xlfn.IFS(J571="NOTFOUND",I571,J571&gt;=I571,J571)</f>
        <v/>
      </c>
    </row>
    <row r="572" ht="18" customHeight="1" s="16">
      <c r="A572" s="5" t="n">
        <v>571</v>
      </c>
      <c r="B572" s="5" t="inlineStr">
        <is>
          <t>GU-2823</t>
        </is>
      </c>
      <c r="D572" s="5" t="inlineStr">
        <is>
          <t>ドッグ ディテール GG キーケース</t>
        </is>
      </c>
      <c r="E572" s="5" t="inlineStr">
        <is>
          <t>818768 FAEEQ 8561</t>
        </is>
      </c>
      <c r="F572" s="5" t="inlineStr">
        <is>
          <t>ベージュ＆ダークブラウン ファブリック</t>
        </is>
      </c>
      <c r="G572" s="11" t="inlineStr">
        <is>
          <t>SOLD</t>
        </is>
      </c>
      <c r="H572" s="22" t="inlineStr">
        <is>
          <t>SOLD</t>
        </is>
      </c>
      <c r="I572" s="18" t="n">
        <v>58300</v>
      </c>
      <c r="J572" s="23" t="inlineStr">
        <is>
          <t>NOTFOUND</t>
        </is>
      </c>
      <c r="K572" s="20" t="n">
        <v>0</v>
      </c>
      <c r="L572" s="4" t="inlineStr">
        <is>
          <t>https://www.gucci.com/jp/ja/pr/women/small-leather-goods-for-women/key-cases-charms-for-women/gg-key-case-with-dog-detail-p-818768FAEEQ8561</t>
        </is>
      </c>
      <c r="M572" s="5">
        <f t="array" ref="M572">_xlfn.IFS(J572="NOTFOUND",I572,J572&gt;=I572,J572)</f>
        <v/>
      </c>
    </row>
    <row r="573" ht="18" customHeight="1" s="16">
      <c r="A573" s="5" t="n">
        <v>572</v>
      </c>
      <c r="B573" s="5" t="inlineStr">
        <is>
          <t>GU-2824</t>
        </is>
      </c>
      <c r="D573" s="5" t="inlineStr">
        <is>
          <t>ドッグ ディテール付き バイカラー GG カードケース</t>
        </is>
      </c>
      <c r="E573" s="5" t="inlineStr">
        <is>
          <t>818769 FAEC8 8577</t>
        </is>
      </c>
      <c r="F573" s="5" t="inlineStr">
        <is>
          <t>ベージュ＆ダークブラウン ファブリック</t>
        </is>
      </c>
      <c r="G573" s="11" t="inlineStr">
        <is>
          <t>SOLD</t>
        </is>
      </c>
      <c r="H573" s="22" t="inlineStr">
        <is>
          <t>SOLD</t>
        </is>
      </c>
      <c r="I573" s="18" t="n">
        <v>47300</v>
      </c>
      <c r="J573" s="23" t="inlineStr">
        <is>
          <t>NOTFOUND</t>
        </is>
      </c>
      <c r="K573" s="20" t="n">
        <v>0</v>
      </c>
      <c r="L573" s="4" t="inlineStr">
        <is>
          <t>https://www.gucci.com/jp/ja/pr/women/small-leather-goods-for-women/card-coin-cases-for-women/bi-color-gg-card-case-with-dog-detail-p-818769FAEC88577</t>
        </is>
      </c>
      <c r="M573" s="5">
        <f t="array" ref="M573">_xlfn.IFS(J573="NOTFOUND",I573,J573&gt;=I573,J573)</f>
        <v/>
      </c>
    </row>
    <row r="574" ht="18" customHeight="1" s="16">
      <c r="A574" s="5" t="n">
        <v>573</v>
      </c>
      <c r="B574" s="5" t="inlineStr">
        <is>
          <t>GU-2825</t>
        </is>
      </c>
      <c r="D574" s="5" t="inlineStr">
        <is>
          <t>ドッグ シェイプ バッグ チャーム</t>
        </is>
      </c>
      <c r="E574" s="5" t="inlineStr">
        <is>
          <t>821812 9AAGV 8076</t>
        </is>
      </c>
      <c r="F574" s="5" t="inlineStr">
        <is>
          <t xml:space="preserve">  -</t>
        </is>
      </c>
      <c r="G574" s="10" t="inlineStr">
        <is>
          <t>OneSize</t>
        </is>
      </c>
      <c r="H574" s="17" t="inlineStr">
        <is>
          <t>OneSize</t>
        </is>
      </c>
      <c r="I574" s="18" t="n">
        <v>62700</v>
      </c>
      <c r="J574" s="19" t="n">
        <v>62700</v>
      </c>
      <c r="K574" s="20" t="n">
        <v>5</v>
      </c>
      <c r="L574" s="4" t="inlineStr">
        <is>
          <t>https://www.gucci.com/jp/ja/pr/women/small-leather-goods-for-women/key-cases-charms-for-women/dog-shaped-bag-charm-p-8218129AAGV8076</t>
        </is>
      </c>
      <c r="M574" s="5">
        <f t="array" ref="M574">_xlfn.IFS(J574="NOTFOUND",I574,J574&gt;=I574,J574)</f>
        <v/>
      </c>
    </row>
    <row r="575" ht="18" customHeight="1" s="16">
      <c r="A575" s="5" t="n">
        <v>574</v>
      </c>
      <c r="B575" s="5" t="inlineStr">
        <is>
          <t>GU-2826</t>
        </is>
      </c>
      <c r="D575" s="5" t="inlineStr">
        <is>
          <t>キャット ディテール GG キーケース</t>
        </is>
      </c>
      <c r="E575" s="5" t="inlineStr">
        <is>
          <t>818768 FAEEN 8574</t>
        </is>
      </c>
      <c r="F575" s="5" t="inlineStr">
        <is>
          <t>ベージュ＆ダークブラウン ファブリック</t>
        </is>
      </c>
      <c r="G575" s="11" t="inlineStr">
        <is>
          <t>SOLD</t>
        </is>
      </c>
      <c r="H575" s="22" t="inlineStr">
        <is>
          <t>SOLD</t>
        </is>
      </c>
      <c r="I575" s="18" t="n">
        <v>58300</v>
      </c>
      <c r="J575" s="23" t="inlineStr">
        <is>
          <t>NOTFOUND</t>
        </is>
      </c>
      <c r="K575" s="20" t="n">
        <v>0</v>
      </c>
      <c r="L575" s="4" t="inlineStr">
        <is>
          <t>https://www.gucci.com/jp/ja/pr/women/small-leather-goods-for-women/key-cases-charms-for-women/gg-key-case-with-cat-detail-p-818768FAEEN8574</t>
        </is>
      </c>
      <c r="M575" s="5">
        <f t="array" ref="M575">_xlfn.IFS(J575="NOTFOUND",I575,J575&gt;=I575,J575)</f>
        <v/>
      </c>
    </row>
    <row r="576" ht="18" customHeight="1" s="16">
      <c r="A576" s="5" t="n">
        <v>575</v>
      </c>
      <c r="B576" s="5" t="inlineStr">
        <is>
          <t>GU-2827</t>
        </is>
      </c>
      <c r="D576" s="5" t="inlineStr">
        <is>
          <t>キャットシェイプ GG コインケース</t>
        </is>
      </c>
      <c r="E576" s="5" t="inlineStr">
        <is>
          <t>818766 FAEDC 9773</t>
        </is>
      </c>
      <c r="F576" s="5" t="inlineStr">
        <is>
          <t xml:space="preserve">  -</t>
        </is>
      </c>
      <c r="G576" s="11" t="inlineStr">
        <is>
          <t>SOLD</t>
        </is>
      </c>
      <c r="H576" s="22" t="inlineStr">
        <is>
          <t>SOLD</t>
        </is>
      </c>
      <c r="I576" s="18" t="n">
        <v>84700</v>
      </c>
      <c r="J576" s="23" t="inlineStr">
        <is>
          <t>NOTFOUND</t>
        </is>
      </c>
      <c r="K576" s="20" t="n">
        <v>0</v>
      </c>
      <c r="L576" s="4" t="inlineStr">
        <is>
          <t>https://www.gucci.com/jp/ja/pr/women/small-leather-goods-for-women/card-coin-cases-for-women/cat-shape-gg-coin-purse-p-818766FAEDC9773</t>
        </is>
      </c>
      <c r="M576" s="5">
        <f t="array" ref="M576">_xlfn.IFS(J576="NOTFOUND",I576,J576&gt;=I576,J576)</f>
        <v/>
      </c>
    </row>
    <row r="577" ht="18" customHeight="1" s="16">
      <c r="A577" s="5" t="n">
        <v>576</v>
      </c>
      <c r="B577" s="5" t="inlineStr">
        <is>
          <t>GU-2828</t>
        </is>
      </c>
      <c r="D577" s="5" t="inlineStr">
        <is>
          <t>キャット シェイプ バッグ チャーム</t>
        </is>
      </c>
      <c r="E577" s="5" t="inlineStr">
        <is>
          <t>820787 FAEC9 9782</t>
        </is>
      </c>
      <c r="F577" s="5" t="inlineStr">
        <is>
          <t xml:space="preserve">  -</t>
        </is>
      </c>
      <c r="G577" s="10" t="inlineStr">
        <is>
          <t>OneSize</t>
        </is>
      </c>
      <c r="H577" s="17" t="inlineStr">
        <is>
          <t>OneSize</t>
        </is>
      </c>
      <c r="I577" s="18" t="n">
        <v>42900</v>
      </c>
      <c r="J577" s="19" t="n">
        <v>42900</v>
      </c>
      <c r="K577" s="20" t="n">
        <v>5</v>
      </c>
      <c r="L577" s="4" t="inlineStr">
        <is>
          <t>https://www.gucci.com/jp/ja/pr/women/small-leather-goods-for-women/key-cases-charms-for-women/cat-shaped-bag-charm-p-820787FAEC99782</t>
        </is>
      </c>
      <c r="M577" s="5">
        <f t="array" ref="M577">_xlfn.IFS(J577="NOTFOUND",I577,J577&gt;=I577,J577)</f>
        <v/>
      </c>
    </row>
    <row r="578" ht="18" customHeight="1" s="16">
      <c r="A578" s="5" t="n">
        <v>577</v>
      </c>
      <c r="B578" s="5" t="inlineStr">
        <is>
          <t>GU-2829</t>
        </is>
      </c>
      <c r="D578" s="5" t="inlineStr">
        <is>
          <t>GGエンブレム ジップ カードケース</t>
        </is>
      </c>
      <c r="E578" s="5" t="inlineStr">
        <is>
          <t>821804 FAD6L 9758</t>
        </is>
      </c>
      <c r="F578" s="5" t="inlineStr">
        <is>
          <t xml:space="preserve">  -</t>
        </is>
      </c>
      <c r="G578" s="10" t="inlineStr">
        <is>
          <t>OneSize</t>
        </is>
      </c>
      <c r="H578" s="17" t="inlineStr">
        <is>
          <t>OneSize</t>
        </is>
      </c>
      <c r="I578" s="18" t="n">
        <v>80300</v>
      </c>
      <c r="J578" s="19" t="n">
        <v>80300</v>
      </c>
      <c r="K578" s="20" t="n">
        <v>5</v>
      </c>
      <c r="L578" s="4" t="inlineStr">
        <is>
          <t>https://www.gucci.com/jp/ja/pr/women/small-leather-goods-for-women/card-coin-cases-for-women/gg-emblem-zip-card-case-p-821804FAD6L9758</t>
        </is>
      </c>
      <c r="M578" s="5">
        <f t="array" ref="M578">_xlfn.IFS(J578="NOTFOUND",I578,J578&gt;=I578,J578)</f>
        <v/>
      </c>
    </row>
    <row r="579" ht="18" customHeight="1" s="16">
      <c r="A579" s="5" t="n">
        <v>578</v>
      </c>
      <c r="B579" s="5" t="inlineStr">
        <is>
          <t>GU-2830</t>
        </is>
      </c>
      <c r="D579" s="5" t="inlineStr">
        <is>
          <t>GGエンブレム ミニ ウォレット財布</t>
        </is>
      </c>
      <c r="E579" s="5" t="inlineStr">
        <is>
          <t>820692 FAD6L 9741</t>
        </is>
      </c>
      <c r="F579" s="5" t="inlineStr">
        <is>
          <t>ベージュ＆ダークブラウン キャンバス</t>
        </is>
      </c>
      <c r="G579" s="10" t="inlineStr">
        <is>
          <t>OneSize</t>
        </is>
      </c>
      <c r="H579" s="17" t="inlineStr">
        <is>
          <t>OneSize</t>
        </is>
      </c>
      <c r="I579" s="18" t="n">
        <v>74800</v>
      </c>
      <c r="J579" s="19" t="n">
        <v>74800</v>
      </c>
      <c r="K579" s="20" t="n">
        <v>5</v>
      </c>
      <c r="L579" s="4" t="inlineStr">
        <is>
          <t>https://www.gucci.com/jp/ja/pr/women/small-leather-goods-for-women/folded-wallets-for-women/gg-emblem-mini-wallet-p-820692FAD6L9741</t>
        </is>
      </c>
      <c r="M579" s="5">
        <f t="array" ref="M579">_xlfn.IFS(J579="NOTFOUND",I579,J579&gt;=I579,J579)</f>
        <v/>
      </c>
    </row>
    <row r="580" ht="18" customHeight="1" s="16">
      <c r="A580" s="5" t="n">
        <v>579</v>
      </c>
      <c r="B580" s="5" t="inlineStr">
        <is>
          <t>GU-2831</t>
        </is>
      </c>
      <c r="D580" s="5" t="inlineStr">
        <is>
          <t>GGエンブレム キーケース</t>
        </is>
      </c>
      <c r="E580" s="5" t="inlineStr">
        <is>
          <t>819113 FAD6L 9741</t>
        </is>
      </c>
      <c r="F580" s="5" t="inlineStr">
        <is>
          <t xml:space="preserve">  -</t>
        </is>
      </c>
      <c r="G580" s="11" t="inlineStr">
        <is>
          <t>SOLD</t>
        </is>
      </c>
      <c r="H580" s="22" t="inlineStr">
        <is>
          <t>SOLD</t>
        </is>
      </c>
      <c r="I580" s="18" t="n">
        <v>49500</v>
      </c>
      <c r="J580" s="19" t="n">
        <v>49500</v>
      </c>
      <c r="K580" s="20" t="n">
        <v>0</v>
      </c>
      <c r="L580" s="4" t="inlineStr">
        <is>
          <t>https://www.gucci.com/jp/ja/pr/women/small-leather-goods-for-women/key-cases-charms-for-women/gg-emblem-key-case-p-819113FAD6L9741</t>
        </is>
      </c>
      <c r="M580" s="5">
        <f t="array" ref="M580">_xlfn.IFS(J580="NOTFOUND",I580,J580&gt;=I580,J580)</f>
        <v/>
      </c>
    </row>
    <row r="581" ht="18" customHeight="1" s="16">
      <c r="A581" s="5" t="n">
        <v>580</v>
      </c>
      <c r="B581" s="5" t="inlineStr">
        <is>
          <t>GU-2832</t>
        </is>
      </c>
      <c r="D581" s="5" t="inlineStr">
        <is>
          <t>GGエンブレム ジップアラウンドウォレット財布</t>
        </is>
      </c>
      <c r="E581" s="5" t="inlineStr">
        <is>
          <t>819122 FAD6L 9741</t>
        </is>
      </c>
      <c r="F581" s="5" t="inlineStr">
        <is>
          <t>ベージュ＆ダークブラウン キャンバス</t>
        </is>
      </c>
      <c r="G581" s="11" t="inlineStr">
        <is>
          <t>SOLD</t>
        </is>
      </c>
      <c r="H581" s="22" t="inlineStr">
        <is>
          <t>SOLD</t>
        </is>
      </c>
      <c r="I581" s="18" t="n">
        <v>116600</v>
      </c>
      <c r="J581" s="19" t="n">
        <v>116600</v>
      </c>
      <c r="K581" s="20" t="n">
        <v>0</v>
      </c>
      <c r="L581" s="4" t="inlineStr">
        <is>
          <t>https://www.gucci.com/jp/ja/pr/women/small-leather-goods-for-women/zip-around-wallets-for-women/gg-emblem-zip-around-wallet-p-819122FAD6L9741</t>
        </is>
      </c>
      <c r="M581" s="5">
        <f t="array" ref="M581">_xlfn.IFS(J581="NOTFOUND",I581,J581&gt;=I581,J581)</f>
        <v/>
      </c>
    </row>
    <row r="582" ht="18" customHeight="1" s="16">
      <c r="A582" s="5" t="n">
        <v>581</v>
      </c>
      <c r="B582" s="5" t="inlineStr">
        <is>
          <t>GU-2833</t>
        </is>
      </c>
      <c r="D582" s="5" t="inlineStr">
        <is>
          <t>GGエンブレム スーパーミニ ショルダーバッグ</t>
        </is>
      </c>
      <c r="E582" s="5" t="inlineStr">
        <is>
          <t>820688 FAD6L 9758</t>
        </is>
      </c>
      <c r="F582" s="5" t="inlineStr">
        <is>
          <t xml:space="preserve">  -</t>
        </is>
      </c>
      <c r="G582" s="10" t="inlineStr">
        <is>
          <t>OneSize</t>
        </is>
      </c>
      <c r="H582" s="17" t="inlineStr">
        <is>
          <t>OneSize</t>
        </is>
      </c>
      <c r="I582" s="18" t="n">
        <v>215600</v>
      </c>
      <c r="J582" s="19" t="n">
        <v>215600</v>
      </c>
      <c r="K582" s="20" t="n">
        <v>5</v>
      </c>
      <c r="L582" s="4" t="inlineStr">
        <is>
          <t>https://www.gucci.com/jp/ja/pr/women/small-leather-goods-for-women/strap-chain-wallets/gg-emblem-super-mini-shoulder-bag-p-820688FAD6L9758</t>
        </is>
      </c>
      <c r="M582" s="5">
        <f t="array" ref="M582">_xlfn.IFS(J582="NOTFOUND",I582,J582&gt;=I582,J582)</f>
        <v/>
      </c>
    </row>
    <row r="583" ht="18" customHeight="1" s="16">
      <c r="A583" s="5" t="n">
        <v>582</v>
      </c>
      <c r="B583" s="5" t="inlineStr">
        <is>
          <t>GU-2834</t>
        </is>
      </c>
      <c r="D583" s="5" t="inlineStr">
        <is>
          <t>GGエンブレム ジップアラウンドウォレット財布</t>
        </is>
      </c>
      <c r="E583" s="5" t="inlineStr">
        <is>
          <t>819122 FAD6L 9758</t>
        </is>
      </c>
      <c r="F583" s="5" t="inlineStr">
        <is>
          <t>ベージュ＆ダークブラウン キャンバス</t>
        </is>
      </c>
      <c r="G583" s="11" t="inlineStr">
        <is>
          <t>SOLD</t>
        </is>
      </c>
      <c r="H583" s="22" t="inlineStr">
        <is>
          <t>SOLD</t>
        </is>
      </c>
      <c r="I583" s="18" t="n">
        <v>116600</v>
      </c>
      <c r="J583" s="19" t="n">
        <v>116600</v>
      </c>
      <c r="K583" s="20" t="n">
        <v>0</v>
      </c>
      <c r="L583" s="4" t="inlineStr">
        <is>
          <t>https://www.gucci.com/jp/ja/pr/women/small-leather-goods-for-women/zip-around-wallets-for-women/gg-emblem-zip-around-wallet-p-819122FAD6L9758</t>
        </is>
      </c>
      <c r="M583" s="5">
        <f t="array" ref="M583">_xlfn.IFS(J583="NOTFOUND",I583,J583&gt;=I583,J583)</f>
        <v/>
      </c>
    </row>
    <row r="584" ht="18" customHeight="1" s="16">
      <c r="A584" s="5" t="n">
        <v>583</v>
      </c>
      <c r="B584" s="5" t="inlineStr">
        <is>
          <t>GU-2835</t>
        </is>
      </c>
      <c r="D584" s="5" t="inlineStr">
        <is>
          <t>オフィディア スーパーミニ ショルダーバッグ</t>
        </is>
      </c>
      <c r="E584" s="5" t="inlineStr">
        <is>
          <t>816357 96IWG 8745</t>
        </is>
      </c>
      <c r="F584" s="5" t="inlineStr">
        <is>
          <t>ベージュ＆ダークブラウン GGスプリーム キャンバス</t>
        </is>
      </c>
      <c r="G584" s="10" t="inlineStr">
        <is>
          <t>OneSize</t>
        </is>
      </c>
      <c r="H584" s="17" t="inlineStr">
        <is>
          <t>OneSize</t>
        </is>
      </c>
      <c r="I584" s="18" t="n">
        <v>209000</v>
      </c>
      <c r="J584" s="19" t="n">
        <v>209000</v>
      </c>
      <c r="K584" s="20" t="n">
        <v>5</v>
      </c>
      <c r="L584" s="4" t="inlineStr">
        <is>
          <t>https://www.gucci.com/jp/ja/pr/women/handbags/mini-bags-for-women/ophidia-super-mini-shoulder-bag-p-81635796IWG8745</t>
        </is>
      </c>
      <c r="M584" s="5">
        <f t="array" ref="M584">_xlfn.IFS(J584="NOTFOUND",I584,J584&gt;=I584,J584)</f>
        <v/>
      </c>
    </row>
    <row r="585" ht="18" customHeight="1" s="16">
      <c r="A585" s="5" t="n">
        <v>584</v>
      </c>
      <c r="B585" s="5" t="inlineStr">
        <is>
          <t>GU-2836</t>
        </is>
      </c>
      <c r="D585" s="5" t="inlineStr">
        <is>
          <t>オフィディア ミニバッグ</t>
        </is>
      </c>
      <c r="E585" s="5" t="inlineStr">
        <is>
          <t>764961 96IWG 8745</t>
        </is>
      </c>
      <c r="F585" s="5" t="inlineStr">
        <is>
          <t>ベージュ＆エボニー GGスプリーム キャンバス</t>
        </is>
      </c>
      <c r="G585" s="10" t="inlineStr">
        <is>
          <t>OneSize</t>
        </is>
      </c>
      <c r="H585" s="17" t="inlineStr">
        <is>
          <t>OneSize</t>
        </is>
      </c>
      <c r="I585" s="18" t="n">
        <v>154000</v>
      </c>
      <c r="J585" s="19" t="n">
        <v>154000</v>
      </c>
      <c r="K585" s="20" t="n">
        <v>5</v>
      </c>
      <c r="L585" s="4" t="inlineStr">
        <is>
          <t>https://www.gucci.com/jp/ja/pr/women/handbags/mini-bags-for-women/ophidia-mini-bag-p-76496196IWG8745</t>
        </is>
      </c>
      <c r="M585" s="5">
        <f t="array" ref="M585">_xlfn.IFS(J585="NOTFOUND",I585,J585&gt;=I585,J585)</f>
        <v/>
      </c>
    </row>
    <row r="586" ht="18" customHeight="1" s="16">
      <c r="A586" s="5" t="n">
        <v>585</v>
      </c>
      <c r="B586" s="5" t="inlineStr">
        <is>
          <t>GU-2837</t>
        </is>
      </c>
      <c r="D586" s="5" t="inlineStr">
        <is>
          <t>オフィディア  スーパーミニ ショルダーバッグ</t>
        </is>
      </c>
      <c r="E586" s="5" t="inlineStr">
        <is>
          <t>795170 96IWG 8745</t>
        </is>
      </c>
      <c r="F586" s="5" t="inlineStr">
        <is>
          <t>ベージュ＆エボニー GGスプリーム キャンバス</t>
        </is>
      </c>
      <c r="G586" s="11" t="inlineStr">
        <is>
          <t>SOLD</t>
        </is>
      </c>
      <c r="H586" s="22" t="inlineStr">
        <is>
          <t>SOLD</t>
        </is>
      </c>
      <c r="I586" s="18" t="n">
        <v>201300</v>
      </c>
      <c r="J586" s="23" t="inlineStr">
        <is>
          <t>NOTFOUND</t>
        </is>
      </c>
      <c r="K586" s="20" t="n">
        <v>0</v>
      </c>
      <c r="L586" s="4" t="inlineStr">
        <is>
          <t>https://www.gucci.com/jp/ja/pr/women/handbags/mini-bags-for-women/ophidia-super-mini-shoulder-bag-p-79517096IWG8745</t>
        </is>
      </c>
      <c r="M586" s="5">
        <f t="array" ref="M586">_xlfn.IFS(J586="NOTFOUND",I586,J586&gt;=I586,J586)</f>
        <v/>
      </c>
    </row>
    <row r="587" ht="18" customHeight="1" s="16">
      <c r="A587" s="5" t="n">
        <v>586</v>
      </c>
      <c r="B587" s="5" t="inlineStr">
        <is>
          <t>GU-2838</t>
        </is>
      </c>
      <c r="D587" s="5" t="inlineStr">
        <is>
          <t>オフィディア スーパーミニ ショルダーバッグ</t>
        </is>
      </c>
      <c r="E587" s="5" t="inlineStr">
        <is>
          <t>772308 K9GSG 8367</t>
        </is>
      </c>
      <c r="F587" s="5" t="inlineStr">
        <is>
          <t xml:space="preserve">  -</t>
        </is>
      </c>
      <c r="G587" s="11" t="inlineStr">
        <is>
          <t>SOLD</t>
        </is>
      </c>
      <c r="H587" s="22" t="inlineStr">
        <is>
          <t>SOLD</t>
        </is>
      </c>
      <c r="I587" s="18" t="n">
        <v>183700</v>
      </c>
      <c r="J587" s="23" t="inlineStr">
        <is>
          <t>NOTFOUND</t>
        </is>
      </c>
      <c r="K587" s="20" t="n">
        <v>0</v>
      </c>
      <c r="L587" s="4" t="inlineStr">
        <is>
          <t>https://www.gucci.com/jp/ja/pr/women/handbags/mini-bags-for-women/ophidia-super-mini-shoulder-bag-p-772308K9GSG8367</t>
        </is>
      </c>
      <c r="M587" s="5">
        <f t="array" ref="M587">_xlfn.IFS(J587="NOTFOUND",I587,J587&gt;=I587,J587)</f>
        <v/>
      </c>
    </row>
    <row r="588" ht="18" customHeight="1" s="16">
      <c r="A588" s="5" t="n">
        <v>587</v>
      </c>
      <c r="B588" s="5" t="inlineStr">
        <is>
          <t>GU-2839</t>
        </is>
      </c>
      <c r="D588" s="5" t="inlineStr">
        <is>
          <t>オフィディア GG カードケース</t>
        </is>
      </c>
      <c r="E588" s="5" t="inlineStr">
        <is>
          <t>523159 96IWG 8745</t>
        </is>
      </c>
      <c r="F588" s="5" t="inlineStr">
        <is>
          <t>GGスプリーム</t>
        </is>
      </c>
      <c r="G588" s="11" t="inlineStr">
        <is>
          <t>SOLD</t>
        </is>
      </c>
      <c r="H588" s="22" t="inlineStr">
        <is>
          <t>SOLD</t>
        </is>
      </c>
      <c r="I588" s="18" t="n">
        <v>42900</v>
      </c>
      <c r="J588" s="23" t="inlineStr">
        <is>
          <t>NOTFOUND</t>
        </is>
      </c>
      <c r="K588" s="20" t="n">
        <v>0</v>
      </c>
      <c r="L588" s="4" t="inlineStr">
        <is>
          <t>https://www.gucci.com/jp/ja/pr/women/small-leather-goods-for-women/card-coin-cases-for-women/ophidia-card-case-p-52315996IWG8745</t>
        </is>
      </c>
      <c r="M588" s="5">
        <f t="array" ref="M588">_xlfn.IFS(J588="NOTFOUND",I588,J588&gt;=I588,J588)</f>
        <v/>
      </c>
    </row>
    <row r="589" ht="18" customHeight="1" s="16">
      <c r="A589" s="5" t="n">
        <v>588</v>
      </c>
      <c r="B589" s="5" t="inlineStr">
        <is>
          <t>GU-2840</t>
        </is>
      </c>
      <c r="D589" s="5" t="inlineStr">
        <is>
          <t>オフィディア GG カードケース(コイン＆紙幣入れ付き)</t>
        </is>
      </c>
      <c r="E589" s="5" t="inlineStr">
        <is>
          <t>523155 96IWG 8745</t>
        </is>
      </c>
      <c r="F589" s="5" t="inlineStr">
        <is>
          <t>GGスプリーム</t>
        </is>
      </c>
      <c r="G589" s="11" t="inlineStr">
        <is>
          <t>SOLD</t>
        </is>
      </c>
      <c r="H589" s="22" t="inlineStr">
        <is>
          <t>SOLD</t>
        </is>
      </c>
      <c r="I589" s="18" t="n">
        <v>68200</v>
      </c>
      <c r="J589" s="23" t="inlineStr">
        <is>
          <t>NOTFOUND</t>
        </is>
      </c>
      <c r="K589" s="20" t="n">
        <v>0</v>
      </c>
      <c r="L589" s="4" t="inlineStr">
        <is>
          <t>https://www.gucci.com/jp/ja/pr/women/small-leather-goods-for-women/folded-wallets-for-women/ophidia-card-case-wallet-p-52315596IWG8745</t>
        </is>
      </c>
      <c r="M589" s="5">
        <f t="array" ref="M589">_xlfn.IFS(J589="NOTFOUND",I589,J589&gt;=I589,J589)</f>
        <v/>
      </c>
    </row>
    <row r="590" ht="18" customHeight="1" s="16">
      <c r="A590" s="5" t="n">
        <v>589</v>
      </c>
      <c r="B590" s="5" t="inlineStr">
        <is>
          <t>GU-2841</t>
        </is>
      </c>
      <c r="D590" s="5" t="inlineStr">
        <is>
          <t>ダブルG カードケース ウォレット財布</t>
        </is>
      </c>
      <c r="E590" s="5" t="inlineStr">
        <is>
          <t>658610 17WAG 5788</t>
        </is>
      </c>
      <c r="F590" s="5" t="inlineStr">
        <is>
          <t>ダスティピンク レザー＆GGスプリーム</t>
        </is>
      </c>
      <c r="G590" s="11" t="inlineStr">
        <is>
          <t>SOLD</t>
        </is>
      </c>
      <c r="H590" s="22" t="inlineStr">
        <is>
          <t>SOLD</t>
        </is>
      </c>
      <c r="I590" s="18" t="n">
        <v>63800</v>
      </c>
      <c r="J590" s="19" t="n">
        <v>63800</v>
      </c>
      <c r="K590" s="20" t="n">
        <v>0</v>
      </c>
      <c r="L590" s="4" t="inlineStr">
        <is>
          <t>https://www.gucci.com/jp/ja/pr/women/small-leather-goods-for-women/folded-wallets-for-women/gg-marmont-bi-color-card-case-wallet-p-65861017WAG5788</t>
        </is>
      </c>
      <c r="M590" s="5">
        <f t="array" ref="M590">_xlfn.IFS(J590="NOTFOUND",I590,J590&gt;=I590,J590)</f>
        <v/>
      </c>
    </row>
    <row r="591" ht="18" customHeight="1" s="16">
      <c r="A591" s="5" t="n">
        <v>590</v>
      </c>
      <c r="B591" s="5" t="inlineStr">
        <is>
          <t>GU-2842</t>
        </is>
      </c>
      <c r="D591" s="5" t="inlineStr">
        <is>
          <t>ダブルG カードケース ウォレット財布</t>
        </is>
      </c>
      <c r="E591" s="5" t="inlineStr">
        <is>
          <t>658610 17WAG 1283</t>
        </is>
      </c>
      <c r="F591" s="5" t="inlineStr">
        <is>
          <t>ブラック レザー＆GGスプリーム</t>
        </is>
      </c>
      <c r="G591" s="11" t="inlineStr">
        <is>
          <t>SOLD</t>
        </is>
      </c>
      <c r="H591" s="22" t="inlineStr">
        <is>
          <t>SOLD</t>
        </is>
      </c>
      <c r="I591" s="18" t="n">
        <v>63800</v>
      </c>
      <c r="J591" s="23" t="inlineStr">
        <is>
          <t>NOTFOUND</t>
        </is>
      </c>
      <c r="K591" s="20" t="n">
        <v>0</v>
      </c>
      <c r="L591" s="4" t="inlineStr">
        <is>
          <t>https://www.gucci.com/jp/ja/pr/women/small-leather-goods-for-women/folded-wallets-for-women/gg-marmont-bi-color-card-case-wallet-p-65861017WAG1283</t>
        </is>
      </c>
      <c r="M591" s="5">
        <f t="array" ref="M591">_xlfn.IFS(J591="NOTFOUND",I591,J591&gt;=I591,J591)</f>
        <v/>
      </c>
    </row>
    <row r="592" ht="18" customHeight="1" s="16">
      <c r="A592" s="5" t="n">
        <v>591</v>
      </c>
      <c r="B592" s="5" t="inlineStr">
        <is>
          <t>GU-2843</t>
        </is>
      </c>
      <c r="D592" s="5" t="inlineStr">
        <is>
          <t>ダブルG バイカラー キーケース</t>
        </is>
      </c>
      <c r="E592" s="5" t="inlineStr">
        <is>
          <t>456118 17WAG 5788</t>
        </is>
      </c>
      <c r="F592" s="5" t="inlineStr">
        <is>
          <t>ダスティピンク レザー＆GGスプリーム</t>
        </is>
      </c>
      <c r="G592" s="10" t="inlineStr">
        <is>
          <t>OneSize</t>
        </is>
      </c>
      <c r="H592" s="17" t="inlineStr">
        <is>
          <t>OneSize</t>
        </is>
      </c>
      <c r="I592" s="18" t="n">
        <v>38500</v>
      </c>
      <c r="J592" s="19" t="n">
        <v>38500</v>
      </c>
      <c r="K592" s="20" t="n">
        <v>5</v>
      </c>
      <c r="L592" s="4" t="inlineStr">
        <is>
          <t>https://www.gucci.com/jp/ja/pr/women/small-leather-goods-for-women/key-cases-charms-for-women/gg-marmont-bi-color-key-case-p-45611817WAG5788</t>
        </is>
      </c>
      <c r="M592" s="5">
        <f t="array" ref="M592">_xlfn.IFS(J592="NOTFOUND",I592,J592&gt;=I592,J592)</f>
        <v/>
      </c>
    </row>
    <row r="593" ht="18" customHeight="1" s="16">
      <c r="A593" s="5" t="n">
        <v>592</v>
      </c>
      <c r="B593" s="5" t="inlineStr">
        <is>
          <t>GU-2844</t>
        </is>
      </c>
      <c r="D593" s="5" t="inlineStr">
        <is>
          <t>ダブルG バイカラー ミディアム ウォレット財布</t>
        </is>
      </c>
      <c r="E593" s="5" t="inlineStr">
        <is>
          <t>598587 17WAG 1283</t>
        </is>
      </c>
      <c r="F593" s="5" t="inlineStr">
        <is>
          <t>ブラック レザー＆GGスプリーム</t>
        </is>
      </c>
      <c r="G593" s="10" t="inlineStr">
        <is>
          <t>OneSize</t>
        </is>
      </c>
      <c r="H593" s="17" t="inlineStr">
        <is>
          <t>OneSize</t>
        </is>
      </c>
      <c r="I593" s="18" t="n">
        <v>82500</v>
      </c>
      <c r="J593" s="19" t="n">
        <v>82500</v>
      </c>
      <c r="K593" s="20" t="n">
        <v>5</v>
      </c>
      <c r="L593" s="4" t="inlineStr">
        <is>
          <t>https://www.gucci.com/jp/ja/pr/women/small-leather-goods-for-women/folded-wallets-for-women/gg-marmont-bi-color-medium-wallet-p-59858717WAG1283</t>
        </is>
      </c>
      <c r="M593" s="5">
        <f t="array" ref="M593">_xlfn.IFS(J593="NOTFOUND",I593,J593&gt;=I593,J593)</f>
        <v/>
      </c>
    </row>
    <row r="594" ht="18" customHeight="1" s="16">
      <c r="A594" s="5" t="n">
        <v>593</v>
      </c>
      <c r="B594" s="5" t="inlineStr">
        <is>
          <t>GU-2845</t>
        </is>
      </c>
      <c r="D594" s="5" t="inlineStr">
        <is>
          <t>ダブルG バイカラー コンチネンタルウォレット財布</t>
        </is>
      </c>
      <c r="E594" s="5" t="inlineStr">
        <is>
          <t>456116 17WAG 5788</t>
        </is>
      </c>
      <c r="F594" s="5" t="inlineStr">
        <is>
          <t>ダスティピンク レザー＆GGスプリーム</t>
        </is>
      </c>
      <c r="G594" s="10" t="inlineStr">
        <is>
          <t>OneSize</t>
        </is>
      </c>
      <c r="H594" s="17" t="inlineStr">
        <is>
          <t>OneSize</t>
        </is>
      </c>
      <c r="I594" s="18" t="n">
        <v>97900</v>
      </c>
      <c r="J594" s="19" t="n">
        <v>97900</v>
      </c>
      <c r="K594" s="20" t="n">
        <v>5</v>
      </c>
      <c r="L594" s="4" t="inlineStr">
        <is>
          <t>https://www.gucci.com/jp/ja/pr/women/small-leather-goods-for-women/continental-wallets-for-women/gg-marmont-bi-color-continental-wallet-p-45611617WAG5788</t>
        </is>
      </c>
      <c r="M594" s="5">
        <f t="array" ref="M594">_xlfn.IFS(J594="NOTFOUND",I594,J594&gt;=I594,J594)</f>
        <v/>
      </c>
    </row>
    <row r="595" ht="18" customHeight="1" s="16">
      <c r="A595" s="5" t="n">
        <v>594</v>
      </c>
      <c r="B595" s="5" t="inlineStr">
        <is>
          <t>GU-2846</t>
        </is>
      </c>
      <c r="D595" s="5" t="inlineStr">
        <is>
          <t>ダブルG バイカラー ジップアラウンドウォレット財布</t>
        </is>
      </c>
      <c r="E595" s="5" t="inlineStr">
        <is>
          <t>456117 17WAG 1283</t>
        </is>
      </c>
      <c r="F595" s="5" t="inlineStr">
        <is>
          <t>ブラックレザー ＆GGスプリーム</t>
        </is>
      </c>
      <c r="G595" s="10" t="inlineStr">
        <is>
          <t>OneSize</t>
        </is>
      </c>
      <c r="H595" s="17" t="inlineStr">
        <is>
          <t>OneSize</t>
        </is>
      </c>
      <c r="I595" s="18" t="n">
        <v>93500</v>
      </c>
      <c r="J595" s="19" t="n">
        <v>93500</v>
      </c>
      <c r="K595" s="20" t="n">
        <v>5</v>
      </c>
      <c r="L595" s="4" t="inlineStr">
        <is>
          <t>https://www.gucci.com/jp/ja/pr/women/small-leather-goods-for-women/zip-around-wallets-for-women/gg-marmont-bi-color-zip-around-wallet-p-45611717WAG1283</t>
        </is>
      </c>
      <c r="M595" s="5">
        <f t="array" ref="M595">_xlfn.IFS(J595="NOTFOUND",I595,J595&gt;=I595,J595)</f>
        <v/>
      </c>
    </row>
    <row r="596" ht="18" customHeight="1" s="16">
      <c r="A596" s="5" t="n">
        <v>595</v>
      </c>
      <c r="B596" s="5" t="inlineStr">
        <is>
          <t>GU-2847</t>
        </is>
      </c>
      <c r="D596" s="5" t="inlineStr">
        <is>
          <t>ダブルG カードケース ウォレット財布</t>
        </is>
      </c>
      <c r="E596" s="5" t="inlineStr">
        <is>
          <t>658610 17WAG 4041</t>
        </is>
      </c>
      <c r="F596" s="5" t="inlineStr">
        <is>
          <t>ベージュ＆ブルー GGスプリーム キャンバス</t>
        </is>
      </c>
      <c r="G596" s="10" t="inlineStr">
        <is>
          <t>OneSize</t>
        </is>
      </c>
      <c r="H596" s="17" t="inlineStr">
        <is>
          <t>OneSize</t>
        </is>
      </c>
      <c r="I596" s="18" t="n">
        <v>63800</v>
      </c>
      <c r="J596" s="19" t="n">
        <v>63800</v>
      </c>
      <c r="K596" s="20" t="n">
        <v>5</v>
      </c>
      <c r="L596" s="4" t="inlineStr">
        <is>
          <t>https://www.gucci.com/jp/ja/pr/women/small-leather-goods-for-women/folded-wallets-for-women/gg-marmont-bi-color-card-case-wallet-p-65861017WAG4041</t>
        </is>
      </c>
      <c r="M596" s="5">
        <f t="array" ref="M596">_xlfn.IFS(J596="NOTFOUND",I596,J596&gt;=I596,J596)</f>
        <v/>
      </c>
    </row>
    <row r="597" ht="18" customHeight="1" s="16">
      <c r="A597" s="5" t="n">
        <v>596</v>
      </c>
      <c r="B597" s="5" t="inlineStr">
        <is>
          <t>GU-2848</t>
        </is>
      </c>
      <c r="D597" s="5" t="inlineStr">
        <is>
          <t>ダブルG カードケース ウォレット財布</t>
        </is>
      </c>
      <c r="E597" s="5" t="inlineStr">
        <is>
          <t>456126 CAO2G 4941</t>
        </is>
      </c>
      <c r="F597" s="5" t="inlineStr">
        <is>
          <t>ライトブルー レザー</t>
        </is>
      </c>
      <c r="G597" s="11" t="inlineStr">
        <is>
          <t>SOLD</t>
        </is>
      </c>
      <c r="H597" s="22" t="inlineStr">
        <is>
          <t>SOLD</t>
        </is>
      </c>
      <c r="I597" s="18" t="n">
        <v>63800</v>
      </c>
      <c r="J597" s="19" t="n">
        <v>63800</v>
      </c>
      <c r="K597" s="20" t="n">
        <v>0</v>
      </c>
      <c r="L597" s="4" t="inlineStr">
        <is>
          <t>https://www.gucci.com/jp/ja/pr/women/small-leather-goods-for-women/folded-wallets-for-women/gg-marmont-card-case-wallet-p-456126CAO2G4941</t>
        </is>
      </c>
      <c r="M597" s="5">
        <f t="array" ref="M597">_xlfn.IFS(J597="NOTFOUND",I597,J597&gt;=I597,J597)</f>
        <v/>
      </c>
    </row>
    <row r="598" ht="18" customHeight="1" s="16">
      <c r="A598" s="5" t="n">
        <v>597</v>
      </c>
      <c r="B598" s="5" t="inlineStr">
        <is>
          <t>GU-2849</t>
        </is>
      </c>
      <c r="D598" s="5" t="inlineStr">
        <is>
          <t>ダブルG バイカラー カードケース 名刺入れ</t>
        </is>
      </c>
      <c r="E598" s="5" t="inlineStr">
        <is>
          <t>739525 17WAG 4041</t>
        </is>
      </c>
      <c r="F598" s="5" t="inlineStr">
        <is>
          <t>ベージュ＆ブルー GGスプリーム キャンバス</t>
        </is>
      </c>
      <c r="G598" s="10" t="inlineStr">
        <is>
          <t>OneSize</t>
        </is>
      </c>
      <c r="H598" s="17" t="inlineStr">
        <is>
          <t>OneSize</t>
        </is>
      </c>
      <c r="I598" s="18" t="n">
        <v>46750</v>
      </c>
      <c r="J598" s="19" t="n">
        <v>46750</v>
      </c>
      <c r="K598" s="20" t="n">
        <v>5</v>
      </c>
      <c r="L598" s="4" t="inlineStr">
        <is>
          <t>https://www.gucci.com/jp/ja/pr/women/small-leather-goods-for-women/card-coin-cases-for-women/gg-marmont-bi-color-card-case-p-73952517WAG4041</t>
        </is>
      </c>
      <c r="M598" s="5">
        <f t="array" ref="M598">_xlfn.IFS(J598="NOTFOUND",I598,J598&gt;=I598,J598)</f>
        <v/>
      </c>
    </row>
    <row r="599" ht="18" customHeight="1" s="16">
      <c r="A599" s="5" t="n">
        <v>598</v>
      </c>
      <c r="B599" s="5" t="inlineStr">
        <is>
          <t>GU-2850</t>
        </is>
      </c>
      <c r="D599" s="5" t="inlineStr">
        <is>
          <t>ダブルG ウォレット財布</t>
        </is>
      </c>
      <c r="E599" s="5" t="inlineStr">
        <is>
          <t>790063 CAO2G 4941</t>
        </is>
      </c>
      <c r="F599" s="5" t="inlineStr">
        <is>
          <t>ライトブルー レザー</t>
        </is>
      </c>
      <c r="G599" s="10" t="inlineStr">
        <is>
          <t>OneSize</t>
        </is>
      </c>
      <c r="H599" s="17" t="inlineStr">
        <is>
          <t>OneSize</t>
        </is>
      </c>
      <c r="I599" s="18" t="n">
        <v>89100</v>
      </c>
      <c r="J599" s="19" t="n">
        <v>89100</v>
      </c>
      <c r="K599" s="20" t="n">
        <v>5</v>
      </c>
      <c r="L599" s="4" t="inlineStr">
        <is>
          <t>https://www.gucci.com/jp/ja/pr/women/small-leather-goods-for-women/folded-wallets-for-women/gg-marmont-wallet-p-790063CAO2G4941</t>
        </is>
      </c>
      <c r="M599" s="5">
        <f t="array" ref="M599">_xlfn.IFS(J599="NOTFOUND",I599,J599&gt;=I599,J599)</f>
        <v/>
      </c>
    </row>
    <row r="600" ht="18" customHeight="1" s="16">
      <c r="A600" s="5" t="n">
        <v>599</v>
      </c>
      <c r="B600" s="5" t="inlineStr">
        <is>
          <t>GU-2851</t>
        </is>
      </c>
      <c r="D600" s="5" t="inlineStr">
        <is>
          <t>ダブルG バイカラー コンチネンタルウォレット財布</t>
        </is>
      </c>
      <c r="E600" s="5" t="inlineStr">
        <is>
          <t>456116 17WAG 4041</t>
        </is>
      </c>
      <c r="F600" s="5" t="inlineStr">
        <is>
          <t>ベージュ＆ブルー GGスプリーム キャンバス</t>
        </is>
      </c>
      <c r="G600" s="11" t="inlineStr">
        <is>
          <t>SOLD</t>
        </is>
      </c>
      <c r="H600" s="22" t="inlineStr">
        <is>
          <t>SOLD</t>
        </is>
      </c>
      <c r="I600" s="18" t="n">
        <v>97900</v>
      </c>
      <c r="J600" s="19" t="n">
        <v>97900</v>
      </c>
      <c r="K600" s="20" t="n">
        <v>0</v>
      </c>
      <c r="L600" s="4" t="inlineStr">
        <is>
          <t>https://www.gucci.com/jp/ja/pr/women/small-leather-goods-for-women/continental-wallets-for-women/gg-marmont-bi-color-continental-wallet-p-45611617WAG4041</t>
        </is>
      </c>
      <c r="M600" s="5">
        <f t="array" ref="M600">_xlfn.IFS(J600="NOTFOUND",I600,J600&gt;=I600,J600)</f>
        <v/>
      </c>
    </row>
    <row r="601" ht="18" customHeight="1" s="16">
      <c r="A601" s="5" t="n">
        <v>600</v>
      </c>
      <c r="B601" s="5" t="inlineStr">
        <is>
          <t>GU-2852</t>
        </is>
      </c>
      <c r="D601" s="5" t="inlineStr">
        <is>
          <t>ダブルG コンチネンタルウォレット財布</t>
        </is>
      </c>
      <c r="E601" s="5" t="inlineStr">
        <is>
          <t>456116 CAO2G 4941</t>
        </is>
      </c>
      <c r="F601" s="5" t="inlineStr">
        <is>
          <t>ライトブルー レザー</t>
        </is>
      </c>
      <c r="G601" s="11" t="inlineStr">
        <is>
          <t>SOLD</t>
        </is>
      </c>
      <c r="H601" s="22" t="inlineStr">
        <is>
          <t>SOLD</t>
        </is>
      </c>
      <c r="I601" s="18" t="n">
        <v>97900</v>
      </c>
      <c r="J601" s="19" t="n">
        <v>97900</v>
      </c>
      <c r="K601" s="20" t="n">
        <v>0</v>
      </c>
      <c r="L601" s="4" t="inlineStr">
        <is>
          <t>https://www.gucci.com/jp/ja/pr/women/small-leather-goods-for-women/continental-wallets-for-women/gg-marmont-continental-wallet-p-456116CAO2G4941</t>
        </is>
      </c>
      <c r="M601" s="5">
        <f t="array" ref="M601">_xlfn.IFS(J601="NOTFOUND",I601,J601&gt;=I601,J601)</f>
        <v/>
      </c>
    </row>
    <row r="602" ht="18" customHeight="1" s="16">
      <c r="A602" s="5" t="n">
        <v>601</v>
      </c>
      <c r="B602" s="5" t="inlineStr">
        <is>
          <t>GU-2853</t>
        </is>
      </c>
      <c r="D602" s="5" t="inlineStr">
        <is>
          <t>ダブルG バイカラー ミディアム ウォレット財布</t>
        </is>
      </c>
      <c r="E602" s="5" t="inlineStr">
        <is>
          <t>598587 17WAG 4041</t>
        </is>
      </c>
      <c r="F602" s="5" t="inlineStr">
        <is>
          <t>ベージュ＆ブルー GGスプリーム キャンバス</t>
        </is>
      </c>
      <c r="G602" s="11" t="inlineStr">
        <is>
          <t>SOLD</t>
        </is>
      </c>
      <c r="H602" s="22" t="inlineStr">
        <is>
          <t>SOLD</t>
        </is>
      </c>
      <c r="I602" s="18" t="n">
        <v>82500</v>
      </c>
      <c r="J602" s="19" t="n">
        <v>82500</v>
      </c>
      <c r="K602" s="20" t="n">
        <v>0</v>
      </c>
      <c r="L602" s="4" t="inlineStr">
        <is>
          <t>https://www.gucci.com/jp/ja/pr/women/small-leather-goods-for-women/folded-wallets-for-women/gg-marmont-bi-color-medium-wallet-p-59858717WAG4041</t>
        </is>
      </c>
      <c r="M602" s="5">
        <f t="array" ref="M602">_xlfn.IFS(J602="NOTFOUND",I602,J602&gt;=I602,J602)</f>
        <v/>
      </c>
    </row>
    <row r="603" ht="18" customHeight="1" s="16">
      <c r="A603" s="5" t="n">
        <v>602</v>
      </c>
      <c r="B603" s="5" t="inlineStr">
        <is>
          <t>GU-2854</t>
        </is>
      </c>
      <c r="D603" s="5" t="inlineStr">
        <is>
          <t>ダブルG ジップアラウンドウォレット財布</t>
        </is>
      </c>
      <c r="E603" s="5" t="inlineStr">
        <is>
          <t>456117 CAO2G 4941</t>
        </is>
      </c>
      <c r="F603" s="5" t="inlineStr">
        <is>
          <t>ライトブルー レザー</t>
        </is>
      </c>
      <c r="G603" s="10" t="inlineStr">
        <is>
          <t>OneSize</t>
        </is>
      </c>
      <c r="H603" s="17" t="inlineStr">
        <is>
          <t>OneSize</t>
        </is>
      </c>
      <c r="I603" s="18" t="n">
        <v>93500</v>
      </c>
      <c r="J603" s="19" t="n">
        <v>93500</v>
      </c>
      <c r="K603" s="20" t="n">
        <v>5</v>
      </c>
      <c r="L603" s="4" t="inlineStr">
        <is>
          <t>https://www.gucci.com/jp/ja/pr/women/small-leather-goods-for-women/zip-around-wallets-for-women/gg-marmont-zip-around-wallet-p-456117CAO2G4941</t>
        </is>
      </c>
      <c r="M603" s="5">
        <f t="array" ref="M603">_xlfn.IFS(J603="NOTFOUND",I603,J603&gt;=I603,J603)</f>
        <v/>
      </c>
    </row>
    <row r="604" ht="18" customHeight="1" s="16">
      <c r="A604" s="5" t="n">
        <v>603</v>
      </c>
      <c r="B604" s="5" t="inlineStr">
        <is>
          <t>GU-2855</t>
        </is>
      </c>
      <c r="D604" s="5" t="inlineStr">
        <is>
          <t>GGエンブレム カードケース</t>
        </is>
      </c>
      <c r="E604" s="5" t="inlineStr">
        <is>
          <t>815883 AAEEM 6802</t>
        </is>
      </c>
      <c r="F604" s="5" t="inlineStr">
        <is>
          <t>ライトピンク レザー</t>
        </is>
      </c>
      <c r="G604" s="10" t="inlineStr">
        <is>
          <t>OneSize</t>
        </is>
      </c>
      <c r="H604" s="17" t="inlineStr">
        <is>
          <t>OneSize</t>
        </is>
      </c>
      <c r="I604" s="18" t="n">
        <v>61600</v>
      </c>
      <c r="J604" s="19" t="n">
        <v>61600</v>
      </c>
      <c r="K604" s="20" t="n">
        <v>5</v>
      </c>
      <c r="L604" s="4" t="inlineStr">
        <is>
          <t>https://www.gucci.com/jp/ja/pr/women/small-leather-goods-for-women/card-coin-cases-for-women/gg-emblem-card-case-p-815883AAEEM6802</t>
        </is>
      </c>
      <c r="M604" s="5">
        <f t="array" ref="M604">_xlfn.IFS(J604="NOTFOUND",I604,J604&gt;=I604,J604)</f>
        <v/>
      </c>
    </row>
    <row r="605" ht="18" customHeight="1" s="16">
      <c r="A605" s="5" t="n">
        <v>604</v>
      </c>
      <c r="B605" s="5" t="inlineStr">
        <is>
          <t>GU-2856</t>
        </is>
      </c>
      <c r="D605" s="5" t="inlineStr">
        <is>
          <t>GGエンブレム ミディアム ウォレット財布</t>
        </is>
      </c>
      <c r="E605" s="5" t="inlineStr">
        <is>
          <t>815874 AAEEM 6802</t>
        </is>
      </c>
      <c r="F605" s="5" t="inlineStr">
        <is>
          <t>ライトピンク レザー</t>
        </is>
      </c>
      <c r="G605" s="10" t="inlineStr">
        <is>
          <t>OneSize</t>
        </is>
      </c>
      <c r="H605" s="22" t="inlineStr">
        <is>
          <t>SOLD</t>
        </is>
      </c>
      <c r="I605" s="18" t="n">
        <v>99000</v>
      </c>
      <c r="J605" s="19" t="n">
        <v>99000</v>
      </c>
      <c r="K605" s="20" t="n">
        <v>0</v>
      </c>
      <c r="L605" s="4" t="inlineStr">
        <is>
          <t>https://www.gucci.com/jp/ja/pr/women/small-leather-goods-for-women/folded-wallets-for-women/gg-emblem-medium-wallet-p-815874AAEEM6802</t>
        </is>
      </c>
      <c r="M605" s="5">
        <f t="array" ref="M605">_xlfn.IFS(J605="NOTFOUND",I605,J605&gt;=I605,J605)</f>
        <v/>
      </c>
    </row>
    <row r="606" ht="18" customHeight="1" s="16">
      <c r="A606" s="5" t="n">
        <v>605</v>
      </c>
      <c r="B606" s="5" t="inlineStr">
        <is>
          <t>GU-2857</t>
        </is>
      </c>
      <c r="D606" s="5" t="inlineStr">
        <is>
          <t>GGエンブレム カードケース</t>
        </is>
      </c>
      <c r="E606" s="5" t="inlineStr">
        <is>
          <t>815883 AAEEM 3411</t>
        </is>
      </c>
      <c r="F606" s="5" t="inlineStr">
        <is>
          <t>ペールグリーン レザー</t>
        </is>
      </c>
      <c r="G606" s="11" t="inlineStr">
        <is>
          <t>SOLD</t>
        </is>
      </c>
      <c r="H606" s="22" t="inlineStr">
        <is>
          <t>SOLD</t>
        </is>
      </c>
      <c r="I606" s="18" t="n">
        <v>61600</v>
      </c>
      <c r="J606" s="23" t="inlineStr">
        <is>
          <t>NOTFOUND</t>
        </is>
      </c>
      <c r="K606" s="20" t="n">
        <v>0</v>
      </c>
      <c r="L606" s="4" t="inlineStr">
        <is>
          <t>https://www.gucci.com/jp/ja/pr/women/small-leather-goods-for-women/card-coin-cases-for-women/gg-emblem-card-case-p-815883AAEEM3411</t>
        </is>
      </c>
      <c r="M606" s="5">
        <f t="array" ref="M606">_xlfn.IFS(J606="NOTFOUND",I606,J606&gt;=I606,J606)</f>
        <v/>
      </c>
    </row>
    <row r="607" ht="18" customHeight="1" s="16">
      <c r="A607" s="5" t="n">
        <v>606</v>
      </c>
      <c r="B607" s="5" t="inlineStr">
        <is>
          <t>GU-2858</t>
        </is>
      </c>
      <c r="D607" s="5" t="inlineStr">
        <is>
          <t>GGエンブレム ジップ キーケース</t>
        </is>
      </c>
      <c r="E607" s="5" t="inlineStr">
        <is>
          <t>815891 AAEEM 3411</t>
        </is>
      </c>
      <c r="F607" s="5" t="inlineStr">
        <is>
          <t>ペールグリーン レザー</t>
        </is>
      </c>
      <c r="G607" s="11" t="inlineStr">
        <is>
          <t>SOLD</t>
        </is>
      </c>
      <c r="H607" s="22" t="inlineStr">
        <is>
          <t>SOLD</t>
        </is>
      </c>
      <c r="I607" s="18" t="n">
        <v>61600</v>
      </c>
      <c r="J607" s="23" t="inlineStr">
        <is>
          <t>NOTFOUND</t>
        </is>
      </c>
      <c r="K607" s="20" t="n">
        <v>0</v>
      </c>
      <c r="L607" s="4" t="inlineStr">
        <is>
          <t>https://www.gucci.com/jp/ja/pr/women/small-leather-goods-for-women/key-cases-charms-for-women/gg-emblem-zip-key-case-p-815891AAEEM3411</t>
        </is>
      </c>
      <c r="M607" s="5">
        <f t="array" ref="M607">_xlfn.IFS(J607="NOTFOUND",I607,J607&gt;=I607,J607)</f>
        <v/>
      </c>
    </row>
    <row r="608" ht="18" customHeight="1" s="16">
      <c r="A608" s="5" t="n">
        <v>607</v>
      </c>
      <c r="B608" s="5" t="inlineStr">
        <is>
          <t>GU-2859</t>
        </is>
      </c>
      <c r="D608" s="5" t="inlineStr">
        <is>
          <t>GGエンブレム コンチネンタルウォレット財布</t>
        </is>
      </c>
      <c r="E608" s="5" t="inlineStr">
        <is>
          <t>815922 AAEEM 1000</t>
        </is>
      </c>
      <c r="F608" s="5" t="inlineStr">
        <is>
          <t xml:space="preserve">  -</t>
        </is>
      </c>
      <c r="G608" s="11" t="inlineStr">
        <is>
          <t>SOLD</t>
        </is>
      </c>
      <c r="H608" s="22" t="inlineStr">
        <is>
          <t>SOLD</t>
        </is>
      </c>
      <c r="I608" s="18" t="n">
        <v>124300</v>
      </c>
      <c r="J608" s="19" t="n">
        <v>124300</v>
      </c>
      <c r="K608" s="20" t="n">
        <v>0</v>
      </c>
      <c r="L608" s="4" t="inlineStr">
        <is>
          <t>https://www.gucci.com/jp/ja/pr/women/small-leather-goods-for-women/continental-wallets-for-women/gg-emblem-continental-wallet-p-815922AAEEM1000</t>
        </is>
      </c>
      <c r="M608" s="5">
        <f t="array" ref="M608">_xlfn.IFS(J608="NOTFOUND",I608,J608&gt;=I608,J608)</f>
        <v/>
      </c>
    </row>
    <row r="609" ht="18" customHeight="1" s="16">
      <c r="A609" s="5" t="n">
        <v>608</v>
      </c>
      <c r="B609" s="5" t="inlineStr">
        <is>
          <t>GU-2860</t>
        </is>
      </c>
      <c r="D609" s="5" t="inlineStr">
        <is>
          <t>GGエンブレム ミディアム ウォレット財布</t>
        </is>
      </c>
      <c r="E609" s="5" t="inlineStr">
        <is>
          <t>815874 AAEEM 1000</t>
        </is>
      </c>
      <c r="F609" s="5" t="inlineStr">
        <is>
          <t>ブラック レザー</t>
        </is>
      </c>
      <c r="G609" s="10" t="inlineStr">
        <is>
          <t>OneSize</t>
        </is>
      </c>
      <c r="H609" s="17" t="inlineStr">
        <is>
          <t>OneSize</t>
        </is>
      </c>
      <c r="I609" s="18" t="n">
        <v>99000</v>
      </c>
      <c r="J609" s="19" t="n">
        <v>99000</v>
      </c>
      <c r="K609" s="20" t="n">
        <v>5</v>
      </c>
      <c r="L609" s="4" t="inlineStr">
        <is>
          <t>https://www.gucci.com/jp/ja/pr/women/small-leather-goods-for-women/folded-wallets-for-women/gg-emblem-medium-wallet-p-815874AAEEM1000</t>
        </is>
      </c>
      <c r="M609" s="5">
        <f t="array" ref="M609">_xlfn.IFS(J609="NOTFOUND",I609,J609&gt;=I609,J609)</f>
        <v/>
      </c>
    </row>
    <row r="610" ht="18" customHeight="1" s="16">
      <c r="A610" s="5" t="n">
        <v>609</v>
      </c>
      <c r="B610" s="5" t="inlineStr">
        <is>
          <t>GU-2861</t>
        </is>
      </c>
      <c r="D610" s="5" t="inlineStr">
        <is>
          <t>GUCCI スクリプト ジップ キーケース</t>
        </is>
      </c>
      <c r="E610" s="5" t="inlineStr">
        <is>
          <t>790102 0OP0N 1000</t>
        </is>
      </c>
      <c r="F610" s="5" t="inlineStr">
        <is>
          <t>ブラック レザー</t>
        </is>
      </c>
      <c r="G610" s="11" t="inlineStr">
        <is>
          <t>SOLD</t>
        </is>
      </c>
      <c r="H610" s="22" t="inlineStr">
        <is>
          <t>SOLD</t>
        </is>
      </c>
      <c r="I610" s="18" t="n">
        <v>58300</v>
      </c>
      <c r="J610" s="23" t="inlineStr">
        <is>
          <t>NOTFOUND</t>
        </is>
      </c>
      <c r="K610" s="20" t="n">
        <v>0</v>
      </c>
      <c r="L610" s="4" t="inlineStr">
        <is>
          <t>https://www.gucci.com/jp/ja/pr/women/small-leather-goods-for-women/key-cases-charms-for-women/zip-key-case-with-gucci-script-p-7901020OP0N1000</t>
        </is>
      </c>
      <c r="M610" s="5">
        <f t="array" ref="M610">_xlfn.IFS(J610="NOTFOUND",I610,J610&gt;=I610,J610)</f>
        <v/>
      </c>
    </row>
    <row r="611" ht="18" customHeight="1" s="16">
      <c r="A611" s="5" t="n">
        <v>610</v>
      </c>
      <c r="B611" s="5" t="inlineStr">
        <is>
          <t>GU-2862</t>
        </is>
      </c>
      <c r="D611" s="5" t="inlineStr">
        <is>
          <t>GUCCI スクリプト カードケース</t>
        </is>
      </c>
      <c r="E611" s="5" t="inlineStr">
        <is>
          <t>773428 0OP0T 6207</t>
        </is>
      </c>
      <c r="F611" s="5" t="inlineStr">
        <is>
          <t>グッチ ロッソ アンコーラ（深い赤）レザー</t>
        </is>
      </c>
      <c r="G611" s="11" t="inlineStr">
        <is>
          <t>SOLD</t>
        </is>
      </c>
      <c r="H611" s="22" t="inlineStr">
        <is>
          <t>SOLD</t>
        </is>
      </c>
      <c r="I611" s="18" t="n">
        <v>39600</v>
      </c>
      <c r="J611" s="23" t="inlineStr">
        <is>
          <t>NOTFOUND</t>
        </is>
      </c>
      <c r="K611" s="20" t="n">
        <v>0</v>
      </c>
      <c r="L611" s="4" t="inlineStr">
        <is>
          <t>https://www.gucci.com/jp/ja/pr/women/small-leather-goods-for-women/card-coin-cases-for-women/card-case-with-gucci-script-p-7734280OP0T6207</t>
        </is>
      </c>
      <c r="M611" s="5">
        <f t="array" ref="M611">_xlfn.IFS(J611="NOTFOUND",I611,J611&gt;=I611,J611)</f>
        <v/>
      </c>
    </row>
    <row r="612" ht="18" customHeight="1" s="16">
      <c r="A612" s="5" t="n">
        <v>611</v>
      </c>
      <c r="B612" s="5" t="inlineStr">
        <is>
          <t>GU-2863</t>
        </is>
      </c>
      <c r="D612" s="5" t="inlineStr">
        <is>
          <t>GUCCI スクリプト ミニ ウォレット財布</t>
        </is>
      </c>
      <c r="E612" s="5" t="inlineStr">
        <is>
          <t>772639 0OP0N 1000</t>
        </is>
      </c>
      <c r="F612" s="5" t="inlineStr">
        <is>
          <t>ブラック レザー</t>
        </is>
      </c>
      <c r="G612" s="11" t="inlineStr">
        <is>
          <t>SOLD</t>
        </is>
      </c>
      <c r="H612" s="22" t="inlineStr">
        <is>
          <t>SOLD</t>
        </is>
      </c>
      <c r="I612" s="18" t="n">
        <v>86900</v>
      </c>
      <c r="J612" s="23" t="inlineStr">
        <is>
          <t>NOTFOUND</t>
        </is>
      </c>
      <c r="K612" s="20" t="n">
        <v>0</v>
      </c>
      <c r="L612" s="4" t="inlineStr">
        <is>
          <t>https://www.gucci.com/jp/ja/pr/women/small-leather-goods-for-women/card-coin-cases-for-women/mini-wallet-with-gucci-script-p-7726390OP0N1000</t>
        </is>
      </c>
      <c r="M612" s="5">
        <f t="array" ref="M612">_xlfn.IFS(J612="NOTFOUND",I612,J612&gt;=I612,J612)</f>
        <v/>
      </c>
    </row>
    <row r="613" ht="18" customHeight="1" s="16">
      <c r="A613" s="5" t="n">
        <v>612</v>
      </c>
      <c r="B613" s="5" t="inlineStr">
        <is>
          <t>GU-2864</t>
        </is>
      </c>
      <c r="D613" s="5" t="inlineStr">
        <is>
          <t>GUCCI スクリプト カードケース</t>
        </is>
      </c>
      <c r="E613" s="5" t="inlineStr">
        <is>
          <t>790101 0OP0T 6207</t>
        </is>
      </c>
      <c r="F613" s="5" t="inlineStr">
        <is>
          <t>グッチ ロッソ アンコーラ（深い赤）レザー</t>
        </is>
      </c>
      <c r="G613" s="11" t="inlineStr">
        <is>
          <t>SOLD</t>
        </is>
      </c>
      <c r="H613" s="22" t="inlineStr">
        <is>
          <t>SOLD</t>
        </is>
      </c>
      <c r="I613" s="18" t="n">
        <v>53900</v>
      </c>
      <c r="J613" s="23" t="inlineStr">
        <is>
          <t>NOTFOUND</t>
        </is>
      </c>
      <c r="K613" s="20" t="n">
        <v>0</v>
      </c>
      <c r="L613" s="4" t="inlineStr">
        <is>
          <t>https://www.gucci.com/jp/ja/pr/women/small-leather-goods-for-women/card-coin-cases-for-women/card-case-with-gucci-script-p-7901010OP0T6207</t>
        </is>
      </c>
      <c r="M613" s="5">
        <f t="array" ref="M613">_xlfn.IFS(J613="NOTFOUND",I613,J613&gt;=I613,J613)</f>
        <v/>
      </c>
    </row>
    <row r="614" ht="18" customHeight="1" s="16">
      <c r="A614" s="5" t="n">
        <v>613</v>
      </c>
      <c r="B614" s="5" t="inlineStr">
        <is>
          <t>GU-2865</t>
        </is>
      </c>
      <c r="D614" s="5" t="inlineStr">
        <is>
          <t>GUCCI スクリプト カードケース ウォレット財布</t>
        </is>
      </c>
      <c r="E614" s="5" t="inlineStr">
        <is>
          <t>772640 0OP0N 1000</t>
        </is>
      </c>
      <c r="F614" s="5" t="inlineStr">
        <is>
          <t>ブラック レザー</t>
        </is>
      </c>
      <c r="G614" s="11" t="inlineStr">
        <is>
          <t>SOLD</t>
        </is>
      </c>
      <c r="H614" s="22" t="inlineStr">
        <is>
          <t>SOLD</t>
        </is>
      </c>
      <c r="I614" s="18" t="n">
        <v>99550</v>
      </c>
      <c r="J614" s="23" t="inlineStr">
        <is>
          <t>NOTFOUND</t>
        </is>
      </c>
      <c r="K614" s="20" t="n">
        <v>0</v>
      </c>
      <c r="L614" s="4" t="inlineStr">
        <is>
          <t>https://www.gucci.com/jp/ja/pr/women/small-leather-goods-for-women/folded-wallets-for-women/card-case-wallet-with-gucci-script-p-7726400OP0N1000</t>
        </is>
      </c>
      <c r="M614" s="5">
        <f t="array" ref="M614">_xlfn.IFS(J614="NOTFOUND",I614,J614&gt;=I614,J614)</f>
        <v/>
      </c>
    </row>
    <row r="615" ht="18" customHeight="1" s="16">
      <c r="A615" s="5" t="n">
        <v>614</v>
      </c>
      <c r="B615" s="5" t="inlineStr">
        <is>
          <t>GU-2866</t>
        </is>
      </c>
      <c r="D615" s="5" t="inlineStr">
        <is>
          <t>GUCCI スクリプト カードケース ウォレット財布</t>
        </is>
      </c>
      <c r="E615" s="5" t="inlineStr">
        <is>
          <t>772640 0OP0T 6207</t>
        </is>
      </c>
      <c r="F615" s="5" t="inlineStr">
        <is>
          <t>グッチ ロッソ アンコーラ（深い赤）レザー</t>
        </is>
      </c>
      <c r="G615" s="11" t="inlineStr">
        <is>
          <t>SOLD</t>
        </is>
      </c>
      <c r="H615" s="22" t="inlineStr">
        <is>
          <t>SOLD</t>
        </is>
      </c>
      <c r="I615" s="18" t="n">
        <v>99550</v>
      </c>
      <c r="J615" s="23" t="inlineStr">
        <is>
          <t>NOTFOUND</t>
        </is>
      </c>
      <c r="K615" s="20" t="n">
        <v>0</v>
      </c>
      <c r="L615" s="4" t="inlineStr">
        <is>
          <t>https://www.gucci.com/jp/ja/pr/women/small-leather-goods-for-women/folded-wallets-for-women/card-case-wallet-with-gucci-script-p-7726400OP0T6207</t>
        </is>
      </c>
      <c r="M615" s="5">
        <f t="array" ref="M615">_xlfn.IFS(J615="NOTFOUND",I615,J615&gt;=I615,J615)</f>
        <v/>
      </c>
    </row>
    <row r="616" ht="18" customHeight="1" s="16">
      <c r="A616" s="5" t="n">
        <v>615</v>
      </c>
      <c r="B616" s="5" t="inlineStr">
        <is>
          <t>GU-2867</t>
        </is>
      </c>
      <c r="D616" s="5" t="inlineStr">
        <is>
          <t>GUCCI スクリプト ジップアラウンドウォレット財布</t>
        </is>
      </c>
      <c r="E616" s="5" t="inlineStr">
        <is>
          <t>772642 0OP0N 1000</t>
        </is>
      </c>
      <c r="F616" s="5" t="inlineStr">
        <is>
          <t>ブラック レザー</t>
        </is>
      </c>
      <c r="G616" s="11" t="inlineStr">
        <is>
          <t>SOLD</t>
        </is>
      </c>
      <c r="H616" s="22" t="inlineStr">
        <is>
          <t>SOLD</t>
        </is>
      </c>
      <c r="I616" s="18" t="n">
        <v>102850</v>
      </c>
      <c r="J616" s="23" t="inlineStr">
        <is>
          <t>NOTFOUND</t>
        </is>
      </c>
      <c r="K616" s="20" t="n">
        <v>0</v>
      </c>
      <c r="L616" s="4" t="inlineStr">
        <is>
          <t>https://www.gucci.com/jp/ja/pr/women/small-leather-goods-for-women/zip-around-wallets-for-women/zip-around-wallet-with-gucci-script-p-7726420OP0N1000</t>
        </is>
      </c>
      <c r="M616" s="5">
        <f t="array" ref="M616">_xlfn.IFS(J616="NOTFOUND",I616,J616&gt;=I616,J616)</f>
        <v/>
      </c>
    </row>
    <row r="617" ht="18" customHeight="1" s="16">
      <c r="A617" s="5" t="n">
        <v>616</v>
      </c>
      <c r="B617" s="5" t="inlineStr">
        <is>
          <t>GU-2868</t>
        </is>
      </c>
      <c r="D617" s="5" t="inlineStr">
        <is>
          <t>GUCCI スクリプト パスポートケース</t>
        </is>
      </c>
      <c r="E617" s="5" t="inlineStr">
        <is>
          <t>795509 0OP0N 1000</t>
        </is>
      </c>
      <c r="F617" s="5" t="inlineStr">
        <is>
          <t xml:space="preserve">  -</t>
        </is>
      </c>
      <c r="G617" s="11" t="inlineStr">
        <is>
          <t>SOLD</t>
        </is>
      </c>
      <c r="H617" s="22" t="inlineStr">
        <is>
          <t>SOLD</t>
        </is>
      </c>
      <c r="I617" s="18" t="n">
        <v>81400</v>
      </c>
      <c r="J617" s="23" t="inlineStr">
        <is>
          <t>NOTFOUND</t>
        </is>
      </c>
      <c r="K617" s="20" t="n">
        <v>0</v>
      </c>
      <c r="L617" s="4" t="inlineStr">
        <is>
          <t>https://www.gucci.com/jp/ja/pr/women/small-leather-goods-for-women/card-coin-cases-for-women/passport-case-with-gucci-script-p-7955090OP0N1000</t>
        </is>
      </c>
      <c r="M617" s="5">
        <f t="array" ref="M617">_xlfn.IFS(J617="NOTFOUND",I617,J617&gt;=I617,J617)</f>
        <v/>
      </c>
    </row>
    <row r="618" ht="18" customHeight="1" s="16">
      <c r="A618" s="5" t="n">
        <v>617</v>
      </c>
      <c r="B618" s="5" t="inlineStr">
        <is>
          <t>GU-2869</t>
        </is>
      </c>
      <c r="D618" s="5" t="inlineStr">
        <is>
          <t>GGエンブレム コンチネンタルウォレット財布</t>
        </is>
      </c>
      <c r="E618" s="5" t="inlineStr">
        <is>
          <t>821802 FAD6L 9758</t>
        </is>
      </c>
      <c r="F618" s="5" t="inlineStr">
        <is>
          <t xml:space="preserve">  -</t>
        </is>
      </c>
      <c r="G618" s="10" t="inlineStr">
        <is>
          <t>OneSize</t>
        </is>
      </c>
      <c r="H618" s="17" t="inlineStr">
        <is>
          <t>OneSize</t>
        </is>
      </c>
      <c r="I618" s="18" t="n">
        <v>113300</v>
      </c>
      <c r="J618" s="19" t="n">
        <v>113300</v>
      </c>
      <c r="K618" s="20" t="n">
        <v>5</v>
      </c>
      <c r="L618" s="4" t="inlineStr">
        <is>
          <t>https://www.gucci.com/jp/ja/pr/women/small-leather-goods-for-women/continental-wallets-for-women/gg-emblem-continental-wallet-p-821802FAD6L9758</t>
        </is>
      </c>
      <c r="M618" s="5">
        <f t="array" ref="M618">_xlfn.IFS(J618="NOTFOUND",I618,J618&gt;=I618,J618)</f>
        <v/>
      </c>
    </row>
    <row r="619" ht="18" customHeight="1" s="16">
      <c r="A619" s="5" t="n">
        <v>618</v>
      </c>
      <c r="B619" s="5" t="inlineStr">
        <is>
          <t>GU-2870</t>
        </is>
      </c>
      <c r="D619" s="5" t="inlineStr">
        <is>
          <t>GGエンブレム ミニ ウォレット財布</t>
        </is>
      </c>
      <c r="E619" s="5" t="inlineStr">
        <is>
          <t>820692 FAD6L 9758</t>
        </is>
      </c>
      <c r="F619" s="5" t="inlineStr">
        <is>
          <t>ベージュ＆ダークブラウン キャンバス</t>
        </is>
      </c>
      <c r="G619" s="10" t="inlineStr">
        <is>
          <t>OneSize</t>
        </is>
      </c>
      <c r="H619" s="17" t="inlineStr">
        <is>
          <t>OneSize</t>
        </is>
      </c>
      <c r="I619" s="18" t="n">
        <v>74800</v>
      </c>
      <c r="J619" s="19" t="n">
        <v>74800</v>
      </c>
      <c r="K619" s="20" t="n">
        <v>5</v>
      </c>
      <c r="L619" s="4" t="inlineStr">
        <is>
          <t>https://www.gucci.com/jp/ja/pr/women/small-leather-goods-for-women/folded-wallets-for-women/gg-emblem-mini-wallet-p-820692FAD6L9758</t>
        </is>
      </c>
      <c r="M619" s="5">
        <f t="array" ref="M619">_xlfn.IFS(J619="NOTFOUND",I619,J619&gt;=I619,J619)</f>
        <v/>
      </c>
    </row>
    <row r="620" ht="18" customHeight="1" s="16">
      <c r="A620" s="5" t="n">
        <v>619</v>
      </c>
      <c r="B620" s="5" t="inlineStr">
        <is>
          <t>GU-2871</t>
        </is>
      </c>
      <c r="D620" s="5" t="inlineStr">
        <is>
          <t>パンダ シェイプ チャーム</t>
        </is>
      </c>
      <c r="E620" s="5" t="inlineStr">
        <is>
          <t>821890 9AAG1 8077</t>
        </is>
      </c>
      <c r="F620" s="5" t="inlineStr">
        <is>
          <t xml:space="preserve">  -</t>
        </is>
      </c>
      <c r="G620" s="10" t="inlineStr">
        <is>
          <t>OneSize</t>
        </is>
      </c>
      <c r="H620" s="17" t="inlineStr">
        <is>
          <t>OneSize</t>
        </is>
      </c>
      <c r="I620" s="18" t="n">
        <v>62700</v>
      </c>
      <c r="J620" s="19" t="n">
        <v>62700</v>
      </c>
      <c r="K620" s="20" t="n">
        <v>5</v>
      </c>
      <c r="L620" s="4" t="inlineStr">
        <is>
          <t>https://www.gucci.com/jp/ja/pr/women/small-leather-goods-for-women/key-cases-charms-for-women/panda-shaped-bag-charm-p-8218909AAG18077</t>
        </is>
      </c>
      <c r="M620" s="5">
        <f t="array" ref="M620">_xlfn.IFS(J620="NOTFOUND",I620,J620&gt;=I620,J620)</f>
        <v/>
      </c>
    </row>
    <row r="621" ht="18" customHeight="1" s="16">
      <c r="A621" s="5" t="n">
        <v>620</v>
      </c>
      <c r="B621" s="5" t="inlineStr">
        <is>
          <t>GU-2872</t>
        </is>
      </c>
      <c r="D621" s="5" t="inlineStr">
        <is>
          <t>オウル（ふくろう）シェイプ バッグ チャーム</t>
        </is>
      </c>
      <c r="E621" s="5" t="inlineStr">
        <is>
          <t>821813 9AAGU 8075</t>
        </is>
      </c>
      <c r="F621" s="5" t="inlineStr">
        <is>
          <t xml:space="preserve">  -</t>
        </is>
      </c>
      <c r="G621" s="10" t="inlineStr">
        <is>
          <t>OneSize</t>
        </is>
      </c>
      <c r="H621" s="17" t="inlineStr">
        <is>
          <t>OneSize</t>
        </is>
      </c>
      <c r="I621" s="18" t="n">
        <v>62700</v>
      </c>
      <c r="J621" s="19" t="n">
        <v>62700</v>
      </c>
      <c r="K621" s="20" t="n">
        <v>5</v>
      </c>
      <c r="L621" s="4" t="inlineStr">
        <is>
          <t>https://www.gucci.com/jp/ja/pr/women/small-leather-goods-for-women/key-cases-charms-for-women/owl-shaped-bag-charm-p-8218139AAGU8075</t>
        </is>
      </c>
      <c r="M621" s="5">
        <f t="array" ref="M621">_xlfn.IFS(J621="NOTFOUND",I621,J621&gt;=I621,J621)</f>
        <v/>
      </c>
    </row>
    <row r="622" ht="18" customHeight="1" s="16">
      <c r="A622" s="5" t="n">
        <v>621</v>
      </c>
      <c r="B622" s="5" t="inlineStr">
        <is>
          <t>GU-2873</t>
        </is>
      </c>
      <c r="D622" s="5" t="inlineStr">
        <is>
          <t>パンダ ディテール付き バイカラー GG カードケース</t>
        </is>
      </c>
      <c r="E622" s="5" t="inlineStr">
        <is>
          <t>818769 FAEEO 8575</t>
        </is>
      </c>
      <c r="F622" s="5" t="inlineStr">
        <is>
          <t>ベージュ＆ダークブラウン ファブリック</t>
        </is>
      </c>
      <c r="G622" s="11" t="inlineStr">
        <is>
          <t>SOLD</t>
        </is>
      </c>
      <c r="H622" s="22" t="inlineStr">
        <is>
          <t>SOLD</t>
        </is>
      </c>
      <c r="I622" s="18" t="n">
        <v>47300</v>
      </c>
      <c r="J622" s="23" t="inlineStr">
        <is>
          <t>NOTFOUND</t>
        </is>
      </c>
      <c r="K622" s="20" t="n">
        <v>0</v>
      </c>
      <c r="L622" s="4" t="inlineStr">
        <is>
          <t>https://www.gucci.com/jp/ja/pr/women/small-leather-goods-for-women/card-coin-cases-for-women/bi-color-gg-card-case-with-panda-detail-p-818769FAEEO8575</t>
        </is>
      </c>
      <c r="M622" s="5">
        <f t="array" ref="M622">_xlfn.IFS(J622="NOTFOUND",I622,J622&gt;=I622,J622)</f>
        <v/>
      </c>
    </row>
    <row r="623" ht="18" customHeight="1" s="16">
      <c r="A623" s="5" t="n">
        <v>622</v>
      </c>
      <c r="B623" s="5" t="inlineStr">
        <is>
          <t>GU-2874</t>
        </is>
      </c>
      <c r="D623" s="5" t="inlineStr">
        <is>
          <t>オウル（ふくろう） ディテール付き GG ミニウォレット財布</t>
        </is>
      </c>
      <c r="E623" s="5" t="inlineStr">
        <is>
          <t>818767 FAEC3 8570</t>
        </is>
      </c>
      <c r="F623" s="5" t="inlineStr">
        <is>
          <t>ベージュ＆ダークブラウン ファブリック</t>
        </is>
      </c>
      <c r="G623" s="11" t="inlineStr">
        <is>
          <t>SOLD</t>
        </is>
      </c>
      <c r="H623" s="22" t="inlineStr">
        <is>
          <t>SOLD</t>
        </is>
      </c>
      <c r="I623" s="18" t="n">
        <v>84700</v>
      </c>
      <c r="J623" s="23" t="inlineStr">
        <is>
          <t>NOTFOUND</t>
        </is>
      </c>
      <c r="K623" s="20" t="n">
        <v>0</v>
      </c>
      <c r="L623" s="4" t="inlineStr">
        <is>
          <t>https://www.gucci.com/jp/ja/pr/women/small-leather-goods-for-women/folded-wallets-for-women/gg-mini-wallet-with-owl-detail-p-818767FAEC38570</t>
        </is>
      </c>
      <c r="M623" s="5">
        <f t="array" ref="M623">_xlfn.IFS(J623="NOTFOUND",I623,J623&gt;=I623,J623)</f>
        <v/>
      </c>
    </row>
    <row r="624" ht="18" customHeight="1" s="16">
      <c r="A624" s="5" t="n">
        <v>623</v>
      </c>
      <c r="B624" s="5" t="inlineStr">
        <is>
          <t>GU-2875</t>
        </is>
      </c>
      <c r="D624" s="5" t="inlineStr">
        <is>
          <t>GGマーモント パイソン スーパーミニバッグ</t>
        </is>
      </c>
      <c r="E624" s="5" t="inlineStr">
        <is>
          <t>476433 EAA8N 8106</t>
        </is>
      </c>
      <c r="F624" s="5" t="inlineStr">
        <is>
          <t>シルバー</t>
        </is>
      </c>
      <c r="G624" s="11" t="inlineStr">
        <is>
          <t>SOLD</t>
        </is>
      </c>
      <c r="H624" s="22" t="inlineStr">
        <is>
          <t>SOLD</t>
        </is>
      </c>
      <c r="I624" s="18" t="n">
        <v>319000</v>
      </c>
      <c r="J624" s="19" t="n">
        <v>319000</v>
      </c>
      <c r="K624" s="20" t="n">
        <v>0</v>
      </c>
      <c r="L624" s="4" t="inlineStr">
        <is>
          <t>https://www.gucci.com/jp/ja/pr/women/handbags/mini-bags-for-women/gg-marmont-python-super-mini-bag-p-476433EAA8N8106</t>
        </is>
      </c>
      <c r="M624" s="5">
        <f t="array" ref="M624">_xlfn.IFS(J624="NOTFOUND",I624,J624&gt;=I624,J624)</f>
        <v/>
      </c>
    </row>
    <row r="625" ht="18" customHeight="1" s="16">
      <c r="A625" s="5" t="n">
        <v>624</v>
      </c>
      <c r="B625" s="5" t="inlineStr">
        <is>
          <t>GU-2876</t>
        </is>
      </c>
      <c r="D625" s="5" t="inlineStr">
        <is>
          <t>ダブルG ウォレット財布</t>
        </is>
      </c>
      <c r="E625" s="5" t="inlineStr">
        <is>
          <t>781583 DTDHD 1523</t>
        </is>
      </c>
      <c r="F625" s="5" t="inlineStr">
        <is>
          <t>トープ レザー</t>
        </is>
      </c>
      <c r="G625" s="10" t="inlineStr">
        <is>
          <t>OneSize</t>
        </is>
      </c>
      <c r="H625" s="17" t="inlineStr">
        <is>
          <t>OneSize</t>
        </is>
      </c>
      <c r="I625" s="18" t="n">
        <v>105600</v>
      </c>
      <c r="J625" s="19" t="n">
        <v>105600</v>
      </c>
      <c r="K625" s="20" t="n">
        <v>5</v>
      </c>
      <c r="L625" s="4" t="inlineStr">
        <is>
          <t>https://www.gucci.com/jp/ja/pr/women/small-leather-goods-for-women/folded-wallets-for-women/gg-marmont-wallet-p-781583DTDHD1523</t>
        </is>
      </c>
      <c r="M625" s="5">
        <f t="array" ref="M625">_xlfn.IFS(J625="NOTFOUND",I625,J625&gt;=I625,J625)</f>
        <v/>
      </c>
    </row>
    <row r="626" ht="18" customHeight="1" s="16">
      <c r="A626" s="5" t="n">
        <v>625</v>
      </c>
      <c r="B626" s="5" t="inlineStr">
        <is>
          <t>GU-2877</t>
        </is>
      </c>
      <c r="D626" s="5" t="inlineStr">
        <is>
          <t>ダブルG ウォレット財布</t>
        </is>
      </c>
      <c r="E626" s="5" t="inlineStr">
        <is>
          <t>781583 DTDHT 1712</t>
        </is>
      </c>
      <c r="F626" s="5" t="inlineStr">
        <is>
          <t>ライトグレー レザー</t>
        </is>
      </c>
      <c r="G626" s="11" t="inlineStr">
        <is>
          <t>SOLD</t>
        </is>
      </c>
      <c r="H626" s="22" t="inlineStr">
        <is>
          <t>SOLD</t>
        </is>
      </c>
      <c r="I626" s="18" t="n">
        <v>105600</v>
      </c>
      <c r="J626" s="23" t="inlineStr">
        <is>
          <t>NOTFOUND</t>
        </is>
      </c>
      <c r="K626" s="20" t="n">
        <v>0</v>
      </c>
      <c r="L626" s="4" t="inlineStr">
        <is>
          <t>https://www.gucci.com/jp/ja/pr/women/small-leather-goods-for-women/folded-wallets-for-women/gg-marmont-wallet-p-781583DTDHT1712</t>
        </is>
      </c>
      <c r="M626" s="5">
        <f t="array" ref="M626">_xlfn.IFS(J626="NOTFOUND",I626,J626&gt;=I626,J626)</f>
        <v/>
      </c>
    </row>
    <row r="627" ht="18" customHeight="1" s="16">
      <c r="A627" s="5" t="n">
        <v>626</v>
      </c>
      <c r="B627" s="5" t="inlineStr">
        <is>
          <t>GU-2878</t>
        </is>
      </c>
      <c r="D627" s="5" t="inlineStr">
        <is>
          <t>ダブルG ウォレット財布</t>
        </is>
      </c>
      <c r="E627" s="5" t="inlineStr">
        <is>
          <t>781583 DTDHT 1000</t>
        </is>
      </c>
      <c r="F627" s="5" t="inlineStr">
        <is>
          <t>ブラック レザー</t>
        </is>
      </c>
      <c r="G627" s="10" t="inlineStr">
        <is>
          <t>OneSize</t>
        </is>
      </c>
      <c r="H627" s="17" t="inlineStr">
        <is>
          <t>OneSize</t>
        </is>
      </c>
      <c r="I627" s="18" t="n">
        <v>105600</v>
      </c>
      <c r="J627" s="19" t="n">
        <v>105600</v>
      </c>
      <c r="K627" s="20" t="n">
        <v>5</v>
      </c>
      <c r="L627" s="4" t="inlineStr">
        <is>
          <t>https://www.gucci.com/jp/ja/pr/women/small-leather-goods-for-women/folded-wallets-for-women/gg-marmont-wallet-p-781583DTDHT1000</t>
        </is>
      </c>
      <c r="M627" s="5">
        <f t="array" ref="M627">_xlfn.IFS(J627="NOTFOUND",I627,J627&gt;=I627,J627)</f>
        <v/>
      </c>
    </row>
    <row r="628" ht="18" customHeight="1" s="16">
      <c r="A628" s="5" t="n">
        <v>627</v>
      </c>
      <c r="B628" s="5" t="inlineStr">
        <is>
          <t>GU-2879</t>
        </is>
      </c>
      <c r="D628" s="5" t="inlineStr">
        <is>
          <t>ダブルG ウォレット財布</t>
        </is>
      </c>
      <c r="E628" s="5" t="inlineStr">
        <is>
          <t>773427 DTDHT 5729</t>
        </is>
      </c>
      <c r="F628" s="5" t="inlineStr">
        <is>
          <t>ダスティピンク</t>
        </is>
      </c>
      <c r="G628" s="11" t="inlineStr">
        <is>
          <t>SOLD</t>
        </is>
      </c>
      <c r="H628" s="22" t="inlineStr">
        <is>
          <t>SOLD</t>
        </is>
      </c>
      <c r="I628" s="18" t="n">
        <v>96800</v>
      </c>
      <c r="J628" s="23" t="inlineStr">
        <is>
          <t>NOTFOUND</t>
        </is>
      </c>
      <c r="K628" s="20" t="n">
        <v>0</v>
      </c>
      <c r="L628" s="4" t="inlineStr">
        <is>
          <t>https://www.gucci.com/jp/ja/pr/women/small-leather-goods-for-women/folded-wallets-for-women/gg-marmont-wallet-p-773427DTDHT5729</t>
        </is>
      </c>
      <c r="M628" s="5">
        <f t="array" ref="M628">_xlfn.IFS(J628="NOTFOUND",I628,J628&gt;=I628,J628)</f>
        <v/>
      </c>
    </row>
    <row r="629" ht="18" customHeight="1" s="16">
      <c r="A629" s="5" t="n">
        <v>628</v>
      </c>
      <c r="B629" s="5" t="inlineStr">
        <is>
          <t>GU-2880</t>
        </is>
      </c>
      <c r="D629" s="5" t="inlineStr">
        <is>
          <t>ダブルG ウォレット財布</t>
        </is>
      </c>
      <c r="E629" s="5" t="inlineStr">
        <is>
          <t>773427 DTDHT 1000</t>
        </is>
      </c>
      <c r="F629" s="5" t="inlineStr">
        <is>
          <t>ブラック</t>
        </is>
      </c>
      <c r="G629" s="11" t="inlineStr">
        <is>
          <t>SOLD</t>
        </is>
      </c>
      <c r="H629" s="22" t="inlineStr">
        <is>
          <t>SOLD</t>
        </is>
      </c>
      <c r="I629" s="18" t="n">
        <v>96800</v>
      </c>
      <c r="J629" s="23" t="inlineStr">
        <is>
          <t>NOTFOUND</t>
        </is>
      </c>
      <c r="K629" s="20" t="n">
        <v>0</v>
      </c>
      <c r="L629" s="4" t="inlineStr">
        <is>
          <t>https://www.gucci.com/jp/ja/pr/women/small-leather-goods-for-women/folded-wallets-for-women/gg-marmont-wallet-p-773427DTDHT1000</t>
        </is>
      </c>
      <c r="M629" s="5">
        <f t="array" ref="M629">_xlfn.IFS(J629="NOTFOUND",I629,J629&gt;=I629,J629)</f>
        <v/>
      </c>
    </row>
    <row r="630" ht="18" customHeight="1" s="16">
      <c r="A630" s="5" t="n">
        <v>629</v>
      </c>
      <c r="B630" s="5" t="inlineStr">
        <is>
          <t>GU-2881</t>
        </is>
      </c>
      <c r="D630" s="5" t="inlineStr">
        <is>
          <t>GGマーモント スーパーミニバッグ</t>
        </is>
      </c>
      <c r="E630" s="5" t="inlineStr">
        <is>
          <t>476433 DTDHV 6207</t>
        </is>
      </c>
      <c r="F630" s="5" t="inlineStr">
        <is>
          <t>ロッソ アンコーラ レッド レザー</t>
        </is>
      </c>
      <c r="G630" s="11" t="inlineStr">
        <is>
          <t>SOLD</t>
        </is>
      </c>
      <c r="H630" s="22" t="inlineStr">
        <is>
          <t>SOLD</t>
        </is>
      </c>
      <c r="I630" s="18" t="n">
        <v>192500</v>
      </c>
      <c r="J630" s="23" t="inlineStr">
        <is>
          <t>NOTFOUND</t>
        </is>
      </c>
      <c r="K630" s="20" t="n">
        <v>0</v>
      </c>
      <c r="L630" s="4" t="inlineStr">
        <is>
          <t>https://www.gucci.com/jp/ja/pr/women/handbags/mini-bags-for-women/gg-marmont-super-mini-bag-p-476433DTDHV6207</t>
        </is>
      </c>
      <c r="M630" s="5">
        <f t="array" ref="M630">_xlfn.IFS(J630="NOTFOUND",I630,J630&gt;=I630,J630)</f>
        <v/>
      </c>
    </row>
    <row r="631" ht="18" customHeight="1" s="16">
      <c r="A631" s="5" t="n">
        <v>630</v>
      </c>
      <c r="B631" s="5" t="inlineStr">
        <is>
          <t>GU-2882</t>
        </is>
      </c>
      <c r="D631" s="5" t="inlineStr">
        <is>
          <t>GGマーモント スーパーミニバッグ</t>
        </is>
      </c>
      <c r="E631" s="5" t="inlineStr">
        <is>
          <t>474575 DTD1T 1000</t>
        </is>
      </c>
      <c r="F631" s="5" t="inlineStr">
        <is>
          <t>ブラック レザー</t>
        </is>
      </c>
      <c r="G631" s="10" t="inlineStr">
        <is>
          <t>OneSize</t>
        </is>
      </c>
      <c r="H631" s="17" t="inlineStr">
        <is>
          <t>OneSize</t>
        </is>
      </c>
      <c r="I631" s="18" t="n">
        <v>258500</v>
      </c>
      <c r="J631" s="19" t="n">
        <v>258500</v>
      </c>
      <c r="K631" s="20" t="n">
        <v>5</v>
      </c>
      <c r="L631" s="4" t="inlineStr">
        <is>
          <t>https://www.gucci.com/jp/ja/pr/women/small-leather-goods-for-women/strap-chain-wallets/gg-marmont-super-mini-bag-p-474575DTD1T1000</t>
        </is>
      </c>
      <c r="M631" s="5">
        <f t="array" ref="M631">_xlfn.IFS(J631="NOTFOUND",I631,J631&gt;=I631,J631)</f>
        <v/>
      </c>
    </row>
    <row r="632" ht="18" customHeight="1" s="16">
      <c r="A632" s="5" t="n">
        <v>631</v>
      </c>
      <c r="B632" s="5" t="inlineStr">
        <is>
          <t>GU-2883</t>
        </is>
      </c>
      <c r="D632" s="5" t="inlineStr">
        <is>
          <t>ダブルG カードケース</t>
        </is>
      </c>
      <c r="E632" s="5" t="inlineStr">
        <is>
          <t>466492 DTD1T 5729</t>
        </is>
      </c>
      <c r="F632" s="5" t="inlineStr">
        <is>
          <t>ベージュ レザー</t>
        </is>
      </c>
      <c r="G632" s="10" t="inlineStr">
        <is>
          <t>OneSize</t>
        </is>
      </c>
      <c r="H632" s="17" t="inlineStr">
        <is>
          <t>OneSize</t>
        </is>
      </c>
      <c r="I632" s="18" t="n">
        <v>72600</v>
      </c>
      <c r="J632" s="19" t="n">
        <v>72600</v>
      </c>
      <c r="K632" s="20" t="n">
        <v>5</v>
      </c>
      <c r="L632" s="4" t="inlineStr">
        <is>
          <t>https://www.gucci.com/jp/ja/pr/women/small-leather-goods-for-women/folded-wallets-for-women/gg-marmont-card-case-wallet-p-466492DTD1T5729</t>
        </is>
      </c>
      <c r="M632" s="5">
        <f t="array" ref="M632">_xlfn.IFS(J632="NOTFOUND",I632,J632&gt;=I632,J632)</f>
        <v/>
      </c>
    </row>
    <row r="633" ht="18" customHeight="1" s="16">
      <c r="A633" s="5" t="n">
        <v>632</v>
      </c>
      <c r="B633" s="5" t="inlineStr">
        <is>
          <t>GU-2884</t>
        </is>
      </c>
      <c r="D633" s="5" t="inlineStr">
        <is>
          <t xml:space="preserve">ダブルG カードケース </t>
        </is>
      </c>
      <c r="E633" s="5" t="inlineStr">
        <is>
          <t>466492 DTDHD 1523</t>
        </is>
      </c>
      <c r="F633" s="5" t="inlineStr">
        <is>
          <t>トープ レザー</t>
        </is>
      </c>
      <c r="G633" s="10" t="inlineStr">
        <is>
          <t>OneSize</t>
        </is>
      </c>
      <c r="H633" s="17" t="inlineStr">
        <is>
          <t>OneSize</t>
        </is>
      </c>
      <c r="I633" s="18" t="n">
        <v>72600</v>
      </c>
      <c r="J633" s="19" t="n">
        <v>72600</v>
      </c>
      <c r="K633" s="20" t="n">
        <v>5</v>
      </c>
      <c r="L633" s="4" t="inlineStr">
        <is>
          <t>https://www.gucci.com/jp/ja/pr/women/small-leather-goods-for-women/folded-wallets-for-women/gg-marmont-card-case-wallet-p-466492DTDHD1523</t>
        </is>
      </c>
      <c r="M633" s="5">
        <f t="array" ref="M633">_xlfn.IFS(J633="NOTFOUND",I633,J633&gt;=I633,J633)</f>
        <v/>
      </c>
    </row>
    <row r="634" ht="18" customHeight="1" s="16">
      <c r="A634" s="5" t="n">
        <v>633</v>
      </c>
      <c r="B634" s="5" t="inlineStr">
        <is>
          <t>GU-2885</t>
        </is>
      </c>
      <c r="D634" s="5" t="inlineStr">
        <is>
          <t>ダブルG キーケース</t>
        </is>
      </c>
      <c r="E634" s="5" t="inlineStr">
        <is>
          <t>456118 CAO0G 1000</t>
        </is>
      </c>
      <c r="F634" s="5" t="inlineStr">
        <is>
          <t>ブラックレザー</t>
        </is>
      </c>
      <c r="G634" s="10" t="inlineStr">
        <is>
          <t>OneSize</t>
        </is>
      </c>
      <c r="H634" s="17" t="inlineStr">
        <is>
          <t>OneSize</t>
        </is>
      </c>
      <c r="I634" s="18" t="n">
        <v>38500</v>
      </c>
      <c r="J634" s="19" t="n">
        <v>38500</v>
      </c>
      <c r="K634" s="20" t="n">
        <v>5</v>
      </c>
      <c r="L634" s="4" t="inlineStr">
        <is>
          <t>https://www.gucci.com/jp/ja/pr/women/small-leather-goods-for-women/key-cases-charms-for-women/gg-marmont-key-case-p-456118CAO0G1000</t>
        </is>
      </c>
      <c r="M634" s="5">
        <f t="array" ref="M634">_xlfn.IFS(J634="NOTFOUND",I634,J634&gt;=I634,J634)</f>
        <v/>
      </c>
    </row>
    <row r="635" ht="18" customHeight="1" s="16">
      <c r="A635" s="5" t="n">
        <v>634</v>
      </c>
      <c r="B635" s="5" t="inlineStr">
        <is>
          <t>GU-2886</t>
        </is>
      </c>
      <c r="D635" s="5" t="inlineStr">
        <is>
          <t>ダブルG コンチネンタルウォレット財布</t>
        </is>
      </c>
      <c r="E635" s="5" t="inlineStr">
        <is>
          <t>443436 DTD1T 1000</t>
        </is>
      </c>
      <c r="F635" s="5" t="inlineStr">
        <is>
          <t xml:space="preserve">  -</t>
        </is>
      </c>
      <c r="G635" s="11" t="inlineStr">
        <is>
          <t>SOLD</t>
        </is>
      </c>
      <c r="H635" s="22" t="inlineStr">
        <is>
          <t>SOLD</t>
        </is>
      </c>
      <c r="I635" s="18" t="n">
        <v>119900</v>
      </c>
      <c r="J635" s="23" t="inlineStr">
        <is>
          <t>NOTFOUND</t>
        </is>
      </c>
      <c r="K635" s="20" t="n">
        <v>0</v>
      </c>
      <c r="L635" s="4" t="inlineStr">
        <is>
          <t>https://www.gucci.com/jp/ja/pr/women/small-leather-goods-for-women/continental-wallets-for-women/gg-marmont-continental-wallet-p-443436DTD1T1000</t>
        </is>
      </c>
      <c r="M635" s="5">
        <f t="array" ref="M635">_xlfn.IFS(J635="NOTFOUND",I635,J635&gt;=I635,J635)</f>
        <v/>
      </c>
    </row>
    <row r="636" ht="18" customHeight="1" s="16">
      <c r="A636" s="5" t="n">
        <v>635</v>
      </c>
      <c r="B636" s="5" t="inlineStr">
        <is>
          <t>GU-2887</t>
        </is>
      </c>
      <c r="D636" s="5" t="inlineStr">
        <is>
          <t>ダブルG カードケース 名刺入れ</t>
        </is>
      </c>
      <c r="E636" s="5" t="inlineStr">
        <is>
          <t>443127 DTD1T 1000</t>
        </is>
      </c>
      <c r="F636" s="5" t="inlineStr">
        <is>
          <t xml:space="preserve">  -</t>
        </is>
      </c>
      <c r="G636" s="11" t="inlineStr">
        <is>
          <t>SOLD</t>
        </is>
      </c>
      <c r="H636" s="22" t="inlineStr">
        <is>
          <t>SOLD</t>
        </is>
      </c>
      <c r="I636" s="18" t="n">
        <v>44000</v>
      </c>
      <c r="J636" s="23" t="inlineStr">
        <is>
          <t>NOTFOUND</t>
        </is>
      </c>
      <c r="K636" s="20" t="n">
        <v>0</v>
      </c>
      <c r="L636" s="4" t="inlineStr">
        <is>
          <t>https://www.gucci.com/jp/ja/pr/women/small-leather-goods-for-women/card-coin-cases-for-women/gg-marmont-card-case-p-443127DTD1T1000</t>
        </is>
      </c>
      <c r="M636" s="5">
        <f t="array" ref="M636">_xlfn.IFS(J636="NOTFOUND",I636,J636&gt;=I636,J636)</f>
        <v/>
      </c>
    </row>
    <row r="637" ht="18" customHeight="1" s="16">
      <c r="A637" s="5" t="n">
        <v>636</v>
      </c>
      <c r="B637" s="5" t="inlineStr">
        <is>
          <t>GU-2888</t>
        </is>
      </c>
      <c r="D637" s="5" t="inlineStr">
        <is>
          <t>ダブルG ジップアラウンドウォレット財布</t>
        </is>
      </c>
      <c r="E637" s="5" t="inlineStr">
        <is>
          <t>443123 DTD1T 1000</t>
        </is>
      </c>
      <c r="F637" s="5" t="inlineStr">
        <is>
          <t>ブラック レザー</t>
        </is>
      </c>
      <c r="G637" s="11" t="inlineStr">
        <is>
          <t>SOLD</t>
        </is>
      </c>
      <c r="H637" s="22" t="inlineStr">
        <is>
          <t>SOLD</t>
        </is>
      </c>
      <c r="I637" s="18" t="n">
        <v>110000</v>
      </c>
      <c r="J637" s="23" t="inlineStr">
        <is>
          <t>NOTFOUND</t>
        </is>
      </c>
      <c r="K637" s="20" t="n">
        <v>0</v>
      </c>
      <c r="L637" s="4" t="inlineStr">
        <is>
          <t>https://www.gucci.com/jp/ja/pr/women/small-leather-goods-for-women/zip-around-wallets-for-women/gg-marmont-zip-around-wallet-p-443123DTD1T1000</t>
        </is>
      </c>
      <c r="M637" s="5">
        <f t="array" ref="M637">_xlfn.IFS(J637="NOTFOUND",I637,J637&gt;=I637,J637)</f>
        <v/>
      </c>
    </row>
    <row r="638" ht="18" customHeight="1" s="16">
      <c r="A638" s="5" t="n">
        <v>637</v>
      </c>
      <c r="B638" s="5" t="inlineStr">
        <is>
          <t>GU-2889</t>
        </is>
      </c>
      <c r="D638" s="5" t="inlineStr">
        <is>
          <t>GGエンブレム ジップ カードケース</t>
        </is>
      </c>
      <c r="E638" s="5" t="inlineStr">
        <is>
          <t>815936 AAEEM 1000</t>
        </is>
      </c>
      <c r="F638" s="5" t="inlineStr">
        <is>
          <t xml:space="preserve">  -</t>
        </is>
      </c>
      <c r="G638" s="10" t="inlineStr">
        <is>
          <t>OneSize</t>
        </is>
      </c>
      <c r="H638" s="17" t="inlineStr">
        <is>
          <t>OneSize</t>
        </is>
      </c>
      <c r="I638" s="18" t="n">
        <v>95700</v>
      </c>
      <c r="J638" s="19" t="n">
        <v>95700</v>
      </c>
      <c r="K638" s="20" t="n">
        <v>5</v>
      </c>
      <c r="L638" s="4" t="inlineStr">
        <is>
          <t>https://www.gucci.com/jp/ja/pr/women/small-leather-goods-for-women/card-coin-cases-for-women/gg-emblem-zip-card-case-p-815936AAEEM1000</t>
        </is>
      </c>
      <c r="M638" s="5">
        <f t="array" ref="M638">_xlfn.IFS(J638="NOTFOUND",I638,J638&gt;=I638,J638)</f>
        <v/>
      </c>
    </row>
    <row r="639" ht="18" customHeight="1" s="16">
      <c r="A639" s="5" t="n">
        <v>638</v>
      </c>
      <c r="B639" s="5" t="inlineStr">
        <is>
          <t>GU-2890</t>
        </is>
      </c>
      <c r="D639" s="5" t="inlineStr">
        <is>
          <t>GGエンブレム ミニ ウォレット財布</t>
        </is>
      </c>
      <c r="E639" s="5" t="inlineStr">
        <is>
          <t>815901 AAEEM 3411</t>
        </is>
      </c>
      <c r="F639" s="5" t="inlineStr">
        <is>
          <t xml:space="preserve">  -</t>
        </is>
      </c>
      <c r="G639" s="11" t="inlineStr">
        <is>
          <t>SOLD</t>
        </is>
      </c>
      <c r="H639" s="22" t="inlineStr">
        <is>
          <t>SOLD</t>
        </is>
      </c>
      <c r="I639" s="18" t="n">
        <v>85800</v>
      </c>
      <c r="J639" s="23" t="inlineStr">
        <is>
          <t>NOTFOUND</t>
        </is>
      </c>
      <c r="K639" s="20" t="n">
        <v>0</v>
      </c>
      <c r="L639" s="4" t="inlineStr">
        <is>
          <t>https://www.gucci.com/jp/ja/pr/women/small-leather-goods-for-women/folded-wallets-for-women/gg-emblem-mini-wallet-p-815901AAEEM3411</t>
        </is>
      </c>
      <c r="M639" s="5">
        <f t="array" ref="M639">_xlfn.IFS(J639="NOTFOUND",I639,J639&gt;=I639,J639)</f>
        <v/>
      </c>
    </row>
    <row r="640" ht="18" customHeight="1" s="16">
      <c r="A640" s="5" t="n">
        <v>639</v>
      </c>
      <c r="B640" s="5" t="inlineStr">
        <is>
          <t>GU-2891</t>
        </is>
      </c>
      <c r="D640" s="5" t="inlineStr">
        <is>
          <t>GGエンブレム ジップ キーケース</t>
        </is>
      </c>
      <c r="E640" s="5" t="inlineStr">
        <is>
          <t>815891 AAEEM 1000</t>
        </is>
      </c>
      <c r="F640" s="5" t="inlineStr">
        <is>
          <t>ブラック レザー</t>
        </is>
      </c>
      <c r="G640" s="10" t="inlineStr">
        <is>
          <t>OneSize</t>
        </is>
      </c>
      <c r="H640" s="17" t="inlineStr">
        <is>
          <t>OneSize</t>
        </is>
      </c>
      <c r="I640" s="18" t="n">
        <v>61600</v>
      </c>
      <c r="J640" s="19" t="n">
        <v>61600</v>
      </c>
      <c r="K640" s="20" t="n">
        <v>5</v>
      </c>
      <c r="L640" s="4" t="inlineStr">
        <is>
          <t>https://www.gucci.com/jp/ja/pr/women/small-leather-goods-for-women/key-cases-charms-for-women/gg-emblem-zip-key-case-p-815891AAEEM1000</t>
        </is>
      </c>
      <c r="M640" s="5">
        <f t="array" ref="M640">_xlfn.IFS(J640="NOTFOUND",I640,J640&gt;=I640,J640)</f>
        <v/>
      </c>
    </row>
    <row r="641" ht="18" customHeight="1" s="16">
      <c r="A641" s="5" t="n">
        <v>640</v>
      </c>
      <c r="B641" s="5" t="inlineStr">
        <is>
          <t>GU-2892</t>
        </is>
      </c>
      <c r="D641" s="5" t="inlineStr">
        <is>
          <t>GGエンブレム ジップ キーケース</t>
        </is>
      </c>
      <c r="E641" s="5" t="inlineStr">
        <is>
          <t>815891 AAEEM 1523</t>
        </is>
      </c>
      <c r="F641" s="5" t="inlineStr">
        <is>
          <t>トープ レザー</t>
        </is>
      </c>
      <c r="G641" s="10" t="inlineStr">
        <is>
          <t>OneSize</t>
        </is>
      </c>
      <c r="H641" s="17" t="inlineStr">
        <is>
          <t>OneSize</t>
        </is>
      </c>
      <c r="I641" s="18" t="n">
        <v>61600</v>
      </c>
      <c r="J641" s="19" t="n">
        <v>61600</v>
      </c>
      <c r="K641" s="20" t="n">
        <v>5</v>
      </c>
      <c r="L641" s="4" t="inlineStr">
        <is>
          <t>https://www.gucci.com/jp/ja/pr/women/small-leather-goods-for-women/key-cases-charms-for-women/gg-emblem-zip-key-case-p-815891AAEEM1523</t>
        </is>
      </c>
      <c r="M641" s="5">
        <f t="array" ref="M641">_xlfn.IFS(J641="NOTFOUND",I641,J641&gt;=I641,J641)</f>
        <v/>
      </c>
    </row>
    <row r="642" ht="18" customHeight="1" s="16">
      <c r="A642" s="5" t="n">
        <v>641</v>
      </c>
      <c r="B642" s="5" t="inlineStr">
        <is>
          <t>GU-2893</t>
        </is>
      </c>
      <c r="D642" s="5" t="inlineStr">
        <is>
          <t>GGエンブレム カードケース</t>
        </is>
      </c>
      <c r="E642" s="5" t="inlineStr">
        <is>
          <t>815883 AAEEM 1000</t>
        </is>
      </c>
      <c r="F642" s="5" t="inlineStr">
        <is>
          <t>ブラック レザー</t>
        </is>
      </c>
      <c r="G642" s="10" t="inlineStr">
        <is>
          <t>OneSize</t>
        </is>
      </c>
      <c r="H642" s="17" t="inlineStr">
        <is>
          <t>OneSize</t>
        </is>
      </c>
      <c r="I642" s="18" t="n">
        <v>61600</v>
      </c>
      <c r="J642" s="19" t="n">
        <v>61600</v>
      </c>
      <c r="K642" s="20" t="n">
        <v>5</v>
      </c>
      <c r="L642" s="4" t="inlineStr">
        <is>
          <t>https://www.gucci.com/jp/ja/pr/women/small-leather-goods-for-women/card-coin-cases-for-women/gg-emblem-card-case-p-815883AAEEM1000</t>
        </is>
      </c>
      <c r="M642" s="5">
        <f t="array" ref="M642">_xlfn.IFS(J642="NOTFOUND",I642,J642&gt;=I642,J642)</f>
        <v/>
      </c>
    </row>
    <row r="643" ht="18" customHeight="1" s="16">
      <c r="A643" s="5" t="n">
        <v>642</v>
      </c>
      <c r="B643" s="5" t="inlineStr">
        <is>
          <t>GU-2894</t>
        </is>
      </c>
      <c r="D643" s="5" t="inlineStr">
        <is>
          <t>GGエンブレム ミディアム ウォレット財布</t>
        </is>
      </c>
      <c r="E643" s="5" t="inlineStr">
        <is>
          <t>815874 AAEEM 1523</t>
        </is>
      </c>
      <c r="F643" s="5" t="inlineStr">
        <is>
          <t>トープ レザー</t>
        </is>
      </c>
      <c r="G643" s="11" t="inlineStr">
        <is>
          <t>SOLD</t>
        </is>
      </c>
      <c r="H643" s="22" t="inlineStr">
        <is>
          <t>SOLD</t>
        </is>
      </c>
      <c r="I643" s="18" t="n">
        <v>99000</v>
      </c>
      <c r="J643" s="19" t="n">
        <v>99000</v>
      </c>
      <c r="K643" s="20" t="n">
        <v>0</v>
      </c>
      <c r="L643" s="4" t="inlineStr">
        <is>
          <t>https://www.gucci.com/jp/ja/pr/women/small-leather-goods-for-women/folded-wallets-for-women/gg-emblem-medium-wallet-p-815874AAEEM1523</t>
        </is>
      </c>
      <c r="M643" s="5">
        <f t="array" ref="M643">_xlfn.IFS(J643="NOTFOUND",I643,J643&gt;=I643,J643)</f>
        <v/>
      </c>
    </row>
    <row r="644" ht="18" customHeight="1" s="16">
      <c r="A644" s="5" t="n">
        <v>643</v>
      </c>
      <c r="B644" s="5" t="inlineStr">
        <is>
          <t>GU-2895</t>
        </is>
      </c>
      <c r="D644" s="5" t="inlineStr">
        <is>
          <t>GG ジップアラウンドウォレット財布</t>
        </is>
      </c>
      <c r="E644" s="5" t="inlineStr">
        <is>
          <t>795176 AADLO 1000</t>
        </is>
      </c>
      <c r="F644" s="5" t="inlineStr">
        <is>
          <t xml:space="preserve">  -</t>
        </is>
      </c>
      <c r="G644" s="11" t="inlineStr">
        <is>
          <t>SOLD</t>
        </is>
      </c>
      <c r="H644" s="22" t="inlineStr">
        <is>
          <t>SOLD</t>
        </is>
      </c>
      <c r="I644" s="18" t="n">
        <v>104500</v>
      </c>
      <c r="J644" s="23" t="inlineStr">
        <is>
          <t>NOTFOUND</t>
        </is>
      </c>
      <c r="K644" s="20" t="n">
        <v>0</v>
      </c>
      <c r="L644" s="4" t="inlineStr">
        <is>
          <t>https://www.gucci.com/jp/ja/pr/women/small-leather-goods-for-women/zip-around-wallets-for-women/gg-zip-around-wallet-p-795176AADLO1000</t>
        </is>
      </c>
      <c r="M644" s="5">
        <f t="array" ref="M644">_xlfn.IFS(J644="NOTFOUND",I644,J644&gt;=I644,J644)</f>
        <v/>
      </c>
    </row>
    <row r="645" ht="18" customHeight="1" s="16">
      <c r="A645" s="5" t="n">
        <v>644</v>
      </c>
      <c r="B645" s="5" t="inlineStr">
        <is>
          <t>GU-2896</t>
        </is>
      </c>
      <c r="D645" s="5" t="inlineStr">
        <is>
          <t>GG ミディアム ウォレット財布</t>
        </is>
      </c>
      <c r="E645" s="5" t="inlineStr">
        <is>
          <t>790131 AADLO 1000</t>
        </is>
      </c>
      <c r="F645" s="5" t="inlineStr">
        <is>
          <t xml:space="preserve">  -</t>
        </is>
      </c>
      <c r="G645" s="11" t="inlineStr">
        <is>
          <t>SOLD</t>
        </is>
      </c>
      <c r="H645" s="22" t="inlineStr">
        <is>
          <t>SOLD</t>
        </is>
      </c>
      <c r="I645" s="18" t="n">
        <v>91300</v>
      </c>
      <c r="J645" s="23" t="inlineStr">
        <is>
          <t>NOTFOUND</t>
        </is>
      </c>
      <c r="K645" s="20" t="n">
        <v>0</v>
      </c>
      <c r="L645" s="4" t="inlineStr">
        <is>
          <t>https://www.gucci.com/jp/ja/pr/women/small-leather-goods-for-women/card-coin-cases-for-women/gg-medium-wallet-p-790131AADLO1000</t>
        </is>
      </c>
      <c r="M645" s="5">
        <f t="array" ref="M645">_xlfn.IFS(J645="NOTFOUND",I645,J645&gt;=I645,J645)</f>
        <v/>
      </c>
    </row>
    <row r="646" ht="18" customHeight="1" s="16">
      <c r="A646" s="5" t="n">
        <v>645</v>
      </c>
      <c r="B646" s="5" t="inlineStr">
        <is>
          <t>GU-2897</t>
        </is>
      </c>
      <c r="D646" s="5" t="inlineStr">
        <is>
          <t>GG スーパーミニ ショルダーバッグ</t>
        </is>
      </c>
      <c r="E646" s="5" t="inlineStr">
        <is>
          <t>772794 AADLO 1000</t>
        </is>
      </c>
      <c r="F646" s="5" t="inlineStr">
        <is>
          <t>ブラック GGレザー</t>
        </is>
      </c>
      <c r="G646" s="11" t="inlineStr">
        <is>
          <t>SOLD</t>
        </is>
      </c>
      <c r="H646" s="22" t="inlineStr">
        <is>
          <t>SOLD</t>
        </is>
      </c>
      <c r="I646" s="18" t="n">
        <v>176000</v>
      </c>
      <c r="J646" s="23" t="inlineStr">
        <is>
          <t>NOTFOUND</t>
        </is>
      </c>
      <c r="K646" s="20" t="n">
        <v>0</v>
      </c>
      <c r="L646" s="4" t="inlineStr">
        <is>
          <t>https://www.gucci.com/jp/ja/pr/women/handbags/shoulder-bags-for-women/gg-super-mini-shoulder-bag-p-772794AADLO1000</t>
        </is>
      </c>
      <c r="M646" s="5">
        <f t="array" ref="M646">_xlfn.IFS(J646="NOTFOUND",I646,J646&gt;=I646,J646)</f>
        <v/>
      </c>
    </row>
    <row r="647" ht="18" customHeight="1" s="16">
      <c r="A647" s="5" t="n">
        <v>646</v>
      </c>
      <c r="B647" s="5" t="inlineStr">
        <is>
          <t>GU-2898</t>
        </is>
      </c>
      <c r="D647" s="5" t="inlineStr">
        <is>
          <t>GG ミディアム ウォレット財布</t>
        </is>
      </c>
      <c r="E647" s="5" t="inlineStr">
        <is>
          <t>772793 AAC1Q 5820</t>
        </is>
      </c>
      <c r="F647" s="5" t="inlineStr">
        <is>
          <t>ローズベージュ レザー</t>
        </is>
      </c>
      <c r="G647" s="11" t="inlineStr">
        <is>
          <t>SOLD</t>
        </is>
      </c>
      <c r="H647" s="22" t="inlineStr">
        <is>
          <t>SOLD</t>
        </is>
      </c>
      <c r="I647" s="18" t="n">
        <v>89100</v>
      </c>
      <c r="J647" s="23" t="inlineStr">
        <is>
          <t>NOTFOUND</t>
        </is>
      </c>
      <c r="K647" s="20" t="n">
        <v>0</v>
      </c>
      <c r="L647" s="4" t="inlineStr">
        <is>
          <t>https://www.gucci.com/jp/ja/pr/women/small-leather-goods-for-women/folded-wallets-for-women/gg-medium-wallet-p-772793AAC1Q5820</t>
        </is>
      </c>
      <c r="M647" s="5">
        <f t="array" ref="M647">_xlfn.IFS(J647="NOTFOUND",I647,J647&gt;=I647,J647)</f>
        <v/>
      </c>
    </row>
    <row r="648" ht="18" customHeight="1" s="16">
      <c r="A648" s="5" t="n">
        <v>647</v>
      </c>
      <c r="B648" s="5" t="inlineStr">
        <is>
          <t>GU-2899</t>
        </is>
      </c>
      <c r="D648" s="5" t="inlineStr">
        <is>
          <t>GG ミディアム ウォレット財布</t>
        </is>
      </c>
      <c r="E648" s="5" t="inlineStr">
        <is>
          <t>772793 AAC1Q 5701</t>
        </is>
      </c>
      <c r="F648" s="5" t="inlineStr">
        <is>
          <t>ライトベージュ レザー</t>
        </is>
      </c>
      <c r="G648" s="11" t="inlineStr">
        <is>
          <t>SOLD</t>
        </is>
      </c>
      <c r="H648" s="22" t="inlineStr">
        <is>
          <t>SOLD</t>
        </is>
      </c>
      <c r="I648" s="18" t="n">
        <v>89100</v>
      </c>
      <c r="J648" s="23" t="inlineStr">
        <is>
          <t>NOTFOUND</t>
        </is>
      </c>
      <c r="K648" s="20" t="n">
        <v>0</v>
      </c>
      <c r="L648" s="4" t="inlineStr">
        <is>
          <t>https://www.gucci.com/jp/ja/pr/women/small-leather-goods-for-women/folded-wallets-for-women/gg-medium-wallet-p-772793AAC1Q5701</t>
        </is>
      </c>
      <c r="M648" s="5">
        <f t="array" ref="M648">_xlfn.IFS(J648="NOTFOUND",I648,J648&gt;=I648,J648)</f>
        <v/>
      </c>
    </row>
    <row r="649" ht="18" customHeight="1" s="16">
      <c r="A649" s="5" t="n">
        <v>648</v>
      </c>
      <c r="B649" s="5" t="inlineStr">
        <is>
          <t>GU-2900</t>
        </is>
      </c>
      <c r="D649" s="5" t="inlineStr">
        <is>
          <t>GG カードケース 名刺入れ</t>
        </is>
      </c>
      <c r="E649" s="5" t="inlineStr">
        <is>
          <t>772792 AAC1Q 5820</t>
        </is>
      </c>
      <c r="F649" s="5" t="inlineStr">
        <is>
          <t>ローズベージュ レザー</t>
        </is>
      </c>
      <c r="G649" s="11" t="inlineStr">
        <is>
          <t>SOLD</t>
        </is>
      </c>
      <c r="H649" s="22" t="inlineStr">
        <is>
          <t>SOLD</t>
        </is>
      </c>
      <c r="I649" s="18" t="n">
        <v>52800</v>
      </c>
      <c r="J649" s="23" t="inlineStr">
        <is>
          <t>NOTFOUND</t>
        </is>
      </c>
      <c r="K649" s="20" t="n">
        <v>0</v>
      </c>
      <c r="L649" s="4" t="inlineStr">
        <is>
          <t>https://www.gucci.com/jp/ja/pr/women/small-leather-goods-for-women/card-coin-cases-for-women/gg-card-case-p-772792AAC1Q5820</t>
        </is>
      </c>
      <c r="M649" s="5">
        <f t="array" ref="M649">_xlfn.IFS(J649="NOTFOUND",I649,J649&gt;=I649,J649)</f>
        <v/>
      </c>
    </row>
    <row r="650" ht="18" customHeight="1" s="16">
      <c r="A650" s="5" t="n">
        <v>649</v>
      </c>
      <c r="B650" s="5" t="inlineStr">
        <is>
          <t>GU-2901</t>
        </is>
      </c>
      <c r="D650" s="5" t="inlineStr">
        <is>
          <t>GG カードケース 名刺入れ</t>
        </is>
      </c>
      <c r="E650" s="5" t="inlineStr">
        <is>
          <t>772792 AADLO 1000</t>
        </is>
      </c>
      <c r="F650" s="5" t="inlineStr">
        <is>
          <t>ブラック GGレザー</t>
        </is>
      </c>
      <c r="G650" s="11" t="inlineStr">
        <is>
          <t>SOLD</t>
        </is>
      </c>
      <c r="H650" s="22" t="inlineStr">
        <is>
          <t>SOLD</t>
        </is>
      </c>
      <c r="I650" s="18" t="n">
        <v>52800</v>
      </c>
      <c r="J650" s="23" t="inlineStr">
        <is>
          <t>NOTFOUND</t>
        </is>
      </c>
      <c r="K650" s="20" t="n">
        <v>0</v>
      </c>
      <c r="L650" s="4" t="inlineStr">
        <is>
          <t>https://www.gucci.com/jp/ja/pr/women/small-leather-goods-for-women/card-coin-cases-for-women/gg-card-case-p-772792AADLO1000</t>
        </is>
      </c>
      <c r="M650" s="5">
        <f t="array" ref="M650">_xlfn.IFS(J650="NOTFOUND",I650,J650&gt;=I650,J650)</f>
        <v/>
      </c>
    </row>
    <row r="651" ht="18" customHeight="1" s="16">
      <c r="A651" s="5" t="n">
        <v>650</v>
      </c>
      <c r="B651" s="5" t="inlineStr">
        <is>
          <t>GU-2902</t>
        </is>
      </c>
      <c r="D651" s="5" t="inlineStr">
        <is>
          <t>GG コンチネンタルウォレット財布</t>
        </is>
      </c>
      <c r="E651" s="5" t="inlineStr">
        <is>
          <t>772791 AAC1Q 5820</t>
        </is>
      </c>
      <c r="F651" s="5" t="inlineStr">
        <is>
          <t>ローズベージュ レザー</t>
        </is>
      </c>
      <c r="G651" s="11" t="inlineStr">
        <is>
          <t>SOLD</t>
        </is>
      </c>
      <c r="H651" s="22" t="inlineStr">
        <is>
          <t>SOLD</t>
        </is>
      </c>
      <c r="I651" s="18" t="n">
        <v>104500</v>
      </c>
      <c r="J651" s="23" t="inlineStr">
        <is>
          <t>NOTFOUND</t>
        </is>
      </c>
      <c r="K651" s="20" t="n">
        <v>0</v>
      </c>
      <c r="L651" s="4" t="inlineStr">
        <is>
          <t>https://www.gucci.com/jp/ja/pr/women/small-leather-goods-for-women/continental-wallets-for-women/gg-continental-wallet-p-772791AAC1Q5820</t>
        </is>
      </c>
      <c r="M651" s="5">
        <f t="array" ref="M651">_xlfn.IFS(J651="NOTFOUND",I651,J651&gt;=I651,J651)</f>
        <v/>
      </c>
    </row>
    <row r="652" ht="18" customHeight="1" s="16">
      <c r="A652" s="5" t="n">
        <v>651</v>
      </c>
      <c r="B652" s="5" t="inlineStr">
        <is>
          <t>GU-2903</t>
        </is>
      </c>
      <c r="D652" s="5" t="inlineStr">
        <is>
          <t>GG コンチネンタルウォレット財布</t>
        </is>
      </c>
      <c r="E652" s="5" t="inlineStr">
        <is>
          <t>772791 AADLO 1000</t>
        </is>
      </c>
      <c r="F652" s="5" t="inlineStr">
        <is>
          <t>ブラック GGレザー</t>
        </is>
      </c>
      <c r="G652" s="11" t="inlineStr">
        <is>
          <t>SOLD</t>
        </is>
      </c>
      <c r="H652" s="22" t="inlineStr">
        <is>
          <t>SOLD</t>
        </is>
      </c>
      <c r="I652" s="18" t="n">
        <v>104500</v>
      </c>
      <c r="J652" s="23" t="inlineStr">
        <is>
          <t>NOTFOUND</t>
        </is>
      </c>
      <c r="K652" s="20" t="n">
        <v>0</v>
      </c>
      <c r="L652" s="4" t="inlineStr">
        <is>
          <t>https://www.gucci.com/jp/ja/pr/women/small-leather-goods-for-women/continental-wallets-for-women/gg-continental-wallet-p-772791AADLO1000</t>
        </is>
      </c>
      <c r="M652" s="5">
        <f t="array" ref="M652">_xlfn.IFS(J652="NOTFOUND",I652,J652&gt;=I652,J652)</f>
        <v/>
      </c>
    </row>
    <row r="653" ht="18" customHeight="1" s="16">
      <c r="A653" s="5" t="n">
        <v>652</v>
      </c>
      <c r="B653" s="5" t="inlineStr">
        <is>
          <t>GU-2904</t>
        </is>
      </c>
      <c r="D653" s="5" t="inlineStr">
        <is>
          <t>ダブルG カードケース 名刺入れ</t>
        </is>
      </c>
      <c r="E653" s="5" t="inlineStr">
        <is>
          <t>790067 AADQG 5944</t>
        </is>
      </c>
      <c r="F653" s="5" t="inlineStr">
        <is>
          <t>ピンク レザー、エボニー GGスプリーム キャンバス</t>
        </is>
      </c>
      <c r="G653" s="11" t="inlineStr">
        <is>
          <t>SOLD</t>
        </is>
      </c>
      <c r="H653" s="22" t="inlineStr">
        <is>
          <t>SOLD</t>
        </is>
      </c>
      <c r="I653" s="18" t="n">
        <v>56100</v>
      </c>
      <c r="J653" s="23" t="inlineStr">
        <is>
          <t>NOTFOUND</t>
        </is>
      </c>
      <c r="K653" s="20" t="n">
        <v>0</v>
      </c>
      <c r="L653" s="4" t="inlineStr">
        <is>
          <t>https://www.gucci.com/jp/ja/pr/women/small-leather-goods-for-women/card-coin-cases-for-women/gg-marmont-card-case-p-790067AADQG5944</t>
        </is>
      </c>
      <c r="M653" s="5">
        <f t="array" ref="M653">_xlfn.IFS(J653="NOTFOUND",I653,J653&gt;=I653,J653)</f>
        <v/>
      </c>
    </row>
    <row r="654" ht="18" customHeight="1" s="16">
      <c r="A654" s="5" t="n">
        <v>653</v>
      </c>
      <c r="B654" s="5" t="inlineStr">
        <is>
          <t>GU-2905</t>
        </is>
      </c>
      <c r="D654" s="5" t="inlineStr">
        <is>
          <t>ダブルG カードケース 名刺入れ</t>
        </is>
      </c>
      <c r="E654" s="5" t="inlineStr">
        <is>
          <t>790067 AADQG 4947</t>
        </is>
      </c>
      <c r="F654" s="5" t="inlineStr">
        <is>
          <t>ライラック レザー、エボニー GGスプリーム キャンバス</t>
        </is>
      </c>
      <c r="G654" s="11" t="inlineStr">
        <is>
          <t>SOLD</t>
        </is>
      </c>
      <c r="H654" s="22" t="inlineStr">
        <is>
          <t>SOLD</t>
        </is>
      </c>
      <c r="I654" s="18" t="n">
        <v>56100</v>
      </c>
      <c r="J654" s="23" t="inlineStr">
        <is>
          <t>NOTFOUND</t>
        </is>
      </c>
      <c r="K654" s="20" t="n">
        <v>0</v>
      </c>
      <c r="L654" s="4" t="inlineStr">
        <is>
          <t>https://www.gucci.com/jp/ja/pr/women/small-leather-goods-for-women/card-coin-cases-for-women/gg-marmont-card-case-p-790067AADQG4947</t>
        </is>
      </c>
      <c r="M654" s="5">
        <f t="array" ref="M654">_xlfn.IFS(J654="NOTFOUND",I654,J654&gt;=I654,J654)</f>
        <v/>
      </c>
    </row>
    <row r="655" ht="18" customHeight="1" s="16">
      <c r="A655" s="5" t="n">
        <v>654</v>
      </c>
      <c r="B655" s="5" t="inlineStr">
        <is>
          <t>GU-2906</t>
        </is>
      </c>
      <c r="D655" s="5" t="inlineStr">
        <is>
          <t>ダブルG ウォレット財布 ライトブルー インテリア</t>
        </is>
      </c>
      <c r="E655" s="5" t="inlineStr">
        <is>
          <t>790063 AADQF 5943</t>
        </is>
      </c>
      <c r="F655" s="5" t="inlineStr">
        <is>
          <t>パステルピンク レザー</t>
        </is>
      </c>
      <c r="G655" s="11" t="inlineStr">
        <is>
          <t>SOLD</t>
        </is>
      </c>
      <c r="H655" s="22" t="inlineStr">
        <is>
          <t>SOLD</t>
        </is>
      </c>
      <c r="I655" s="18" t="n">
        <v>99000</v>
      </c>
      <c r="J655" s="23" t="inlineStr">
        <is>
          <t>NOTFOUND</t>
        </is>
      </c>
      <c r="K655" s="20" t="n">
        <v>0</v>
      </c>
      <c r="L655" s="4" t="inlineStr">
        <is>
          <t>https://www.gucci.com/jp/ja/pr/women/small-leather-goods-for-women/folded-wallets-for-women/gg-marmont-light-blue-interior-wallet-p-790063AADQF5943</t>
        </is>
      </c>
      <c r="M655" s="5">
        <f t="array" ref="M655">_xlfn.IFS(J655="NOTFOUND",I655,J655&gt;=I655,J655)</f>
        <v/>
      </c>
    </row>
    <row r="656" ht="18" customHeight="1" s="16">
      <c r="A656" s="5" t="n">
        <v>655</v>
      </c>
      <c r="B656" s="5" t="inlineStr">
        <is>
          <t>GU-2907</t>
        </is>
      </c>
      <c r="D656" s="5" t="inlineStr">
        <is>
          <t>ダブルG ウォレット財布 イエロー インテリア</t>
        </is>
      </c>
      <c r="E656" s="5" t="inlineStr">
        <is>
          <t>790063 AADQF 4843</t>
        </is>
      </c>
      <c r="F656" s="5" t="inlineStr">
        <is>
          <t>パステルグリーン レザー</t>
        </is>
      </c>
      <c r="G656" s="11" t="inlineStr">
        <is>
          <t>SOLD</t>
        </is>
      </c>
      <c r="H656" s="22" t="inlineStr">
        <is>
          <t>SOLD</t>
        </is>
      </c>
      <c r="I656" s="18" t="n">
        <v>99000</v>
      </c>
      <c r="J656" s="23" t="inlineStr">
        <is>
          <t>NOTFOUND</t>
        </is>
      </c>
      <c r="K656" s="20" t="n">
        <v>0</v>
      </c>
      <c r="L656" s="4" t="inlineStr">
        <is>
          <t>https://www.gucci.com/jp/ja/pr/women/small-leather-goods-for-women/folded-wallets-for-women/gg-marmont-yellow-interior-wallet-p-790063AADQF4843</t>
        </is>
      </c>
      <c r="M656" s="5">
        <f t="array" ref="M656">_xlfn.IFS(J656="NOTFOUND",I656,J656&gt;=I656,J656)</f>
        <v/>
      </c>
    </row>
    <row r="657" ht="18" customHeight="1" s="16">
      <c r="A657" s="5" t="n">
        <v>656</v>
      </c>
      <c r="B657" s="5" t="inlineStr">
        <is>
          <t>GU-2908</t>
        </is>
      </c>
      <c r="D657" s="5" t="inlineStr">
        <is>
          <t>ダブルG ウォレット財布 グリーン インテリア</t>
        </is>
      </c>
      <c r="E657" s="5" t="inlineStr">
        <is>
          <t>790063 AADQF 4946</t>
        </is>
      </c>
      <c r="F657" s="5" t="inlineStr">
        <is>
          <t>ライトブルー レザー</t>
        </is>
      </c>
      <c r="G657" s="11" t="inlineStr">
        <is>
          <t>SOLD</t>
        </is>
      </c>
      <c r="H657" s="22" t="inlineStr">
        <is>
          <t>SOLD</t>
        </is>
      </c>
      <c r="I657" s="18" t="n">
        <v>99000</v>
      </c>
      <c r="J657" s="23" t="inlineStr">
        <is>
          <t>NOTFOUND</t>
        </is>
      </c>
      <c r="K657" s="20" t="n">
        <v>0</v>
      </c>
      <c r="L657" s="4" t="inlineStr">
        <is>
          <t>https://www.gucci.com/jp/ja/pr/women/small-leather-goods-for-women/folded-wallets-for-women/gg-marmont-green-interior-wallet-p-790063AADQF4946</t>
        </is>
      </c>
      <c r="M657" s="5">
        <f t="array" ref="M657">_xlfn.IFS(J657="NOTFOUND",I657,J657&gt;=I657,J657)</f>
        <v/>
      </c>
    </row>
    <row r="658" ht="18" customHeight="1" s="16">
      <c r="A658" s="5" t="n">
        <v>657</v>
      </c>
      <c r="B658" s="5" t="inlineStr">
        <is>
          <t>GU-2909</t>
        </is>
      </c>
      <c r="D658" s="5" t="inlineStr">
        <is>
          <t>ダブルG ミディアム ウォレット財布</t>
        </is>
      </c>
      <c r="E658" s="5" t="inlineStr">
        <is>
          <t>790062 AADQG 5944</t>
        </is>
      </c>
      <c r="F658" s="5" t="inlineStr">
        <is>
          <t>エボニー GGスプリーム キャンバス、ピンク レザー</t>
        </is>
      </c>
      <c r="G658" s="11" t="inlineStr">
        <is>
          <t>SOLD</t>
        </is>
      </c>
      <c r="H658" s="22" t="inlineStr">
        <is>
          <t>SOLD</t>
        </is>
      </c>
      <c r="I658" s="18" t="n">
        <v>99000</v>
      </c>
      <c r="J658" s="23" t="inlineStr">
        <is>
          <t>NOTFOUND</t>
        </is>
      </c>
      <c r="K658" s="20" t="n">
        <v>0</v>
      </c>
      <c r="L658" s="4" t="inlineStr">
        <is>
          <t>https://www.gucci.com/jp/ja/pr/women/small-leather-goods-for-women/folded-wallets-for-women/gg-marmont-medium-wallet-p-790062AADQG5944</t>
        </is>
      </c>
      <c r="M658" s="5">
        <f t="array" ref="M658">_xlfn.IFS(J658="NOTFOUND",I658,J658&gt;=I658,J658)</f>
        <v/>
      </c>
    </row>
    <row r="659" ht="18" customHeight="1" s="16">
      <c r="A659" s="5" t="n">
        <v>658</v>
      </c>
      <c r="B659" s="5" t="inlineStr">
        <is>
          <t>GU-2910</t>
        </is>
      </c>
      <c r="D659" s="5" t="inlineStr">
        <is>
          <t>ダブルG ミディアム ウォレット財布</t>
        </is>
      </c>
      <c r="E659" s="5" t="inlineStr">
        <is>
          <t>790062 AADQG 4947</t>
        </is>
      </c>
      <c r="F659" s="5" t="inlineStr">
        <is>
          <t>エボニー GGスプリーム キャンバス、ブルー レザー</t>
        </is>
      </c>
      <c r="G659" s="11" t="inlineStr">
        <is>
          <t>SOLD</t>
        </is>
      </c>
      <c r="H659" s="22" t="inlineStr">
        <is>
          <t>SOLD</t>
        </is>
      </c>
      <c r="I659" s="18" t="n">
        <v>99000</v>
      </c>
      <c r="J659" s="23" t="inlineStr">
        <is>
          <t>NOTFOUND</t>
        </is>
      </c>
      <c r="K659" s="20" t="n">
        <v>0</v>
      </c>
      <c r="L659" s="4" t="inlineStr">
        <is>
          <t>https://www.gucci.com/jp/ja/pr/women/small-leather-goods-for-women/folded-wallets-for-women/gg-marmont-medium-wallet-p-790062AADQG4947</t>
        </is>
      </c>
      <c r="M659" s="5">
        <f t="array" ref="M659">_xlfn.IFS(J659="NOTFOUND",I659,J659&gt;=I659,J659)</f>
        <v/>
      </c>
    </row>
    <row r="660" ht="18" customHeight="1" s="16">
      <c r="A660" s="5" t="n">
        <v>659</v>
      </c>
      <c r="B660" s="5" t="inlineStr">
        <is>
          <t>GU-2911</t>
        </is>
      </c>
      <c r="D660" s="5" t="inlineStr">
        <is>
          <t>ダブルG スナップボタン カードケース</t>
        </is>
      </c>
      <c r="E660" s="5" t="inlineStr">
        <is>
          <t>813300 CAO0G 1000</t>
        </is>
      </c>
      <c r="F660" s="5" t="inlineStr">
        <is>
          <t>ブラック レザー</t>
        </is>
      </c>
      <c r="G660" s="11" t="inlineStr">
        <is>
          <t>SOLD</t>
        </is>
      </c>
      <c r="H660" s="22" t="inlineStr">
        <is>
          <t>SOLD</t>
        </is>
      </c>
      <c r="I660" s="18" t="n">
        <v>89100</v>
      </c>
      <c r="J660" s="23" t="inlineStr">
        <is>
          <t>NOTFOUND</t>
        </is>
      </c>
      <c r="K660" s="20" t="n">
        <v>0</v>
      </c>
      <c r="L660" s="4" t="inlineStr">
        <is>
          <t>https://www.gucci.com/jp/ja/pr/women/small-leather-goods-for-women/card-coin-cases-for-women/gg-marmont-snap-button-card-case-p-813300CAO0G1000</t>
        </is>
      </c>
      <c r="M660" s="5">
        <f t="array" ref="M660">_xlfn.IFS(J660="NOTFOUND",I660,J660&gt;=I660,J660)</f>
        <v/>
      </c>
    </row>
    <row r="661" ht="18" customHeight="1" s="16">
      <c r="A661" s="5" t="n">
        <v>660</v>
      </c>
      <c r="B661" s="5" t="inlineStr">
        <is>
          <t>GU-2912</t>
        </is>
      </c>
      <c r="D661" s="5" t="inlineStr">
        <is>
          <t>ダブルG スナップボタン カードケース</t>
        </is>
      </c>
      <c r="E661" s="5" t="inlineStr">
        <is>
          <t>813300 CAO2G 4941</t>
        </is>
      </c>
      <c r="F661" s="5" t="inlineStr">
        <is>
          <t>ライトブルー レザー</t>
        </is>
      </c>
      <c r="G661" s="11" t="inlineStr">
        <is>
          <t>SOLD</t>
        </is>
      </c>
      <c r="H661" s="22" t="inlineStr">
        <is>
          <t>SOLD</t>
        </is>
      </c>
      <c r="I661" s="18" t="n">
        <v>89100</v>
      </c>
      <c r="J661" s="23" t="inlineStr">
        <is>
          <t>NOTFOUND</t>
        </is>
      </c>
      <c r="K661" s="20" t="n">
        <v>0</v>
      </c>
      <c r="L661" s="4" t="inlineStr">
        <is>
          <t>https://www.gucci.com/jp/ja/pr/women/small-leather-goods-for-women/card-coin-cases-for-women/gg-marmont-snap-button-card-case-p-813300CAO2G4941</t>
        </is>
      </c>
      <c r="M661" s="5">
        <f t="array" ref="M661">_xlfn.IFS(J661="NOTFOUND",I661,J661&gt;=I661,J661)</f>
        <v/>
      </c>
    </row>
    <row r="662" ht="18" customHeight="1" s="16">
      <c r="A662" s="5" t="n">
        <v>661</v>
      </c>
      <c r="B662" s="5" t="inlineStr">
        <is>
          <t>GU-2913</t>
        </is>
      </c>
      <c r="D662" s="5" t="inlineStr">
        <is>
          <t>ダブルG キーケース</t>
        </is>
      </c>
      <c r="E662" s="5" t="inlineStr">
        <is>
          <t>795649 AADQE 5741</t>
        </is>
      </c>
      <c r="F662" s="5" t="inlineStr">
        <is>
          <t xml:space="preserve">  -</t>
        </is>
      </c>
      <c r="G662" s="10" t="inlineStr">
        <is>
          <t>OneSize</t>
        </is>
      </c>
      <c r="H662" s="17" t="inlineStr">
        <is>
          <t>OneSize</t>
        </is>
      </c>
      <c r="I662" s="18" t="n">
        <v>50600</v>
      </c>
      <c r="J662" s="19" t="n">
        <v>50600</v>
      </c>
      <c r="K662" s="20" t="n">
        <v>5</v>
      </c>
      <c r="L662" s="4" t="inlineStr">
        <is>
          <t>https://www.gucci.com/jp/ja/pr/women/small-leather-goods-for-women/key-cases-charms-for-women/gg-marmont-key-case-p-795649AADQE5741</t>
        </is>
      </c>
      <c r="M662" s="5">
        <f t="array" ref="M662">_xlfn.IFS(J662="NOTFOUND",I662,J662&gt;=I662,J662)</f>
        <v/>
      </c>
    </row>
    <row r="663" ht="18" customHeight="1" s="16">
      <c r="A663" s="5" t="n">
        <v>662</v>
      </c>
      <c r="B663" s="5" t="inlineStr">
        <is>
          <t>GU-2914</t>
        </is>
      </c>
      <c r="D663" s="5" t="inlineStr">
        <is>
          <t>ダブルG カードケース 名刺入れ</t>
        </is>
      </c>
      <c r="E663" s="5" t="inlineStr">
        <is>
          <t>790067 0QG0G 1712</t>
        </is>
      </c>
      <c r="F663" s="5" t="inlineStr">
        <is>
          <t>ライトグレー レザー</t>
        </is>
      </c>
      <c r="G663" s="11" t="inlineStr">
        <is>
          <t>SOLD</t>
        </is>
      </c>
      <c r="H663" s="22" t="inlineStr">
        <is>
          <t>SOLD</t>
        </is>
      </c>
      <c r="I663" s="18" t="n">
        <v>60500</v>
      </c>
      <c r="J663" s="23" t="inlineStr">
        <is>
          <t>NOTFOUND</t>
        </is>
      </c>
      <c r="K663" s="20" t="n">
        <v>0</v>
      </c>
      <c r="L663" s="4" t="inlineStr">
        <is>
          <t>https://www.gucci.com/jp/ja/pr/women/small-leather-goods-for-women/card-coin-cases-for-women/gg-marmont-card-case-wallet-p-7900670QG0G1712</t>
        </is>
      </c>
      <c r="M663" s="5">
        <f t="array" ref="M663">_xlfn.IFS(J663="NOTFOUND",I663,J663&gt;=I663,J663)</f>
        <v/>
      </c>
    </row>
    <row r="664" ht="18" customHeight="1" s="16">
      <c r="A664" s="5" t="n">
        <v>663</v>
      </c>
      <c r="B664" s="5" t="inlineStr">
        <is>
          <t>GU-2915</t>
        </is>
      </c>
      <c r="D664" s="5" t="inlineStr">
        <is>
          <t>ダブルG ウォレット財布</t>
        </is>
      </c>
      <c r="E664" s="5" t="inlineStr">
        <is>
          <t>790063 0QG0G 5701</t>
        </is>
      </c>
      <c r="F664" s="5" t="inlineStr">
        <is>
          <t>ライトベージュ レザー</t>
        </is>
      </c>
      <c r="G664" s="11" t="inlineStr">
        <is>
          <t>SOLD</t>
        </is>
      </c>
      <c r="H664" s="22" t="inlineStr">
        <is>
          <t>SOLD</t>
        </is>
      </c>
      <c r="I664" s="18" t="n">
        <v>99000</v>
      </c>
      <c r="J664" s="23" t="inlineStr">
        <is>
          <t>NOTFOUND</t>
        </is>
      </c>
      <c r="K664" s="20" t="n">
        <v>0</v>
      </c>
      <c r="L664" s="4" t="inlineStr">
        <is>
          <t>https://www.gucci.com/jp/ja/pr/women/small-leather-goods-for-women/folded-wallets-for-women/gg-marmont-wallet-p-7900630QG0G5701</t>
        </is>
      </c>
      <c r="M664" s="5">
        <f t="array" ref="M664">_xlfn.IFS(J664="NOTFOUND",I664,J664&gt;=I664,J664)</f>
        <v/>
      </c>
    </row>
    <row r="665" ht="18" customHeight="1" s="16">
      <c r="A665" s="5" t="n">
        <v>664</v>
      </c>
      <c r="B665" s="5" t="inlineStr">
        <is>
          <t>GU-2916</t>
        </is>
      </c>
      <c r="D665" s="5" t="inlineStr">
        <is>
          <t>ダブルG ウォレット財布</t>
        </is>
      </c>
      <c r="E665" s="5" t="inlineStr">
        <is>
          <t>790063 CAO0G 1000</t>
        </is>
      </c>
      <c r="F665" s="5" t="inlineStr">
        <is>
          <t>ブラック レザー</t>
        </is>
      </c>
      <c r="G665" s="10" t="inlineStr">
        <is>
          <t>OneSize</t>
        </is>
      </c>
      <c r="H665" s="17" t="inlineStr">
        <is>
          <t>OneSize</t>
        </is>
      </c>
      <c r="I665" s="18" t="n">
        <v>89100</v>
      </c>
      <c r="J665" s="19" t="n">
        <v>89100</v>
      </c>
      <c r="K665" s="20" t="n">
        <v>5</v>
      </c>
      <c r="L665" s="4" t="inlineStr">
        <is>
          <t>https://www.gucci.com/jp/ja/pr/women/small-leather-goods-for-women/folded-wallets-for-women/gg-marmont-wallet-p-790063CAO0G1000</t>
        </is>
      </c>
      <c r="M665" s="5">
        <f t="array" ref="M665">_xlfn.IFS(J665="NOTFOUND",I665,J665&gt;=I665,J665)</f>
        <v/>
      </c>
    </row>
    <row r="666" ht="18" customHeight="1" s="16">
      <c r="A666" s="5" t="n">
        <v>665</v>
      </c>
      <c r="B666" s="5" t="inlineStr">
        <is>
          <t>GU-2917</t>
        </is>
      </c>
      <c r="D666" s="5" t="inlineStr">
        <is>
          <t>ダブルG ウォレット財布</t>
        </is>
      </c>
      <c r="E666" s="5" t="inlineStr">
        <is>
          <t>790062 0QG0G 1712</t>
        </is>
      </c>
      <c r="F666" s="5" t="inlineStr">
        <is>
          <t>ライトグレー レザー</t>
        </is>
      </c>
      <c r="G666" s="11" t="inlineStr">
        <is>
          <t>SOLD</t>
        </is>
      </c>
      <c r="H666" s="22" t="inlineStr">
        <is>
          <t>SOLD</t>
        </is>
      </c>
      <c r="I666" s="18" t="n">
        <v>104500</v>
      </c>
      <c r="J666" s="23" t="inlineStr">
        <is>
          <t>NOTFOUND</t>
        </is>
      </c>
      <c r="K666" s="20" t="n">
        <v>0</v>
      </c>
      <c r="L666" s="4" t="inlineStr">
        <is>
          <t>https://www.gucci.com/jp/ja/pr/women/small-leather-goods-for-women/folded-wallets-for-women/gg-marmont-wallet-p-7900620QG0G1712</t>
        </is>
      </c>
      <c r="M666" s="5">
        <f t="array" ref="M666">_xlfn.IFS(J666="NOTFOUND",I666,J666&gt;=I666,J666)</f>
        <v/>
      </c>
    </row>
    <row r="667" ht="18" customHeight="1" s="16">
      <c r="A667" s="5" t="n">
        <v>666</v>
      </c>
      <c r="B667" s="5" t="inlineStr">
        <is>
          <t>GU-2918</t>
        </is>
      </c>
      <c r="D667" s="5" t="inlineStr">
        <is>
          <t>ダブルG ミディアム ウォレット財布</t>
        </is>
      </c>
      <c r="E667" s="5" t="inlineStr">
        <is>
          <t>790062 0QG0G 5701</t>
        </is>
      </c>
      <c r="F667" s="5" t="inlineStr">
        <is>
          <t>ライトベージュ レザー</t>
        </is>
      </c>
      <c r="G667" s="11" t="inlineStr">
        <is>
          <t>SOLD</t>
        </is>
      </c>
      <c r="H667" s="22" t="inlineStr">
        <is>
          <t>SOLD</t>
        </is>
      </c>
      <c r="I667" s="18" t="n">
        <v>104500</v>
      </c>
      <c r="J667" s="23" t="inlineStr">
        <is>
          <t>NOTFOUND</t>
        </is>
      </c>
      <c r="K667" s="20" t="n">
        <v>0</v>
      </c>
      <c r="L667" s="4" t="inlineStr">
        <is>
          <t>https://www.gucci.com/jp/ja/pr/women/small-leather-goods-for-women/folded-wallets-for-women/gg-marmont-medium-wallet-p-7900620QG0G5701</t>
        </is>
      </c>
      <c r="M667" s="5">
        <f t="array" ref="M667">_xlfn.IFS(J667="NOTFOUND",I667,J667&gt;=I667,J667)</f>
        <v/>
      </c>
    </row>
    <row r="668" ht="18" customHeight="1" s="16">
      <c r="A668" s="5" t="n">
        <v>667</v>
      </c>
      <c r="B668" s="5" t="inlineStr">
        <is>
          <t>GU-2919</t>
        </is>
      </c>
      <c r="D668" s="5" t="inlineStr">
        <is>
          <t>ダブルG ミディアム ウォレット財布</t>
        </is>
      </c>
      <c r="E668" s="5" t="inlineStr">
        <is>
          <t>790062 AADQE 5741</t>
        </is>
      </c>
      <c r="F668" s="5" t="inlineStr">
        <is>
          <t>エボニー GGスプリーム キャンバス、ベージュ レザー</t>
        </is>
      </c>
      <c r="G668" s="11" t="inlineStr">
        <is>
          <t>SOLD</t>
        </is>
      </c>
      <c r="H668" s="22" t="inlineStr">
        <is>
          <t>SOLD</t>
        </is>
      </c>
      <c r="I668" s="18" t="n">
        <v>99000</v>
      </c>
      <c r="J668" s="23" t="inlineStr">
        <is>
          <t>NOTFOUND</t>
        </is>
      </c>
      <c r="K668" s="20" t="n">
        <v>0</v>
      </c>
      <c r="L668" s="4" t="inlineStr">
        <is>
          <t>https://www.gucci.com/jp/ja/pr/women/small-leather-goods-for-women/folded-wallets-for-women/gg-marmont-medium-wallet-p-790062AADQE5741</t>
        </is>
      </c>
      <c r="M668" s="5">
        <f t="array" ref="M668">_xlfn.IFS(J668="NOTFOUND",I668,J668&gt;=I668,J668)</f>
        <v/>
      </c>
    </row>
    <row r="669" ht="18" customHeight="1" s="16">
      <c r="A669" s="5" t="n">
        <v>668</v>
      </c>
      <c r="B669" s="5" t="inlineStr">
        <is>
          <t>GU-2920</t>
        </is>
      </c>
      <c r="D669" s="5" t="inlineStr">
        <is>
          <t>日本限定 ダブルG 二つ折りウォレット財布</t>
        </is>
      </c>
      <c r="E669" s="5" t="inlineStr">
        <is>
          <t>772738 AAC1P 1061</t>
        </is>
      </c>
      <c r="F669" s="5" t="inlineStr">
        <is>
          <t>ブラック レザー</t>
        </is>
      </c>
      <c r="G669" s="10" t="inlineStr">
        <is>
          <t>OneSize</t>
        </is>
      </c>
      <c r="H669" s="22" t="inlineStr">
        <is>
          <t>SOLD</t>
        </is>
      </c>
      <c r="I669" s="18" t="n">
        <v>86900</v>
      </c>
      <c r="J669" s="19" t="n">
        <v>89100</v>
      </c>
      <c r="K669" s="20" t="n">
        <v>0</v>
      </c>
      <c r="L669" s="4" t="inlineStr">
        <is>
          <t>https://www.gucci.com/jp/ja/pr/women/small-leather-goods-for-women/folded-wallets-for-women/gg-marmont-bi-fold-wallet-p-772738AAC1P1061</t>
        </is>
      </c>
      <c r="M669" s="5">
        <f t="array" ref="M669">_xlfn.IFS(J669="NOTFOUND",I669,J669&gt;=I669,J669)</f>
        <v/>
      </c>
    </row>
    <row r="670" ht="18" customHeight="1" s="16">
      <c r="A670" s="5" t="n">
        <v>669</v>
      </c>
      <c r="B670" s="5" t="inlineStr">
        <is>
          <t>GU-2921</t>
        </is>
      </c>
      <c r="D670" s="5" t="inlineStr">
        <is>
          <t>ダブルG 二つ折りウォレット財布</t>
        </is>
      </c>
      <c r="E670" s="5" t="inlineStr">
        <is>
          <t>772738 CAO2G 3146</t>
        </is>
      </c>
      <c r="F670" s="5" t="inlineStr">
        <is>
          <t>グリーン レザー</t>
        </is>
      </c>
      <c r="G670" s="11" t="inlineStr">
        <is>
          <t>SOLD</t>
        </is>
      </c>
      <c r="H670" s="22" t="inlineStr">
        <is>
          <t>SOLD</t>
        </is>
      </c>
      <c r="I670" s="18" t="n">
        <v>86900</v>
      </c>
      <c r="J670" s="19" t="n">
        <v>89100</v>
      </c>
      <c r="K670" s="20" t="n">
        <v>0</v>
      </c>
      <c r="L670" s="4" t="inlineStr">
        <is>
          <t>https://www.gucci.com/jp/ja/pr/women/small-leather-goods-for-women/folded-wallets-for-women/gg-marmont-bi-fold-wallet-p-772738CAO2G3146</t>
        </is>
      </c>
      <c r="M670" s="5">
        <f t="array" ref="M670">_xlfn.IFS(J670="NOTFOUND",I670,J670&gt;=I670,J670)</f>
        <v/>
      </c>
    </row>
    <row r="671" ht="18" customHeight="1" s="16">
      <c r="A671" s="5" t="n">
        <v>670</v>
      </c>
      <c r="B671" s="5" t="inlineStr">
        <is>
          <t>GU-2922</t>
        </is>
      </c>
      <c r="D671" s="5" t="inlineStr">
        <is>
          <t>日本限定 ダブルG カードケース 名刺入れ</t>
        </is>
      </c>
      <c r="E671" s="5" t="inlineStr">
        <is>
          <t>739525 AAC1P 1061</t>
        </is>
      </c>
      <c r="F671" s="5" t="inlineStr">
        <is>
          <t>ブラック レザー</t>
        </is>
      </c>
      <c r="G671" s="10" t="inlineStr">
        <is>
          <t>OneSize</t>
        </is>
      </c>
      <c r="H671" s="17" t="inlineStr">
        <is>
          <t>OneSize</t>
        </is>
      </c>
      <c r="I671" s="18" t="n">
        <v>46750</v>
      </c>
      <c r="J671" s="19" t="n">
        <v>46750</v>
      </c>
      <c r="K671" s="20" t="n">
        <v>5</v>
      </c>
      <c r="L671" s="4" t="inlineStr">
        <is>
          <t>https://www.gucci.com/jp/ja/pr/women/small-leather-goods-for-women/exclusive-for-women/gg-marmont-card-case-p-739525AAC1P1061</t>
        </is>
      </c>
      <c r="M671" s="5">
        <f t="array" ref="M671">_xlfn.IFS(J671="NOTFOUND",I671,J671&gt;=I671,J671)</f>
        <v/>
      </c>
    </row>
    <row r="672" ht="18" customHeight="1" s="16">
      <c r="A672" s="5" t="n">
        <v>671</v>
      </c>
      <c r="B672" s="5" t="inlineStr">
        <is>
          <t>GU-2923</t>
        </is>
      </c>
      <c r="D672" s="5" t="inlineStr">
        <is>
          <t>ダブルG カードケース 名刺入れ</t>
        </is>
      </c>
      <c r="E672" s="5" t="inlineStr">
        <is>
          <t>739525 CAO2G 4941</t>
        </is>
      </c>
      <c r="F672" s="5" t="inlineStr">
        <is>
          <t>ライトブルー レザー</t>
        </is>
      </c>
      <c r="G672" s="11" t="inlineStr">
        <is>
          <t>SOLD</t>
        </is>
      </c>
      <c r="H672" s="22" t="inlineStr">
        <is>
          <t>SOLD</t>
        </is>
      </c>
      <c r="I672" s="18" t="n">
        <v>46750</v>
      </c>
      <c r="J672" s="19" t="n">
        <v>46750</v>
      </c>
      <c r="K672" s="20" t="n">
        <v>0</v>
      </c>
      <c r="L672" s="4" t="inlineStr">
        <is>
          <t>https://www.gucci.com/jp/ja/pr/women/small-leather-goods-for-women/card-coin-cases-for-women/gg-marmont-card-case-p-739525CAO2G4941</t>
        </is>
      </c>
      <c r="M672" s="5">
        <f t="array" ref="M672">_xlfn.IFS(J672="NOTFOUND",I672,J672&gt;=I672,J672)</f>
        <v/>
      </c>
    </row>
    <row r="673" ht="18" customHeight="1" s="16">
      <c r="A673" s="5" t="n">
        <v>672</v>
      </c>
      <c r="B673" s="5" t="inlineStr">
        <is>
          <t>GU-2924</t>
        </is>
      </c>
      <c r="D673" s="5" t="inlineStr">
        <is>
          <t>日本限定 ダブルG ミディアム ウォレット財布</t>
        </is>
      </c>
      <c r="E673" s="5" t="inlineStr">
        <is>
          <t>598587 AAC1P 1061</t>
        </is>
      </c>
      <c r="F673" s="5" t="inlineStr">
        <is>
          <t>ブラック レザー</t>
        </is>
      </c>
      <c r="G673" s="10" t="inlineStr">
        <is>
          <t>OneSize</t>
        </is>
      </c>
      <c r="H673" s="17" t="inlineStr">
        <is>
          <t>OneSize</t>
        </is>
      </c>
      <c r="I673" s="18" t="n">
        <v>82500</v>
      </c>
      <c r="J673" s="19" t="n">
        <v>82500</v>
      </c>
      <c r="K673" s="20" t="n">
        <v>5</v>
      </c>
      <c r="L673" s="4" t="inlineStr">
        <is>
          <t>https://www.gucci.com/jp/ja/pr/women/small-leather-goods-for-women/folded-wallets-for-women/gg-marmont-medium-wallet-p-598587AAC1P1061</t>
        </is>
      </c>
      <c r="M673" s="5">
        <f t="array" ref="M673">_xlfn.IFS(J673="NOTFOUND",I673,J673&gt;=I673,J673)</f>
        <v/>
      </c>
    </row>
    <row r="674" ht="18" customHeight="1" s="16">
      <c r="A674" s="5" t="n">
        <v>673</v>
      </c>
      <c r="B674" s="5" t="inlineStr">
        <is>
          <t>GU-2925</t>
        </is>
      </c>
      <c r="D674" s="5" t="inlineStr">
        <is>
          <t>ダブルG ウォレット財布 イエロー インテリア</t>
        </is>
      </c>
      <c r="E674" s="5" t="inlineStr">
        <is>
          <t>598587 CAO2G 5341</t>
        </is>
      </c>
      <c r="F674" s="5" t="inlineStr">
        <is>
          <t>ライラック レザー</t>
        </is>
      </c>
      <c r="G674" s="10" t="inlineStr">
        <is>
          <t>OneSize</t>
        </is>
      </c>
      <c r="H674" s="17" t="inlineStr">
        <is>
          <t>OneSize</t>
        </is>
      </c>
      <c r="I674" s="18" t="n">
        <v>82500</v>
      </c>
      <c r="J674" s="19" t="n">
        <v>82500</v>
      </c>
      <c r="K674" s="20" t="n">
        <v>5</v>
      </c>
      <c r="L674" s="4" t="inlineStr">
        <is>
          <t>https://www.gucci.com/jp/ja/pr/women/small-leather-goods-for-women/folded-wallets-for-women/gg-marmont-yellow-interior-wallet-p-598587CAO2G5341</t>
        </is>
      </c>
      <c r="M674" s="5">
        <f t="array" ref="M674">_xlfn.IFS(J674="NOTFOUND",I674,J674&gt;=I674,J674)</f>
        <v/>
      </c>
    </row>
    <row r="675" ht="18" customHeight="1" s="16">
      <c r="A675" s="5" t="n">
        <v>674</v>
      </c>
      <c r="B675" s="5" t="inlineStr">
        <is>
          <t>GU-2926</t>
        </is>
      </c>
      <c r="D675" s="5" t="inlineStr">
        <is>
          <t>ダブルG ミディアム ウォレット財布</t>
        </is>
      </c>
      <c r="E675" s="5" t="inlineStr">
        <is>
          <t>598587 CAO2G 3146</t>
        </is>
      </c>
      <c r="F675" s="5" t="inlineStr">
        <is>
          <t>グリーン レザー</t>
        </is>
      </c>
      <c r="G675" s="10" t="inlineStr">
        <is>
          <t>OneSize</t>
        </is>
      </c>
      <c r="H675" s="17" t="inlineStr">
        <is>
          <t>OneSize</t>
        </is>
      </c>
      <c r="I675" s="18" t="n">
        <v>82500</v>
      </c>
      <c r="J675" s="19" t="n">
        <v>82500</v>
      </c>
      <c r="K675" s="20" t="n">
        <v>5</v>
      </c>
      <c r="L675" s="4" t="inlineStr">
        <is>
          <t>https://www.gucci.com/jp/ja/pr/women/small-leather-goods-for-women/folded-wallets-for-women/gg-marmont-medium-wallet-p-598587CAO2G3146</t>
        </is>
      </c>
      <c r="M675" s="5">
        <f t="array" ref="M675">_xlfn.IFS(J675="NOTFOUND",I675,J675&gt;=I675,J675)</f>
        <v/>
      </c>
    </row>
    <row r="676" ht="18" customHeight="1" s="16">
      <c r="A676" s="5" t="n">
        <v>675</v>
      </c>
      <c r="B676" s="5" t="inlineStr">
        <is>
          <t>GU-2927</t>
        </is>
      </c>
      <c r="D676" s="5" t="inlineStr">
        <is>
          <t>ダブルG ミディアム ウォレット財布</t>
        </is>
      </c>
      <c r="E676" s="5" t="inlineStr">
        <is>
          <t>598587 CAO2G 4941</t>
        </is>
      </c>
      <c r="F676" s="5" t="inlineStr">
        <is>
          <t>ライトブルー レザー</t>
        </is>
      </c>
      <c r="G676" s="10" t="inlineStr">
        <is>
          <t>OneSize</t>
        </is>
      </c>
      <c r="H676" s="17" t="inlineStr">
        <is>
          <t>OneSize</t>
        </is>
      </c>
      <c r="I676" s="18" t="n">
        <v>82500</v>
      </c>
      <c r="J676" s="19" t="n">
        <v>82500</v>
      </c>
      <c r="K676" s="20" t="n">
        <v>5</v>
      </c>
      <c r="L676" s="4" t="inlineStr">
        <is>
          <t>https://www.gucci.com/jp/ja/pr/women/small-leather-goods-for-women/folded-wallets-for-women/gg-marmont-medium-wallet-p-598587CAO2G4941</t>
        </is>
      </c>
      <c r="M676" s="5">
        <f t="array" ref="M676">_xlfn.IFS(J676="NOTFOUND",I676,J676&gt;=I676,J676)</f>
        <v/>
      </c>
    </row>
    <row r="677" ht="18" customHeight="1" s="16">
      <c r="A677" s="5" t="n">
        <v>676</v>
      </c>
      <c r="B677" s="5" t="inlineStr">
        <is>
          <t>GU-2928</t>
        </is>
      </c>
      <c r="D677" s="5" t="inlineStr">
        <is>
          <t>ダブルG ミディアム ウォレット財布</t>
        </is>
      </c>
      <c r="E677" s="5" t="inlineStr">
        <is>
          <t>598587 CAO2G 9561</t>
        </is>
      </c>
      <c r="F677" s="5" t="inlineStr">
        <is>
          <t>ベージュ レザー</t>
        </is>
      </c>
      <c r="G677" s="11" t="inlineStr">
        <is>
          <t>SOLD</t>
        </is>
      </c>
      <c r="H677" s="22" t="inlineStr">
        <is>
          <t>SOLD</t>
        </is>
      </c>
      <c r="I677" s="18" t="n">
        <v>82500</v>
      </c>
      <c r="J677" s="23" t="inlineStr">
        <is>
          <t>NOTFOUND</t>
        </is>
      </c>
      <c r="K677" s="20" t="n">
        <v>0</v>
      </c>
      <c r="L677" s="4" t="inlineStr">
        <is>
          <t>https://www.gucci.com/jp/ja/pr/women/small-leather-goods-for-women/folded-wallets-for-women/gg-marmont-medium-wallet-p-598587CAO2G9561</t>
        </is>
      </c>
      <c r="M677" s="5">
        <f t="array" ref="M677">_xlfn.IFS(J677="NOTFOUND",I677,J677&gt;=I677,J677)</f>
        <v/>
      </c>
    </row>
    <row r="678" ht="18" customHeight="1" s="16">
      <c r="A678" s="5" t="n">
        <v>677</v>
      </c>
      <c r="B678" s="5" t="inlineStr">
        <is>
          <t>GU-2929</t>
        </is>
      </c>
      <c r="D678" s="5" t="inlineStr">
        <is>
          <t>ダブルG オーストリッチ カードケース ウォレット財布</t>
        </is>
      </c>
      <c r="E678" s="5" t="inlineStr">
        <is>
          <t>456126 EAA02 7439</t>
        </is>
      </c>
      <c r="F678" s="5" t="inlineStr">
        <is>
          <t>パステルイエロー</t>
        </is>
      </c>
      <c r="G678" s="10" t="inlineStr">
        <is>
          <t>OneSize</t>
        </is>
      </c>
      <c r="H678" s="17" t="inlineStr">
        <is>
          <t>OneSize</t>
        </is>
      </c>
      <c r="I678" s="18" t="n">
        <v>217800</v>
      </c>
      <c r="J678" s="19" t="n">
        <v>217800</v>
      </c>
      <c r="K678" s="20" t="n">
        <v>5</v>
      </c>
      <c r="L678" s="4" t="inlineStr">
        <is>
          <t>https://www.gucci.com/jp/ja/pr/women/small-leather-goods-for-women/folded-wallets-for-women/gg-marmont-ostrich-card-case-wallet-p-456126EAA027439</t>
        </is>
      </c>
      <c r="M678" s="5">
        <f t="array" ref="M678">_xlfn.IFS(J678="NOTFOUND",I678,J678&gt;=I678,J678)</f>
        <v/>
      </c>
    </row>
    <row r="679" ht="18" customHeight="1" s="16">
      <c r="A679" s="5" t="n">
        <v>678</v>
      </c>
      <c r="B679" s="5" t="inlineStr">
        <is>
          <t>GU-2930</t>
        </is>
      </c>
      <c r="D679" s="5" t="inlineStr">
        <is>
          <t>ダブルG カードケース</t>
        </is>
      </c>
      <c r="E679" s="5" t="inlineStr">
        <is>
          <t>456126 CAO0G 1000</t>
        </is>
      </c>
      <c r="F679" s="5" t="inlineStr">
        <is>
          <t>ブラック レザー</t>
        </is>
      </c>
      <c r="G679" s="10" t="inlineStr">
        <is>
          <t>OneSize</t>
        </is>
      </c>
      <c r="H679" s="17" t="inlineStr">
        <is>
          <t>OneSize</t>
        </is>
      </c>
      <c r="I679" s="18" t="n">
        <v>63800</v>
      </c>
      <c r="J679" s="19" t="n">
        <v>63800</v>
      </c>
      <c r="K679" s="20" t="n">
        <v>5</v>
      </c>
      <c r="L679" s="4" t="inlineStr">
        <is>
          <t>https://www.gucci.com/jp/ja/pr/women/small-leather-goods-for-women/folded-wallets-for-women/gg-marmont-card-case-wallet-p-456126CAO0G1000</t>
        </is>
      </c>
      <c r="M679" s="5">
        <f t="array" ref="M679">_xlfn.IFS(J679="NOTFOUND",I679,J679&gt;=I679,J679)</f>
        <v/>
      </c>
    </row>
    <row r="680" ht="18" customHeight="1" s="16">
      <c r="A680" s="5" t="n">
        <v>679</v>
      </c>
      <c r="B680" s="5" t="inlineStr">
        <is>
          <t>GU-2931</t>
        </is>
      </c>
      <c r="D680" s="5" t="inlineStr">
        <is>
          <t>日本限定 ダブルG ジップアラウンドウォレット財布</t>
        </is>
      </c>
      <c r="E680" s="5" t="inlineStr">
        <is>
          <t>456117 AAC1P 1061</t>
        </is>
      </c>
      <c r="F680" s="5" t="inlineStr">
        <is>
          <t>ブラック レザー</t>
        </is>
      </c>
      <c r="G680" s="10" t="inlineStr">
        <is>
          <t>OneSize</t>
        </is>
      </c>
      <c r="H680" s="17" t="inlineStr">
        <is>
          <t>OneSize</t>
        </is>
      </c>
      <c r="I680" s="18" t="n">
        <v>93500</v>
      </c>
      <c r="J680" s="19" t="n">
        <v>93500</v>
      </c>
      <c r="K680" s="20" t="n">
        <v>5</v>
      </c>
      <c r="L680" s="4" t="inlineStr">
        <is>
          <t>https://www.gucci.com/jp/ja/pr/women/small-leather-goods-for-women/zip-around-wallets-for-women/gg-marmont-zip-around-wallet-p-456117AAC1P1061</t>
        </is>
      </c>
      <c r="M680" s="5">
        <f t="array" ref="M680">_xlfn.IFS(J680="NOTFOUND",I680,J680&gt;=I680,J680)</f>
        <v/>
      </c>
    </row>
    <row r="681" ht="18" customHeight="1" s="16">
      <c r="A681" s="5" t="n">
        <v>680</v>
      </c>
      <c r="B681" s="5" t="inlineStr">
        <is>
          <t>GU-2932</t>
        </is>
      </c>
      <c r="D681" s="5" t="inlineStr">
        <is>
          <t>ダブルG ジップアラウンドウォレット財布</t>
        </is>
      </c>
      <c r="E681" s="5" t="inlineStr">
        <is>
          <t>456117 CAO0G 1000</t>
        </is>
      </c>
      <c r="F681" s="5" t="inlineStr">
        <is>
          <t>ブラック レザー</t>
        </is>
      </c>
      <c r="G681" s="10" t="inlineStr">
        <is>
          <t>OneSize</t>
        </is>
      </c>
      <c r="H681" s="17" t="inlineStr">
        <is>
          <t>OneSize</t>
        </is>
      </c>
      <c r="I681" s="18" t="n">
        <v>93500</v>
      </c>
      <c r="J681" s="19" t="n">
        <v>93500</v>
      </c>
      <c r="K681" s="20" t="n">
        <v>5</v>
      </c>
      <c r="L681" s="4" t="inlineStr">
        <is>
          <t>https://www.gucci.com/jp/ja/pr/women/small-leather-goods-for-women/zip-around-wallets-for-women/gg-marmont-zip-around-wallet-p-456117CAO0G1000</t>
        </is>
      </c>
      <c r="M681" s="5">
        <f t="array" ref="M681">_xlfn.IFS(J681="NOTFOUND",I681,J681&gt;=I681,J681)</f>
        <v/>
      </c>
    </row>
    <row r="682" ht="18" customHeight="1" s="16">
      <c r="A682" s="5" t="n">
        <v>681</v>
      </c>
      <c r="B682" s="5" t="inlineStr">
        <is>
          <t>GU-2933</t>
        </is>
      </c>
      <c r="D682" s="5" t="inlineStr">
        <is>
          <t>ダブルG ジップアラウンドウォレット財布</t>
        </is>
      </c>
      <c r="E682" s="5" t="inlineStr">
        <is>
          <t>456117 CAO2G 5341</t>
        </is>
      </c>
      <c r="F682" s="5" t="inlineStr">
        <is>
          <t>ライラック レザー</t>
        </is>
      </c>
      <c r="G682" s="11" t="inlineStr">
        <is>
          <t>SOLD</t>
        </is>
      </c>
      <c r="H682" s="22" t="inlineStr">
        <is>
          <t>SOLD</t>
        </is>
      </c>
      <c r="I682" s="18" t="n">
        <v>93500</v>
      </c>
      <c r="J682" s="19" t="n">
        <v>93500</v>
      </c>
      <c r="K682" s="20" t="n">
        <v>0</v>
      </c>
      <c r="L682" s="4" t="inlineStr">
        <is>
          <t>https://www.gucci.com/jp/ja/pr/women/small-leather-goods-for-women/zip-around-wallets-for-women/gg-marmont-zip-around-wallet-p-456117CAO2G5341</t>
        </is>
      </c>
      <c r="M682" s="5">
        <f t="array" ref="M682">_xlfn.IFS(J682="NOTFOUND",I682,J682&gt;=I682,J682)</f>
        <v/>
      </c>
    </row>
    <row r="683" ht="18" customHeight="1" s="16">
      <c r="A683" s="5" t="n">
        <v>682</v>
      </c>
      <c r="B683" s="5" t="inlineStr">
        <is>
          <t>GU-2934</t>
        </is>
      </c>
      <c r="D683" s="5" t="inlineStr">
        <is>
          <t>日本限定 ダブルG コンチネンタルウォレット財布</t>
        </is>
      </c>
      <c r="E683" s="5" t="inlineStr">
        <is>
          <t>456116 AAC1P 1061</t>
        </is>
      </c>
      <c r="F683" s="5" t="inlineStr">
        <is>
          <t>ブラック レザー</t>
        </is>
      </c>
      <c r="G683" s="11" t="inlineStr">
        <is>
          <t>SOLD</t>
        </is>
      </c>
      <c r="H683" s="22" t="inlineStr">
        <is>
          <t>SOLD</t>
        </is>
      </c>
      <c r="I683" s="18" t="n">
        <v>97900</v>
      </c>
      <c r="J683" s="19" t="n">
        <v>97900</v>
      </c>
      <c r="K683" s="20" t="n">
        <v>0</v>
      </c>
      <c r="L683" s="4" t="inlineStr">
        <is>
          <t>https://www.gucci.com/jp/ja/pr/women/small-leather-goods-for-women/continental-wallets-for-women/gg-marmont-continental-wallet-p-456116AAC1P1061</t>
        </is>
      </c>
      <c r="M683" s="5">
        <f t="array" ref="M683">_xlfn.IFS(J683="NOTFOUND",I683,J683&gt;=I683,J683)</f>
        <v/>
      </c>
    </row>
    <row r="684" ht="18" customHeight="1" s="16">
      <c r="A684" s="5" t="n">
        <v>683</v>
      </c>
      <c r="B684" s="5" t="inlineStr">
        <is>
          <t>GU-2935</t>
        </is>
      </c>
      <c r="D684" s="5" t="inlineStr">
        <is>
          <t>ダブルG コンチネンタルウォレット財布</t>
        </is>
      </c>
      <c r="E684" s="5" t="inlineStr">
        <is>
          <t>456116 CAO0G 1000</t>
        </is>
      </c>
      <c r="F684" s="5" t="inlineStr">
        <is>
          <t>ブラックレザー</t>
        </is>
      </c>
      <c r="G684" s="10" t="inlineStr">
        <is>
          <t>OneSize</t>
        </is>
      </c>
      <c r="H684" s="17" t="inlineStr">
        <is>
          <t>OneSize</t>
        </is>
      </c>
      <c r="I684" s="18" t="n">
        <v>97900</v>
      </c>
      <c r="J684" s="19" t="n">
        <v>97900</v>
      </c>
      <c r="K684" s="20" t="n">
        <v>5</v>
      </c>
      <c r="L684" s="4" t="inlineStr">
        <is>
          <t>https://www.gucci.com/jp/ja/pr/women/small-leather-goods-for-women/continental-wallets-for-women/gg-marmont-continental-wallet-p-456116CAO0G1000</t>
        </is>
      </c>
      <c r="M684" s="5">
        <f t="array" ref="M684">_xlfn.IFS(J684="NOTFOUND",I684,J684&gt;=I684,J684)</f>
        <v/>
      </c>
    </row>
    <row r="685" ht="18" customHeight="1" s="16">
      <c r="A685" s="5" t="n">
        <v>684</v>
      </c>
      <c r="B685" s="5" t="inlineStr">
        <is>
          <t>GU-2936</t>
        </is>
      </c>
      <c r="D685" s="5" t="inlineStr">
        <is>
          <t>ホースビット 1955 チェーン付き ウォレット財布</t>
        </is>
      </c>
      <c r="E685" s="5" t="inlineStr">
        <is>
          <t>621892 92TCG 9761</t>
        </is>
      </c>
      <c r="F685" s="5" t="inlineStr">
        <is>
          <t xml:space="preserve">  -</t>
        </is>
      </c>
      <c r="G685" s="11" t="inlineStr">
        <is>
          <t>SOLD</t>
        </is>
      </c>
      <c r="H685" s="22" t="inlineStr">
        <is>
          <t>SOLD</t>
        </is>
      </c>
      <c r="I685" s="18" t="n">
        <v>150700</v>
      </c>
      <c r="J685" s="23" t="inlineStr">
        <is>
          <t>NOTFOUND</t>
        </is>
      </c>
      <c r="K685" s="20" t="n">
        <v>0</v>
      </c>
      <c r="L685" s="4" t="inlineStr">
        <is>
          <t>https://www.gucci.com/jp/ja/pr/women/small-leather-goods-for-women/strap-chain-wallets/gucci-horsebit-1955-wallet-with-chain-p-62189292TCG9761</t>
        </is>
      </c>
      <c r="M685" s="5">
        <f t="array" ref="M685">_xlfn.IFS(J685="NOTFOUND",I685,J685&gt;=I685,J685)</f>
        <v/>
      </c>
    </row>
    <row r="686" ht="18" customHeight="1" s="16">
      <c r="A686" s="5" t="n">
        <v>685</v>
      </c>
      <c r="B686" s="5" t="inlineStr">
        <is>
          <t>GU-2937</t>
        </is>
      </c>
      <c r="D686" s="5" t="inlineStr">
        <is>
          <t>ホースビット 1955 カードケース ウォレット財布</t>
        </is>
      </c>
      <c r="E686" s="5" t="inlineStr">
        <is>
          <t>621887 92TCG 9761</t>
        </is>
      </c>
      <c r="F686" s="5" t="inlineStr">
        <is>
          <t>GGスプリーム/ホワイト レザー</t>
        </is>
      </c>
      <c r="G686" s="10" t="inlineStr">
        <is>
          <t>OneSize</t>
        </is>
      </c>
      <c r="H686" s="17" t="inlineStr">
        <is>
          <t>OneSize</t>
        </is>
      </c>
      <c r="I686" s="18" t="n">
        <v>72600</v>
      </c>
      <c r="J686" s="19" t="n">
        <v>72600</v>
      </c>
      <c r="K686" s="20" t="n">
        <v>5</v>
      </c>
      <c r="L686" s="4" t="inlineStr">
        <is>
          <t>https://www.gucci.com/jp/ja/pr/women/small-leather-goods-for-women/folded-wallets-for-women/gucci-horsebit-1955-card-case-wallet-p-62188792TCG9761</t>
        </is>
      </c>
      <c r="M686" s="5">
        <f t="array" ref="M686">_xlfn.IFS(J686="NOTFOUND",I686,J686&gt;=I686,J686)</f>
        <v/>
      </c>
    </row>
    <row r="687" ht="18" customHeight="1" s="16">
      <c r="A687" s="5" t="n">
        <v>686</v>
      </c>
      <c r="B687" s="5" t="inlineStr">
        <is>
          <t>GU-2938</t>
        </is>
      </c>
      <c r="D687" s="5" t="inlineStr">
        <is>
          <t>バンブー付き パイソン ジップアラウンドウォレット財布</t>
        </is>
      </c>
      <c r="E687" s="5" t="inlineStr">
        <is>
          <t>739499 EAA8D 1143</t>
        </is>
      </c>
      <c r="F687" s="5" t="inlineStr">
        <is>
          <t>グレー＆ベージュ</t>
        </is>
      </c>
      <c r="G687" s="10" t="inlineStr">
        <is>
          <t>OneSize</t>
        </is>
      </c>
      <c r="H687" s="17" t="inlineStr">
        <is>
          <t>OneSize</t>
        </is>
      </c>
      <c r="I687" s="18" t="n">
        <v>228800</v>
      </c>
      <c r="J687" s="19" t="n">
        <v>228800</v>
      </c>
      <c r="K687" s="20" t="n">
        <v>5</v>
      </c>
      <c r="L687" s="4" t="inlineStr">
        <is>
          <t>https://www.gucci.com/jp/ja/pr/women/small-leather-goods-for-women/zip-around-wallets-for-women/zip-around-python-wallet-with-bamboo-p-739499EAA8D1143</t>
        </is>
      </c>
      <c r="M687" s="5">
        <f t="array" ref="M687">_xlfn.IFS(J687="NOTFOUND",I687,J687&gt;=I687,J687)</f>
        <v/>
      </c>
    </row>
    <row r="688" ht="18" customHeight="1" s="16">
      <c r="A688" s="5" t="n">
        <v>687</v>
      </c>
      <c r="B688" s="5" t="inlineStr">
        <is>
          <t>GU-2939</t>
        </is>
      </c>
      <c r="D688" s="5" t="inlineStr">
        <is>
          <t>バンブー付き ジップアラウンドウォレット財布</t>
        </is>
      </c>
      <c r="E688" s="5" t="inlineStr">
        <is>
          <t>739499 AABXM 3401</t>
        </is>
      </c>
      <c r="F688" s="5" t="inlineStr">
        <is>
          <t>ペールグリーン レザー</t>
        </is>
      </c>
      <c r="G688" s="10" t="inlineStr">
        <is>
          <t>OneSize</t>
        </is>
      </c>
      <c r="H688" s="17" t="inlineStr">
        <is>
          <t>OneSize</t>
        </is>
      </c>
      <c r="I688" s="18" t="n">
        <v>115500</v>
      </c>
      <c r="J688" s="19" t="n">
        <v>115500</v>
      </c>
      <c r="K688" s="20" t="n">
        <v>5</v>
      </c>
      <c r="L688" s="4" t="inlineStr">
        <is>
          <t>https://www.gucci.com/jp/ja/pr/women/small-leather-goods-for-women/zip-around-wallets-for-women/zip-around-wallet-with-bamboo-p-739499AABXM3401</t>
        </is>
      </c>
      <c r="M688" s="5">
        <f t="array" ref="M688">_xlfn.IFS(J688="NOTFOUND",I688,J688&gt;=I688,J688)</f>
        <v/>
      </c>
    </row>
    <row r="689" ht="18" customHeight="1" s="16">
      <c r="A689" s="5" t="n">
        <v>688</v>
      </c>
      <c r="B689" s="5" t="inlineStr">
        <is>
          <t>GU-2940</t>
        </is>
      </c>
      <c r="D689" s="5" t="inlineStr">
        <is>
          <t>バンブー付き ジップアラウンドウォレット財布</t>
        </is>
      </c>
      <c r="E689" s="5" t="inlineStr">
        <is>
          <t>739499 AABXM 2535</t>
        </is>
      </c>
      <c r="F689" s="5" t="inlineStr">
        <is>
          <t>ブラウン レザー</t>
        </is>
      </c>
      <c r="G689" s="10" t="inlineStr">
        <is>
          <t>OneSize</t>
        </is>
      </c>
      <c r="H689" s="17" t="inlineStr">
        <is>
          <t>OneSize</t>
        </is>
      </c>
      <c r="I689" s="18" t="n">
        <v>115500</v>
      </c>
      <c r="J689" s="19" t="n">
        <v>115500</v>
      </c>
      <c r="K689" s="20" t="n">
        <v>5</v>
      </c>
      <c r="L689" s="4" t="inlineStr">
        <is>
          <t>https://www.gucci.com/jp/ja/pr/women/small-leather-goods-for-women/zip-around-wallets-for-women/zip-around-wallet-with-bamboo-p-739499AABXM2535</t>
        </is>
      </c>
      <c r="M689" s="5">
        <f t="array" ref="M689">_xlfn.IFS(J689="NOTFOUND",I689,J689&gt;=I689,J689)</f>
        <v/>
      </c>
    </row>
    <row r="690" ht="18" customHeight="1" s="16">
      <c r="A690" s="5" t="n">
        <v>689</v>
      </c>
      <c r="B690" s="5" t="inlineStr">
        <is>
          <t>GU-2941</t>
        </is>
      </c>
      <c r="D690" s="5" t="inlineStr">
        <is>
          <t>バンブー付き ジップアラウンドウォレット財布</t>
        </is>
      </c>
      <c r="E690" s="5" t="inlineStr">
        <is>
          <t>739499 AABXM 1000</t>
        </is>
      </c>
      <c r="F690" s="5" t="inlineStr">
        <is>
          <t>ブラック レザー</t>
        </is>
      </c>
      <c r="G690" s="10" t="inlineStr">
        <is>
          <t>OneSize</t>
        </is>
      </c>
      <c r="H690" s="17" t="inlineStr">
        <is>
          <t>OneSize</t>
        </is>
      </c>
      <c r="I690" s="18" t="n">
        <v>115500</v>
      </c>
      <c r="J690" s="19" t="n">
        <v>115500</v>
      </c>
      <c r="K690" s="20" t="n">
        <v>5</v>
      </c>
      <c r="L690" s="4" t="inlineStr">
        <is>
          <t>https://www.gucci.com/jp/ja/pr/women/small-leather-goods-for-women/zip-around-wallets-for-women/zip-around-wallet-with-bamboo-p-739499AABXM1000</t>
        </is>
      </c>
      <c r="M690" s="5">
        <f t="array" ref="M690">_xlfn.IFS(J690="NOTFOUND",I690,J690&gt;=I690,J690)</f>
        <v/>
      </c>
    </row>
    <row r="691" ht="18" customHeight="1" s="16">
      <c r="A691" s="5" t="n">
        <v>690</v>
      </c>
      <c r="B691" s="5" t="inlineStr">
        <is>
          <t>GU-2942</t>
        </is>
      </c>
      <c r="D691" s="5" t="inlineStr">
        <is>
          <t>バンブー付き ジップアラウンドウォレット財布</t>
        </is>
      </c>
      <c r="E691" s="5" t="inlineStr">
        <is>
          <t>739499 AADQ2 6207</t>
        </is>
      </c>
      <c r="F691" s="5" t="inlineStr">
        <is>
          <t>ロッソ アンコーラ（深い赤）レザー</t>
        </is>
      </c>
      <c r="G691" s="10" t="inlineStr">
        <is>
          <t>OneSize</t>
        </is>
      </c>
      <c r="H691" s="17" t="inlineStr">
        <is>
          <t>OneSize</t>
        </is>
      </c>
      <c r="I691" s="18" t="n">
        <v>115500</v>
      </c>
      <c r="J691" s="19" t="n">
        <v>115500</v>
      </c>
      <c r="K691" s="20" t="n">
        <v>5</v>
      </c>
      <c r="L691" s="4" t="inlineStr">
        <is>
          <t>https://www.gucci.com/jp/ja/pr/women/small-leather-goods-for-women/zip-around-wallets-for-women/zip-around-wallet-with-bamboo-p-739499AADQ26207</t>
        </is>
      </c>
      <c r="M691" s="5">
        <f t="array" ref="M691">_xlfn.IFS(J691="NOTFOUND",I691,J691&gt;=I691,J691)</f>
        <v/>
      </c>
    </row>
    <row r="692" ht="18" customHeight="1" s="16">
      <c r="A692" s="5" t="n">
        <v>691</v>
      </c>
      <c r="B692" s="5" t="inlineStr">
        <is>
          <t>GU-2943</t>
        </is>
      </c>
      <c r="D692" s="5" t="inlineStr">
        <is>
          <t>バンブー付き ダブルG パイソン ウォレット財布</t>
        </is>
      </c>
      <c r="E692" s="5" t="inlineStr">
        <is>
          <t>739498 EAA8D 5842</t>
        </is>
      </c>
      <c r="F692" s="5" t="inlineStr">
        <is>
          <t>ダスティピンク＆ブラウン</t>
        </is>
      </c>
      <c r="G692" s="10" t="inlineStr">
        <is>
          <t>OneSize</t>
        </is>
      </c>
      <c r="H692" s="17" t="inlineStr">
        <is>
          <t>OneSize</t>
        </is>
      </c>
      <c r="I692" s="18" t="n">
        <v>148500</v>
      </c>
      <c r="J692" s="19" t="n">
        <v>148500</v>
      </c>
      <c r="K692" s="20" t="n">
        <v>5</v>
      </c>
      <c r="L692" s="4" t="inlineStr">
        <is>
          <t>https://www.gucci.com/jp/ja/pr/women/small-leather-goods-for-women/precious-skins-for-women/double-g-python-wallet-with-bamboo-p-739498EAA8D5842</t>
        </is>
      </c>
      <c r="M692" s="5">
        <f t="array" ref="M692">_xlfn.IFS(J692="NOTFOUND",I692,J692&gt;=I692,J692)</f>
        <v/>
      </c>
    </row>
    <row r="693" ht="18" customHeight="1" s="16">
      <c r="A693" s="5" t="n">
        <v>692</v>
      </c>
      <c r="B693" s="5" t="inlineStr">
        <is>
          <t>GU-2944</t>
        </is>
      </c>
      <c r="D693" s="5" t="inlineStr">
        <is>
          <t>バンブー付き ダブルG ミディアム ウォレット財布</t>
        </is>
      </c>
      <c r="E693" s="5" t="inlineStr">
        <is>
          <t>739498 AABXM 3401</t>
        </is>
      </c>
      <c r="F693" s="5" t="inlineStr">
        <is>
          <t>ペールグリーン レザー</t>
        </is>
      </c>
      <c r="G693" s="11" t="inlineStr">
        <is>
          <t>SOLD</t>
        </is>
      </c>
      <c r="H693" s="22" t="inlineStr">
        <is>
          <t>SOLD</t>
        </is>
      </c>
      <c r="I693" s="18" t="n">
        <v>86900</v>
      </c>
      <c r="J693" s="19" t="n">
        <v>86900</v>
      </c>
      <c r="K693" s="20" t="n">
        <v>0</v>
      </c>
      <c r="L693" s="4" t="inlineStr">
        <is>
          <t>https://www.gucci.com/jp/ja/pr/women/small-leather-goods-for-women/card-coin-cases-for-women/medium-double-g-wallet-with-bamboo-p-739498AABXM3401</t>
        </is>
      </c>
      <c r="M693" s="5">
        <f t="array" ref="M693">_xlfn.IFS(J693="NOTFOUND",I693,J693&gt;=I693,J693)</f>
        <v/>
      </c>
    </row>
    <row r="694" ht="18" customHeight="1" s="16">
      <c r="A694" s="5" t="n">
        <v>693</v>
      </c>
      <c r="B694" s="5" t="inlineStr">
        <is>
          <t>GU-2945</t>
        </is>
      </c>
      <c r="D694" s="5" t="inlineStr">
        <is>
          <t>バンブー付き ダブルG ミディアム ウォレット財布</t>
        </is>
      </c>
      <c r="E694" s="5" t="inlineStr">
        <is>
          <t>739498 AABXM 2535</t>
        </is>
      </c>
      <c r="F694" s="5" t="inlineStr">
        <is>
          <t>ブラウン レザー</t>
        </is>
      </c>
      <c r="G694" s="10" t="inlineStr">
        <is>
          <t>OneSize</t>
        </is>
      </c>
      <c r="H694" s="17" t="inlineStr">
        <is>
          <t>OneSize</t>
        </is>
      </c>
      <c r="I694" s="18" t="n">
        <v>86900</v>
      </c>
      <c r="J694" s="19" t="n">
        <v>86900</v>
      </c>
      <c r="K694" s="20" t="n">
        <v>5</v>
      </c>
      <c r="L694" s="4" t="inlineStr">
        <is>
          <t>https://www.gucci.com/jp/ja/pr/women/small-leather-goods-for-women/card-coin-cases-for-women/medium-double-g-wallet-with-bamboo-p-739498AABXM2535</t>
        </is>
      </c>
      <c r="M694" s="5">
        <f t="array" ref="M694">_xlfn.IFS(J694="NOTFOUND",I694,J694&gt;=I694,J694)</f>
        <v/>
      </c>
    </row>
    <row r="695" ht="18" customHeight="1" s="16">
      <c r="A695" s="5" t="n">
        <v>694</v>
      </c>
      <c r="B695" s="5" t="inlineStr">
        <is>
          <t>GU-2946</t>
        </is>
      </c>
      <c r="D695" s="5" t="inlineStr">
        <is>
          <t>バンブー付き ダブルG ミディアム ウォレット財布</t>
        </is>
      </c>
      <c r="E695" s="5" t="inlineStr">
        <is>
          <t>739498 AABXM 1000</t>
        </is>
      </c>
      <c r="F695" s="5" t="inlineStr">
        <is>
          <t>ブラック レザー</t>
        </is>
      </c>
      <c r="G695" s="10" t="inlineStr">
        <is>
          <t>OneSize</t>
        </is>
      </c>
      <c r="H695" s="17" t="inlineStr">
        <is>
          <t>OneSize</t>
        </is>
      </c>
      <c r="I695" s="18" t="n">
        <v>86900</v>
      </c>
      <c r="J695" s="19" t="n">
        <v>86900</v>
      </c>
      <c r="K695" s="20" t="n">
        <v>5</v>
      </c>
      <c r="L695" s="4" t="inlineStr">
        <is>
          <t>https://www.gucci.com/jp/ja/pr/women/small-leather-goods-for-women/card-coin-cases-for-women/medium-double-g-wallet-with-bamboo-p-739498AABXM1000</t>
        </is>
      </c>
      <c r="M695" s="5">
        <f t="array" ref="M695">_xlfn.IFS(J695="NOTFOUND",I695,J695&gt;=I695,J695)</f>
        <v/>
      </c>
    </row>
    <row r="696" ht="18" customHeight="1" s="16">
      <c r="A696" s="5" t="n">
        <v>695</v>
      </c>
      <c r="B696" s="5" t="inlineStr">
        <is>
          <t>GU-2947</t>
        </is>
      </c>
      <c r="D696" s="5" t="inlineStr">
        <is>
          <t>バンブー付き ダブルG ミディアム ウォレット財布</t>
        </is>
      </c>
      <c r="E696" s="5" t="inlineStr">
        <is>
          <t>739498 AADQ2 6207</t>
        </is>
      </c>
      <c r="F696" s="5" t="inlineStr">
        <is>
          <t>ロッソ アンコーラ（深い赤）レザー</t>
        </is>
      </c>
      <c r="G696" s="11" t="inlineStr">
        <is>
          <t>SOLD</t>
        </is>
      </c>
      <c r="H696" s="22" t="inlineStr">
        <is>
          <t>SOLD</t>
        </is>
      </c>
      <c r="I696" s="18" t="n">
        <v>86900</v>
      </c>
      <c r="J696" s="19" t="n">
        <v>86900</v>
      </c>
      <c r="K696" s="20" t="n">
        <v>0</v>
      </c>
      <c r="L696" s="4" t="inlineStr">
        <is>
          <t>https://www.gucci.com/jp/ja/pr/women/small-leather-goods-for-women/card-coin-cases-for-women/medium-double-g-wallet-with-bamboo-p-739498AADQ26207</t>
        </is>
      </c>
      <c r="M696" s="5">
        <f t="array" ref="M696">_xlfn.IFS(J696="NOTFOUND",I696,J696&gt;=I696,J696)</f>
        <v/>
      </c>
    </row>
    <row r="697" ht="18" customHeight="1" s="16">
      <c r="A697" s="5" t="n">
        <v>696</v>
      </c>
      <c r="B697" s="5" t="inlineStr">
        <is>
          <t>GU-2948</t>
        </is>
      </c>
      <c r="D697" s="5" t="inlineStr">
        <is>
          <t>ルーチェ ミニ ジップウォレット財布</t>
        </is>
      </c>
      <c r="E697" s="5" t="inlineStr">
        <is>
          <t>790037 FADHW 9742</t>
        </is>
      </c>
      <c r="F697" s="5" t="inlineStr">
        <is>
          <t>ベージュ＆エボニー GGキャンバス</t>
        </is>
      </c>
      <c r="G697" s="11" t="inlineStr">
        <is>
          <t>SOLD</t>
        </is>
      </c>
      <c r="H697" s="22" t="inlineStr">
        <is>
          <t>SOLD</t>
        </is>
      </c>
      <c r="I697" s="18" t="n">
        <v>70400</v>
      </c>
      <c r="J697" s="23" t="inlineStr">
        <is>
          <t>NOTFOUND</t>
        </is>
      </c>
      <c r="K697" s="20" t="n">
        <v>0</v>
      </c>
      <c r="L697" s="4" t="inlineStr">
        <is>
          <t>https://www.gucci.com/jp/ja/pr/women/small-leather-goods-for-women/card-coin-cases-for-women/gucci-luce-mini-zip-wallet-p-790037FADHW9742</t>
        </is>
      </c>
      <c r="M697" s="5">
        <f t="array" ref="M697">_xlfn.IFS(J697="NOTFOUND",I697,J697&gt;=I697,J697)</f>
        <v/>
      </c>
    </row>
    <row r="698" ht="18" customHeight="1" s="16">
      <c r="A698" s="5" t="n">
        <v>697</v>
      </c>
      <c r="B698" s="5" t="inlineStr">
        <is>
          <t>GU-2949</t>
        </is>
      </c>
      <c r="D698" s="5" t="inlineStr">
        <is>
          <t>GG ミニウォレット財布</t>
        </is>
      </c>
      <c r="E698" s="5" t="inlineStr">
        <is>
          <t>790036 FADHY 6207</t>
        </is>
      </c>
      <c r="F698" s="5" t="inlineStr">
        <is>
          <t>グッチ ロッソ アンコーラ（深い赤）GGキャンバス</t>
        </is>
      </c>
      <c r="G698" s="11" t="inlineStr">
        <is>
          <t>SOLD</t>
        </is>
      </c>
      <c r="H698" s="22" t="inlineStr">
        <is>
          <t>SOLD</t>
        </is>
      </c>
      <c r="I698" s="18" t="n">
        <v>85800</v>
      </c>
      <c r="J698" s="23" t="inlineStr">
        <is>
          <t>NOTFOUND</t>
        </is>
      </c>
      <c r="K698" s="20" t="n">
        <v>0</v>
      </c>
      <c r="L698" s="4" t="inlineStr">
        <is>
          <t>https://www.gucci.com/jp/ja/pr/women/small-leather-goods-for-women/card-coin-cases-for-women/gg-mini-wallet-p-790036FADHY6207</t>
        </is>
      </c>
      <c r="M698" s="5">
        <f t="array" ref="M698">_xlfn.IFS(J698="NOTFOUND",I698,J698&gt;=I698,J698)</f>
        <v/>
      </c>
    </row>
    <row r="699" ht="18" customHeight="1" s="16">
      <c r="A699" s="5" t="n">
        <v>698</v>
      </c>
      <c r="B699" s="5" t="inlineStr">
        <is>
          <t>GU-2950</t>
        </is>
      </c>
      <c r="D699" s="5" t="inlineStr">
        <is>
          <t>GG ミニウォレット財布</t>
        </is>
      </c>
      <c r="E699" s="5" t="inlineStr">
        <is>
          <t>790036 FADHW 9742</t>
        </is>
      </c>
      <c r="F699" s="5" t="inlineStr">
        <is>
          <t>ベージュ＆エボニー GGキャンバス</t>
        </is>
      </c>
      <c r="G699" s="11" t="inlineStr">
        <is>
          <t>SOLD</t>
        </is>
      </c>
      <c r="H699" s="22" t="inlineStr">
        <is>
          <t>SOLD</t>
        </is>
      </c>
      <c r="I699" s="18" t="n">
        <v>85800</v>
      </c>
      <c r="J699" s="23" t="inlineStr">
        <is>
          <t>NOTFOUND</t>
        </is>
      </c>
      <c r="K699" s="20" t="n">
        <v>0</v>
      </c>
      <c r="L699" s="4" t="inlineStr">
        <is>
          <t>https://www.gucci.com/jp/ja/pr/women/small-leather-goods-for-women/card-coin-cases-for-women/gg-mini-wallet-p-790036FADHW9742</t>
        </is>
      </c>
      <c r="M699" s="5">
        <f t="array" ref="M699">_xlfn.IFS(J699="NOTFOUND",I699,J699&gt;=I699,J699)</f>
        <v/>
      </c>
    </row>
    <row r="700" ht="18" customHeight="1" s="16">
      <c r="A700" s="5" t="n">
        <v>699</v>
      </c>
      <c r="B700" s="5" t="inlineStr">
        <is>
          <t>GU-2951</t>
        </is>
      </c>
      <c r="D700" s="5" t="inlineStr">
        <is>
          <t>GG ミニウォレット財布</t>
        </is>
      </c>
      <c r="E700" s="5" t="inlineStr">
        <is>
          <t>790036 FADHW 4064</t>
        </is>
      </c>
      <c r="F700" s="5" t="inlineStr">
        <is>
          <t>ベージュ＆ブルー キャンバス</t>
        </is>
      </c>
      <c r="G700" s="11" t="inlineStr">
        <is>
          <t>SOLD</t>
        </is>
      </c>
      <c r="H700" s="22" t="inlineStr">
        <is>
          <t>SOLD</t>
        </is>
      </c>
      <c r="I700" s="18" t="n">
        <v>85800</v>
      </c>
      <c r="J700" s="23" t="inlineStr">
        <is>
          <t>NOTFOUND</t>
        </is>
      </c>
      <c r="K700" s="20" t="n">
        <v>0</v>
      </c>
      <c r="L700" s="4" t="inlineStr">
        <is>
          <t>https://www.gucci.com/jp/ja/pr/women/small-leather-goods-for-women/card-coin-cases-for-women/gg-mini-wallet-p-790036FADHW4064</t>
        </is>
      </c>
      <c r="M700" s="5">
        <f t="array" ref="M700">_xlfn.IFS(J700="NOTFOUND",I700,J700&gt;=I700,J700)</f>
        <v/>
      </c>
    </row>
    <row r="701" ht="18" customHeight="1" s="16">
      <c r="A701" s="5" t="n">
        <v>700</v>
      </c>
      <c r="B701" s="5" t="inlineStr">
        <is>
          <t>GU-2952</t>
        </is>
      </c>
      <c r="D701" s="5" t="inlineStr">
        <is>
          <t>GG ミニウォレット財布</t>
        </is>
      </c>
      <c r="E701" s="5" t="inlineStr">
        <is>
          <t>790036 FADHY 1000</t>
        </is>
      </c>
      <c r="F701" s="5" t="inlineStr">
        <is>
          <t>ブラック GGスプリーム キャンバス</t>
        </is>
      </c>
      <c r="G701" s="11" t="inlineStr">
        <is>
          <t>SOLD</t>
        </is>
      </c>
      <c r="H701" s="22" t="inlineStr">
        <is>
          <t>SOLD</t>
        </is>
      </c>
      <c r="I701" s="18" t="n">
        <v>85800</v>
      </c>
      <c r="J701" s="23" t="inlineStr">
        <is>
          <t>NOTFOUND</t>
        </is>
      </c>
      <c r="K701" s="20" t="n">
        <v>0</v>
      </c>
      <c r="L701" s="4" t="inlineStr">
        <is>
          <t>https://www.gucci.com/jp/ja/pr/women/small-leather-goods-for-women/card-coin-cases-for-women/gg-mini-wallet-p-790036FADHY1000</t>
        </is>
      </c>
      <c r="M701" s="5">
        <f t="array" ref="M701">_xlfn.IFS(J701="NOTFOUND",I701,J701&gt;=I701,J701)</f>
        <v/>
      </c>
    </row>
    <row r="702" ht="18" customHeight="1" s="16">
      <c r="A702" s="5" t="n">
        <v>701</v>
      </c>
      <c r="B702" s="5" t="inlineStr">
        <is>
          <t>GU-2953</t>
        </is>
      </c>
      <c r="D702" s="5" t="inlineStr">
        <is>
          <t>ルーチェ コンチネンタルウォレット財布</t>
        </is>
      </c>
      <c r="E702" s="5" t="inlineStr">
        <is>
          <t>790034 FADHW 9742</t>
        </is>
      </c>
      <c r="F702" s="5" t="inlineStr">
        <is>
          <t xml:space="preserve">  -</t>
        </is>
      </c>
      <c r="G702" s="11" t="inlineStr">
        <is>
          <t>SOLD</t>
        </is>
      </c>
      <c r="H702" s="22" t="inlineStr">
        <is>
          <t>SOLD</t>
        </is>
      </c>
      <c r="I702" s="18" t="n">
        <v>125400</v>
      </c>
      <c r="J702" s="23" t="inlineStr">
        <is>
          <t>NOTFOUND</t>
        </is>
      </c>
      <c r="K702" s="20" t="n">
        <v>0</v>
      </c>
      <c r="L702" s="4" t="inlineStr">
        <is>
          <t>https://www.gucci.com/jp/ja/pr/women/small-leather-goods-for-women/continental-wallets-for-women/gucci-luce-continental-wallet-p-790034FADHW9742</t>
        </is>
      </c>
      <c r="M702" s="5">
        <f t="array" ref="M702">_xlfn.IFS(J702="NOTFOUND",I702,J702&gt;=I702,J702)</f>
        <v/>
      </c>
    </row>
    <row r="703" ht="18" customHeight="1" s="16">
      <c r="A703" s="5" t="n">
        <v>702</v>
      </c>
      <c r="B703" s="5" t="inlineStr">
        <is>
          <t>GU-2954</t>
        </is>
      </c>
      <c r="D703" s="5" t="inlineStr">
        <is>
          <t>GG カードケース ウォレット財布</t>
        </is>
      </c>
      <c r="E703" s="5" t="inlineStr">
        <is>
          <t>790033 FADHY 1000</t>
        </is>
      </c>
      <c r="F703" s="5" t="inlineStr">
        <is>
          <t>ブラック GGスプリーム キャンバス</t>
        </is>
      </c>
      <c r="G703" s="11" t="inlineStr">
        <is>
          <t>SOLD</t>
        </is>
      </c>
      <c r="H703" s="22" t="inlineStr">
        <is>
          <t>SOLD</t>
        </is>
      </c>
      <c r="I703" s="18" t="n">
        <v>58300</v>
      </c>
      <c r="J703" s="23" t="inlineStr">
        <is>
          <t>NOTFOUND</t>
        </is>
      </c>
      <c r="K703" s="20" t="n">
        <v>0</v>
      </c>
      <c r="L703" s="4" t="inlineStr">
        <is>
          <t>https://www.gucci.com/jp/ja/pr/women/small-leather-goods-for-women/card-coin-cases-for-women/gg-card-case-wallet-p-790033FADHY1000</t>
        </is>
      </c>
      <c r="M703" s="5">
        <f t="array" ref="M703">_xlfn.IFS(J703="NOTFOUND",I703,J703&gt;=I703,J703)</f>
        <v/>
      </c>
    </row>
    <row r="704" ht="18" customHeight="1" s="16">
      <c r="A704" s="5" t="n">
        <v>703</v>
      </c>
      <c r="B704" s="5" t="inlineStr">
        <is>
          <t>GU-2955</t>
        </is>
      </c>
      <c r="D704" s="5" t="inlineStr">
        <is>
          <t>GUCCI スクリプト ジップ キーケース</t>
        </is>
      </c>
      <c r="E704" s="5" t="inlineStr">
        <is>
          <t>790102 0OP0N 5909</t>
        </is>
      </c>
      <c r="F704" s="5" t="inlineStr">
        <is>
          <t>ライトピンク レザー</t>
        </is>
      </c>
      <c r="G704" s="11" t="inlineStr">
        <is>
          <t>SOLD</t>
        </is>
      </c>
      <c r="H704" s="22" t="inlineStr">
        <is>
          <t>SOLD</t>
        </is>
      </c>
      <c r="I704" s="18" t="n">
        <v>58300</v>
      </c>
      <c r="J704" s="23" t="inlineStr">
        <is>
          <t>NOTFOUND</t>
        </is>
      </c>
      <c r="K704" s="20" t="n">
        <v>0</v>
      </c>
      <c r="L704" s="4" t="inlineStr">
        <is>
          <t>https://www.gucci.com/jp/ja/pr/women/small-leather-goods-for-women/key-cases-charms-for-women/zip-key-case-with-gucci-script-p-7901020OP0N5909</t>
        </is>
      </c>
      <c r="M704" s="5">
        <f t="array" ref="M704">_xlfn.IFS(J704="NOTFOUND",I704,J704&gt;=I704,J704)</f>
        <v/>
      </c>
    </row>
    <row r="705" ht="18" customHeight="1" s="16">
      <c r="A705" s="5" t="n">
        <v>704</v>
      </c>
      <c r="B705" s="5" t="inlineStr">
        <is>
          <t>GU-2956</t>
        </is>
      </c>
      <c r="D705" s="5" t="inlineStr">
        <is>
          <t>GUCCI スクリプト カードケース</t>
        </is>
      </c>
      <c r="E705" s="5" t="inlineStr">
        <is>
          <t>790101 0OP0N 5909</t>
        </is>
      </c>
      <c r="F705" s="5" t="inlineStr">
        <is>
          <t>ライトピンク レザー</t>
        </is>
      </c>
      <c r="G705" s="11" t="inlineStr">
        <is>
          <t>SOLD</t>
        </is>
      </c>
      <c r="H705" s="22" t="inlineStr">
        <is>
          <t>SOLD</t>
        </is>
      </c>
      <c r="I705" s="18" t="n">
        <v>53900</v>
      </c>
      <c r="J705" s="23" t="inlineStr">
        <is>
          <t>NOTFOUND</t>
        </is>
      </c>
      <c r="K705" s="20" t="n">
        <v>0</v>
      </c>
      <c r="L705" s="4" t="inlineStr">
        <is>
          <t>https://www.gucci.com/jp/ja/pr/women/small-leather-goods-for-women/card-coin-cases-for-women/card-case-with-gucci-script-p-7901010OP0N5909</t>
        </is>
      </c>
      <c r="M705" s="5">
        <f t="array" ref="M705">_xlfn.IFS(J705="NOTFOUND",I705,J705&gt;=I705,J705)</f>
        <v/>
      </c>
    </row>
    <row r="706" ht="18" customHeight="1" s="16">
      <c r="A706" s="5" t="n">
        <v>705</v>
      </c>
      <c r="B706" s="5" t="inlineStr">
        <is>
          <t>GU-2957</t>
        </is>
      </c>
      <c r="D706" s="5" t="inlineStr">
        <is>
          <t>GUCCI スクリプト カードケース</t>
        </is>
      </c>
      <c r="E706" s="5" t="inlineStr">
        <is>
          <t>790101 0OP0N 1000</t>
        </is>
      </c>
      <c r="F706" s="5" t="inlineStr">
        <is>
          <t>ブラック レザー</t>
        </is>
      </c>
      <c r="G706" s="11" t="inlineStr">
        <is>
          <t>SOLD</t>
        </is>
      </c>
      <c r="H706" s="22" t="inlineStr">
        <is>
          <t>SOLD</t>
        </is>
      </c>
      <c r="I706" s="18" t="n">
        <v>53900</v>
      </c>
      <c r="J706" s="23" t="inlineStr">
        <is>
          <t>NOTFOUND</t>
        </is>
      </c>
      <c r="K706" s="20" t="n">
        <v>0</v>
      </c>
      <c r="L706" s="4" t="inlineStr">
        <is>
          <t>https://www.gucci.com/jp/ja/pr/women/small-leather-goods-for-women/card-coin-cases-for-women/card-case-with-gucci-script-p-7901010OP0N1000</t>
        </is>
      </c>
      <c r="M706" s="5">
        <f t="array" ref="M706">_xlfn.IFS(J706="NOTFOUND",I706,J706&gt;=I706,J706)</f>
        <v/>
      </c>
    </row>
    <row r="707" ht="18" customHeight="1" s="16">
      <c r="A707" s="5" t="n">
        <v>706</v>
      </c>
      <c r="B707" s="5" t="inlineStr">
        <is>
          <t>GU-2958</t>
        </is>
      </c>
      <c r="D707" s="5" t="inlineStr">
        <is>
          <t>GUCCI スクリプト ウォレット財布</t>
        </is>
      </c>
      <c r="E707" s="5" t="inlineStr">
        <is>
          <t>790100 0OP0N 1000</t>
        </is>
      </c>
      <c r="F707" s="5" t="inlineStr">
        <is>
          <t xml:space="preserve">  -</t>
        </is>
      </c>
      <c r="G707" s="11" t="inlineStr">
        <is>
          <t>SOLD</t>
        </is>
      </c>
      <c r="H707" s="22" t="inlineStr">
        <is>
          <t>SOLD</t>
        </is>
      </c>
      <c r="I707" s="18" t="n">
        <v>75900</v>
      </c>
      <c r="J707" s="23" t="inlineStr">
        <is>
          <t>NOTFOUND</t>
        </is>
      </c>
      <c r="K707" s="20" t="n">
        <v>0</v>
      </c>
      <c r="L707" s="4" t="inlineStr">
        <is>
          <t>https://www.gucci.com/jp/ja/pr/women/small-leather-goods-for-women/folded-wallets-for-women/wallet-with-gucci-script-p-7901000OP0N1000</t>
        </is>
      </c>
      <c r="M707" s="5">
        <f t="array" ref="M707">_xlfn.IFS(J707="NOTFOUND",I707,J707&gt;=I707,J707)</f>
        <v/>
      </c>
    </row>
    <row r="708" ht="18" customHeight="1" s="16">
      <c r="A708" s="5" t="n">
        <v>707</v>
      </c>
      <c r="B708" s="5" t="inlineStr">
        <is>
          <t>GU-2959</t>
        </is>
      </c>
      <c r="D708" s="5" t="inlineStr">
        <is>
          <t>GUCCI スクリプト カードケース</t>
        </is>
      </c>
      <c r="E708" s="5" t="inlineStr">
        <is>
          <t>773428 0OP0N 5909</t>
        </is>
      </c>
      <c r="F708" s="5" t="inlineStr">
        <is>
          <t>ライトピンク レザー</t>
        </is>
      </c>
      <c r="G708" s="11" t="inlineStr">
        <is>
          <t>SOLD</t>
        </is>
      </c>
      <c r="H708" s="22" t="inlineStr">
        <is>
          <t>SOLD</t>
        </is>
      </c>
      <c r="I708" s="18" t="n">
        <v>39600</v>
      </c>
      <c r="J708" s="23" t="inlineStr">
        <is>
          <t>NOTFOUND</t>
        </is>
      </c>
      <c r="K708" s="20" t="n">
        <v>0</v>
      </c>
      <c r="L708" s="4" t="inlineStr">
        <is>
          <t>https://www.gucci.com/jp/ja/pr/women/small-leather-goods-for-women/card-coin-cases-for-women/card-case-with-gucci-script-p-7734280OP0N5909</t>
        </is>
      </c>
      <c r="M708" s="5">
        <f t="array" ref="M708">_xlfn.IFS(J708="NOTFOUND",I708,J708&gt;=I708,J708)</f>
        <v/>
      </c>
    </row>
    <row r="709" ht="18" customHeight="1" s="16">
      <c r="A709" s="5" t="n">
        <v>708</v>
      </c>
      <c r="B709" s="5" t="inlineStr">
        <is>
          <t>GU-2960</t>
        </is>
      </c>
      <c r="D709" s="5" t="inlineStr">
        <is>
          <t>GUCCI スクリプト カードケース</t>
        </is>
      </c>
      <c r="E709" s="5" t="inlineStr">
        <is>
          <t>773428 0OP0N 1000</t>
        </is>
      </c>
      <c r="F709" s="5" t="inlineStr">
        <is>
          <t>ブラック レザー</t>
        </is>
      </c>
      <c r="G709" s="11" t="inlineStr">
        <is>
          <t>SOLD</t>
        </is>
      </c>
      <c r="H709" s="22" t="inlineStr">
        <is>
          <t>SOLD</t>
        </is>
      </c>
      <c r="I709" s="18" t="n">
        <v>39600</v>
      </c>
      <c r="J709" s="23" t="inlineStr">
        <is>
          <t>NOTFOUND</t>
        </is>
      </c>
      <c r="K709" s="20" t="n">
        <v>0</v>
      </c>
      <c r="L709" s="4" t="inlineStr">
        <is>
          <t>https://www.gucci.com/jp/ja/pr/women/small-leather-goods-for-women/card-coin-cases-for-women/card-case-with-gucci-script-p-7734280OP0N1000</t>
        </is>
      </c>
      <c r="M709" s="5">
        <f t="array" ref="M709">_xlfn.IFS(J709="NOTFOUND",I709,J709&gt;=I709,J709)</f>
        <v/>
      </c>
    </row>
    <row r="710" ht="18" customHeight="1" s="16">
      <c r="A710" s="5" t="n">
        <v>709</v>
      </c>
      <c r="B710" s="5" t="inlineStr">
        <is>
          <t>GU-2961</t>
        </is>
      </c>
      <c r="D710" s="5" t="inlineStr">
        <is>
          <t>GUCCI スクリプト ジップアラウンドウォレット財布</t>
        </is>
      </c>
      <c r="E710" s="5" t="inlineStr">
        <is>
          <t>772642 0OP0N 5909</t>
        </is>
      </c>
      <c r="F710" s="5" t="inlineStr">
        <is>
          <t>ピンク レザー</t>
        </is>
      </c>
      <c r="G710" s="11" t="inlineStr">
        <is>
          <t>SOLD</t>
        </is>
      </c>
      <c r="H710" s="22" t="inlineStr">
        <is>
          <t>SOLD</t>
        </is>
      </c>
      <c r="I710" s="18" t="n">
        <v>102850</v>
      </c>
      <c r="J710" s="23" t="inlineStr">
        <is>
          <t>NOTFOUND</t>
        </is>
      </c>
      <c r="K710" s="20" t="n">
        <v>0</v>
      </c>
      <c r="L710" s="4" t="inlineStr">
        <is>
          <t>https://www.gucci.com/jp/ja/pr/women/small-leather-goods-for-women/zip-around-wallets-for-women/zip-around-wallet-with-gucci-script-p-7726420OP0N5909</t>
        </is>
      </c>
      <c r="M710" s="5">
        <f t="array" ref="M710">_xlfn.IFS(J710="NOTFOUND",I710,J710&gt;=I710,J710)</f>
        <v/>
      </c>
    </row>
    <row r="711" ht="18" customHeight="1" s="16">
      <c r="A711" s="5" t="n">
        <v>710</v>
      </c>
      <c r="B711" s="5" t="inlineStr">
        <is>
          <t>GU-2962</t>
        </is>
      </c>
      <c r="D711" s="5" t="inlineStr">
        <is>
          <t>GUCCI スクリプト カードケース ウォレット財布</t>
        </is>
      </c>
      <c r="E711" s="5" t="inlineStr">
        <is>
          <t>772640 0OP0N 5909</t>
        </is>
      </c>
      <c r="F711" s="5" t="inlineStr">
        <is>
          <t>ピンク レザー</t>
        </is>
      </c>
      <c r="G711" s="11" t="inlineStr">
        <is>
          <t>SOLD</t>
        </is>
      </c>
      <c r="H711" s="22" t="inlineStr">
        <is>
          <t>SOLD</t>
        </is>
      </c>
      <c r="I711" s="18" t="n">
        <v>99550</v>
      </c>
      <c r="J711" s="23" t="inlineStr">
        <is>
          <t>NOTFOUND</t>
        </is>
      </c>
      <c r="K711" s="20" t="n">
        <v>0</v>
      </c>
      <c r="L711" s="4" t="inlineStr">
        <is>
          <t>https://www.gucci.com/jp/ja/pr/women/small-leather-goods-for-women/folded-wallets-for-women/card-case-wallet-with-gucci-script-p-7726400OP0N5909</t>
        </is>
      </c>
      <c r="M711" s="5">
        <f t="array" ref="M711">_xlfn.IFS(J711="NOTFOUND",I711,J711&gt;=I711,J711)</f>
        <v/>
      </c>
    </row>
    <row r="712" ht="18" customHeight="1" s="16">
      <c r="A712" s="5" t="n">
        <v>711</v>
      </c>
      <c r="B712" s="5" t="inlineStr">
        <is>
          <t>GU-2963</t>
        </is>
      </c>
      <c r="D712" s="5" t="inlineStr">
        <is>
          <t>GUCCI スクリプト ミニ ウォレット財布</t>
        </is>
      </c>
      <c r="E712" s="5" t="inlineStr">
        <is>
          <t>772639 0OP0N 5909</t>
        </is>
      </c>
      <c r="F712" s="5" t="inlineStr">
        <is>
          <t>ライトピンク レザー</t>
        </is>
      </c>
      <c r="G712" s="11" t="inlineStr">
        <is>
          <t>SOLD</t>
        </is>
      </c>
      <c r="H712" s="22" t="inlineStr">
        <is>
          <t>SOLD</t>
        </is>
      </c>
      <c r="I712" s="18" t="n">
        <v>86900</v>
      </c>
      <c r="J712" s="23" t="inlineStr">
        <is>
          <t>NOTFOUND</t>
        </is>
      </c>
      <c r="K712" s="20" t="n">
        <v>0</v>
      </c>
      <c r="L712" s="4" t="inlineStr">
        <is>
          <t>https://www.gucci.com/jp/ja/pr/women/small-leather-goods-for-women/card-coin-cases-for-women/mini-wallet-with-gucci-script-p-7726390OP0N5909</t>
        </is>
      </c>
      <c r="M712" s="5">
        <f t="array" ref="M712">_xlfn.IFS(J712="NOTFOUND",I712,J712&gt;=I712,J712)</f>
        <v/>
      </c>
    </row>
    <row r="713" ht="18" customHeight="1" s="16">
      <c r="A713" s="5" t="n">
        <v>712</v>
      </c>
      <c r="B713" s="5" t="inlineStr">
        <is>
          <t>GU-2964</t>
        </is>
      </c>
      <c r="D713" s="5" t="inlineStr">
        <is>
          <t>GUCCI スクリプト パイソン ジップアラウンドウォレット財布</t>
        </is>
      </c>
      <c r="E713" s="5" t="inlineStr">
        <is>
          <t>772642 EAAYH 5909</t>
        </is>
      </c>
      <c r="F713" s="5" t="inlineStr">
        <is>
          <t>ピンク</t>
        </is>
      </c>
      <c r="G713" s="10" t="inlineStr">
        <is>
          <t>OneSize</t>
        </is>
      </c>
      <c r="H713" s="17" t="inlineStr">
        <is>
          <t>OneSize</t>
        </is>
      </c>
      <c r="I713" s="18" t="n">
        <v>215600</v>
      </c>
      <c r="J713" s="19" t="n">
        <v>215600</v>
      </c>
      <c r="K713" s="20" t="n">
        <v>5</v>
      </c>
      <c r="L713" s="4" t="inlineStr">
        <is>
          <t>https://www.gucci.com/jp/ja/pr/women/small-leather-goods-for-women/zip-around-wallets-for-women/zip-around-python-wallet-with-gucci-script-p-772642EAAYH5909</t>
        </is>
      </c>
      <c r="M713" s="5">
        <f t="array" ref="M713">_xlfn.IFS(J713="NOTFOUND",I713,J713&gt;=I713,J713)</f>
        <v/>
      </c>
    </row>
    <row r="714" ht="18" customHeight="1" s="16">
      <c r="A714" s="5" t="n">
        <v>713</v>
      </c>
      <c r="B714" s="5" t="inlineStr">
        <is>
          <t>GU-2965</t>
        </is>
      </c>
      <c r="D714" s="5" t="inlineStr">
        <is>
          <t>ジャッキー 1961 チェーンウォレット財布</t>
        </is>
      </c>
      <c r="E714" s="5" t="inlineStr">
        <is>
          <t>652681 14J0G 1000</t>
        </is>
      </c>
      <c r="F714" s="5" t="inlineStr">
        <is>
          <t>ブラック レザー</t>
        </is>
      </c>
      <c r="G714" s="10" t="inlineStr">
        <is>
          <t>OneSize</t>
        </is>
      </c>
      <c r="H714" s="17" t="inlineStr">
        <is>
          <t>OneSize</t>
        </is>
      </c>
      <c r="I714" s="18" t="n">
        <v>170500</v>
      </c>
      <c r="J714" s="19" t="n">
        <v>170500</v>
      </c>
      <c r="K714" s="20" t="n">
        <v>5</v>
      </c>
      <c r="L714" s="4" t="inlineStr">
        <is>
          <t>https://www.gucci.com/jp/ja/pr/women/small-leather-goods-for-women/continental-wallets-for-women/jackie-1961-chain-wallet-p-65268114J0G1000</t>
        </is>
      </c>
      <c r="M714" s="5">
        <f t="array" ref="M714">_xlfn.IFS(J714="NOTFOUND",I714,J714&gt;=I714,J714)</f>
        <v/>
      </c>
    </row>
    <row r="715" ht="18" customHeight="1" s="16">
      <c r="A715" s="5" t="n">
        <v>714</v>
      </c>
      <c r="B715" s="5" t="inlineStr">
        <is>
          <t>GU-2966</t>
        </is>
      </c>
      <c r="D715" s="5" t="inlineStr">
        <is>
          <t>ジャッキー 1961 チェーンウォレット財布</t>
        </is>
      </c>
      <c r="E715" s="5" t="inlineStr">
        <is>
          <t>652681 HUHHG 8565</t>
        </is>
      </c>
      <c r="F715" s="5" t="inlineStr">
        <is>
          <t>ベージュ＆ブラウン GGスプリーム キャンバス</t>
        </is>
      </c>
      <c r="G715" s="10" t="inlineStr">
        <is>
          <t>OneSize</t>
        </is>
      </c>
      <c r="H715" s="17" t="inlineStr">
        <is>
          <t>OneSize</t>
        </is>
      </c>
      <c r="I715" s="18" t="n">
        <v>159500</v>
      </c>
      <c r="J715" s="19" t="n">
        <v>159500</v>
      </c>
      <c r="K715" s="20" t="n">
        <v>5</v>
      </c>
      <c r="L715" s="4" t="inlineStr">
        <is>
          <t>https://www.gucci.com/jp/ja/pr/women/small-leather-goods-for-women/continental-wallets-for-women/jackie-1961-chain-wallet-p-652681HUHHG8565</t>
        </is>
      </c>
      <c r="M715" s="5">
        <f t="array" ref="M715">_xlfn.IFS(J715="NOTFOUND",I715,J715&gt;=I715,J715)</f>
        <v/>
      </c>
    </row>
    <row r="716" ht="18" customHeight="1" s="16">
      <c r="A716" s="5" t="n">
        <v>715</v>
      </c>
      <c r="B716" s="5" t="inlineStr">
        <is>
          <t>GU-2967</t>
        </is>
      </c>
      <c r="D716" s="5" t="inlineStr">
        <is>
          <t>ジャッキー 1961 カードケース ウォレット財布</t>
        </is>
      </c>
      <c r="E716" s="5" t="inlineStr">
        <is>
          <t>645536 AABXM 1523</t>
        </is>
      </c>
      <c r="F716" s="5" t="inlineStr">
        <is>
          <t>トープ レザー</t>
        </is>
      </c>
      <c r="G716" s="10" t="inlineStr">
        <is>
          <t>OneSize</t>
        </is>
      </c>
      <c r="H716" s="17" t="inlineStr">
        <is>
          <t>OneSize</t>
        </is>
      </c>
      <c r="I716" s="18" t="n">
        <v>117700</v>
      </c>
      <c r="J716" s="19" t="n">
        <v>117700</v>
      </c>
      <c r="K716" s="20" t="n">
        <v>5</v>
      </c>
      <c r="L716" s="4" t="inlineStr">
        <is>
          <t>https://www.gucci.com/jp/ja/pr/women/small-leather-goods-for-women/folded-wallets-for-women/jackie-1961-card-case-wallet-p-645536AABXM1523</t>
        </is>
      </c>
      <c r="M716" s="5">
        <f t="array" ref="M716">_xlfn.IFS(J716="NOTFOUND",I716,J716&gt;=I716,J716)</f>
        <v/>
      </c>
    </row>
    <row r="717" ht="18" customHeight="1" s="16">
      <c r="A717" s="5" t="n">
        <v>716</v>
      </c>
      <c r="B717" s="5" t="inlineStr">
        <is>
          <t>GU-2968</t>
        </is>
      </c>
      <c r="D717" s="5" t="inlineStr">
        <is>
          <t>ジャッキー 1961 カードケース ウォレット財布</t>
        </is>
      </c>
      <c r="E717" s="5" t="inlineStr">
        <is>
          <t>645536 AABXM 6207</t>
        </is>
      </c>
      <c r="F717" s="5" t="inlineStr">
        <is>
          <t>グッチ ロッソ アンコーラ（深い赤）レザー</t>
        </is>
      </c>
      <c r="G717" s="10" t="inlineStr">
        <is>
          <t>OneSize</t>
        </is>
      </c>
      <c r="H717" s="17" t="inlineStr">
        <is>
          <t>OneSize</t>
        </is>
      </c>
      <c r="I717" s="18" t="n">
        <v>117700</v>
      </c>
      <c r="J717" s="19" t="n">
        <v>117700</v>
      </c>
      <c r="K717" s="20" t="n">
        <v>5</v>
      </c>
      <c r="L717" s="4" t="inlineStr">
        <is>
          <t>https://www.gucci.com/jp/ja/pr/women/small-leather-goods-for-women/folded-wallets-for-women/jackie-1961-card-case-wallet-p-645536AABXM6207</t>
        </is>
      </c>
      <c r="M717" s="5">
        <f t="array" ref="M717">_xlfn.IFS(J717="NOTFOUND",I717,J717&gt;=I717,J717)</f>
        <v/>
      </c>
    </row>
    <row r="718" ht="18" customHeight="1" s="16">
      <c r="A718" s="5" t="n">
        <v>717</v>
      </c>
      <c r="B718" s="5" t="inlineStr">
        <is>
          <t>GU-2969</t>
        </is>
      </c>
      <c r="D718" s="5" t="inlineStr">
        <is>
          <t>ジャッキー 1961 カードケース ウォレット財布</t>
        </is>
      </c>
      <c r="E718" s="5" t="inlineStr">
        <is>
          <t>645536 AABXM 1000</t>
        </is>
      </c>
      <c r="F718" s="5" t="inlineStr">
        <is>
          <t>ブラック レザー</t>
        </is>
      </c>
      <c r="G718" s="10" t="inlineStr">
        <is>
          <t>OneSize</t>
        </is>
      </c>
      <c r="H718" s="17" t="inlineStr">
        <is>
          <t>OneSize</t>
        </is>
      </c>
      <c r="I718" s="18" t="n">
        <v>117700</v>
      </c>
      <c r="J718" s="19" t="n">
        <v>117700</v>
      </c>
      <c r="K718" s="20" t="n">
        <v>5</v>
      </c>
      <c r="L718" s="4" t="inlineStr">
        <is>
          <t>https://www.gucci.com/jp/ja/pr/women/small-leather-goods-for-women/folded-wallets-for-women/jackie-1961-card-case-wallet-p-645536AABXM1000</t>
        </is>
      </c>
      <c r="M718" s="5">
        <f t="array" ref="M718">_xlfn.IFS(J718="NOTFOUND",I718,J718&gt;=I718,J718)</f>
        <v/>
      </c>
    </row>
    <row r="719" ht="18" customHeight="1" s="16">
      <c r="A719" s="5" t="n">
        <v>718</v>
      </c>
      <c r="B719" s="5" t="inlineStr">
        <is>
          <t>GU-2970</t>
        </is>
      </c>
      <c r="D719" s="5" t="inlineStr">
        <is>
          <t>ジャッキー 1961 カードケース ウォレット財布</t>
        </is>
      </c>
      <c r="E719" s="5" t="inlineStr">
        <is>
          <t>645536 HUHHG 8565</t>
        </is>
      </c>
      <c r="F719" s="5" t="inlineStr">
        <is>
          <t>ベージュ＆エボニー</t>
        </is>
      </c>
      <c r="G719" s="10" t="inlineStr">
        <is>
          <t>OneSize</t>
        </is>
      </c>
      <c r="H719" s="17" t="inlineStr">
        <is>
          <t>OneSize</t>
        </is>
      </c>
      <c r="I719" s="18" t="n">
        <v>82500</v>
      </c>
      <c r="J719" s="19" t="n">
        <v>82500</v>
      </c>
      <c r="K719" s="20" t="n">
        <v>5</v>
      </c>
      <c r="L719" s="4" t="inlineStr">
        <is>
          <t>https://www.gucci.com/jp/ja/pr/women/small-leather-goods-for-women/folded-wallets-for-women/jackie-1961-card-case-wallet-p-645536HUHHG8565</t>
        </is>
      </c>
      <c r="M719" s="5">
        <f t="array" ref="M719">_xlfn.IFS(J719="NOTFOUND",I719,J719&gt;=I719,J719)</f>
        <v/>
      </c>
    </row>
    <row r="720" ht="18" customHeight="1" s="16">
      <c r="A720" s="5" t="n">
        <v>719</v>
      </c>
      <c r="B720" s="5" t="inlineStr">
        <is>
          <t>GU-2971</t>
        </is>
      </c>
      <c r="D720" s="5" t="inlineStr">
        <is>
          <t>オフィディア 二つ折り ウォレット財布</t>
        </is>
      </c>
      <c r="E720" s="5" t="inlineStr">
        <is>
          <t>813296 96IWG 8745</t>
        </is>
      </c>
      <c r="F720" s="5" t="inlineStr">
        <is>
          <t>ベージュ＆ダークブラウン GGスプリーム キャンバス</t>
        </is>
      </c>
      <c r="G720" s="11" t="inlineStr">
        <is>
          <t>SOLD</t>
        </is>
      </c>
      <c r="H720" s="22" t="inlineStr">
        <is>
          <t>SOLD</t>
        </is>
      </c>
      <c r="I720" s="18" t="n">
        <v>91300</v>
      </c>
      <c r="J720" s="23" t="inlineStr">
        <is>
          <t>NOTFOUND</t>
        </is>
      </c>
      <c r="K720" s="20" t="n">
        <v>0</v>
      </c>
      <c r="L720" s="4" t="inlineStr">
        <is>
          <t>https://www.gucci.com/jp/ja/pr/women/small-leather-goods-for-women/folded-wallets-for-women/ophidia-bi-fold-wallet-p-81329696IWG8745</t>
        </is>
      </c>
      <c r="M720" s="5">
        <f t="array" ref="M720">_xlfn.IFS(J720="NOTFOUND",I720,J720&gt;=I720,J720)</f>
        <v/>
      </c>
    </row>
    <row r="721" ht="18" customHeight="1" s="16">
      <c r="A721" s="5" t="n">
        <v>720</v>
      </c>
      <c r="B721" s="5" t="inlineStr">
        <is>
          <t>GU-2972</t>
        </is>
      </c>
      <c r="D721" s="5" t="inlineStr">
        <is>
          <t>オフィディア スーパーミニ ショルダーバッグ</t>
        </is>
      </c>
      <c r="E721" s="5" t="inlineStr">
        <is>
          <t>795466 FABIA 9741</t>
        </is>
      </c>
      <c r="F721" s="5" t="inlineStr">
        <is>
          <t>ベージュ＆エボニー GGスプリーム キャンバス</t>
        </is>
      </c>
      <c r="G721" s="10" t="inlineStr">
        <is>
          <t>OneSize</t>
        </is>
      </c>
      <c r="H721" s="17" t="inlineStr">
        <is>
          <t>OneSize</t>
        </is>
      </c>
      <c r="I721" s="18" t="n">
        <v>214500</v>
      </c>
      <c r="J721" s="19" t="n">
        <v>214500</v>
      </c>
      <c r="K721" s="20" t="n">
        <v>5</v>
      </c>
      <c r="L721" s="4" t="inlineStr">
        <is>
          <t>https://www.gucci.com/jp/ja/pr/women/small-leather-goods-for-women/strap-chain-wallets/ophidia-super-mini-shoulder-bag-p-795466FABIA9741</t>
        </is>
      </c>
      <c r="M721" s="5">
        <f t="array" ref="M721">_xlfn.IFS(J721="NOTFOUND",I721,J721&gt;=I721,J721)</f>
        <v/>
      </c>
    </row>
    <row r="722" ht="18" customHeight="1" s="16">
      <c r="A722" s="5" t="n">
        <v>721</v>
      </c>
      <c r="B722" s="5" t="inlineStr">
        <is>
          <t>GU-2973</t>
        </is>
      </c>
      <c r="D722" s="5" t="inlineStr">
        <is>
          <t>オフィディア パスポートケース</t>
        </is>
      </c>
      <c r="E722" s="5" t="inlineStr">
        <is>
          <t>795158 96IWG 8745</t>
        </is>
      </c>
      <c r="F722" s="5" t="inlineStr">
        <is>
          <t xml:space="preserve">  -</t>
        </is>
      </c>
      <c r="G722" s="10" t="inlineStr">
        <is>
          <t>OneSize</t>
        </is>
      </c>
      <c r="H722" s="17" t="inlineStr">
        <is>
          <t>OneSize</t>
        </is>
      </c>
      <c r="I722" s="18" t="n">
        <v>62700</v>
      </c>
      <c r="J722" s="19" t="n">
        <v>62700</v>
      </c>
      <c r="K722" s="20" t="n">
        <v>5</v>
      </c>
      <c r="L722" s="4" t="inlineStr">
        <is>
          <t>https://www.gucci.com/jp/ja/pr/women/small-leather-goods-for-women/card-coin-cases-for-women/ophidia-passport-case-p-79515896IWG8745</t>
        </is>
      </c>
      <c r="M722" s="5">
        <f t="array" ref="M722">_xlfn.IFS(J722="NOTFOUND",I722,J722&gt;=I722,J722)</f>
        <v/>
      </c>
    </row>
    <row r="723" ht="18" customHeight="1" s="16">
      <c r="A723" s="5" t="n">
        <v>722</v>
      </c>
      <c r="B723" s="5" t="inlineStr">
        <is>
          <t>GU-2974</t>
        </is>
      </c>
      <c r="D723" s="5" t="inlineStr">
        <is>
          <t>オフィディア キーケース</t>
        </is>
      </c>
      <c r="E723" s="5" t="inlineStr">
        <is>
          <t>772321 K9GSG 8367</t>
        </is>
      </c>
      <c r="F723" s="5" t="inlineStr">
        <is>
          <t>ベージュ＆エボニー GGスプリーム キャンバス</t>
        </is>
      </c>
      <c r="G723" s="11" t="inlineStr">
        <is>
          <t>SOLD</t>
        </is>
      </c>
      <c r="H723" s="22" t="inlineStr">
        <is>
          <t>SOLD</t>
        </is>
      </c>
      <c r="I723" s="18" t="n">
        <v>45100</v>
      </c>
      <c r="J723" s="23" t="inlineStr">
        <is>
          <t>NOTFOUND</t>
        </is>
      </c>
      <c r="K723" s="20" t="n">
        <v>0</v>
      </c>
      <c r="L723" s="4" t="inlineStr">
        <is>
          <t>https://www.gucci.com/jp/ja/pr/women/small-leather-goods-for-women/key-cases-charms-for-women/ophidia-key-case-p-772321K9GSG8367</t>
        </is>
      </c>
      <c r="M723" s="5">
        <f t="array" ref="M723">_xlfn.IFS(J723="NOTFOUND",I723,J723&gt;=I723,J723)</f>
        <v/>
      </c>
    </row>
    <row r="724" ht="18" customHeight="1" s="16">
      <c r="A724" s="5" t="n">
        <v>723</v>
      </c>
      <c r="B724" s="5" t="inlineStr">
        <is>
          <t>GU-2975</t>
        </is>
      </c>
      <c r="D724" s="5" t="inlineStr">
        <is>
          <t>オフィディア チェーン ウォレット財布</t>
        </is>
      </c>
      <c r="E724" s="5" t="inlineStr">
        <is>
          <t>772309 96IWG 8745</t>
        </is>
      </c>
      <c r="F724" s="5" t="inlineStr">
        <is>
          <t xml:space="preserve">  -</t>
        </is>
      </c>
      <c r="G724" s="10" t="inlineStr">
        <is>
          <t>OneSize</t>
        </is>
      </c>
      <c r="H724" s="17" t="inlineStr">
        <is>
          <t>OneSize</t>
        </is>
      </c>
      <c r="I724" s="18" t="n">
        <v>140800</v>
      </c>
      <c r="J724" s="19" t="n">
        <v>140800</v>
      </c>
      <c r="K724" s="20" t="n">
        <v>5</v>
      </c>
      <c r="L724" s="4" t="inlineStr">
        <is>
          <t>https://www.gucci.com/jp/ja/pr/women/small-leather-goods-for-women/continental-wallets-for-women/ophidia-chain-wallet-p-77230996IWG8745</t>
        </is>
      </c>
      <c r="M724" s="5">
        <f t="array" ref="M724">_xlfn.IFS(J724="NOTFOUND",I724,J724&gt;=I724,J724)</f>
        <v/>
      </c>
    </row>
    <row r="725" ht="18" customHeight="1" s="16">
      <c r="A725" s="5" t="n">
        <v>724</v>
      </c>
      <c r="B725" s="5" t="inlineStr">
        <is>
          <t>GU-2976</t>
        </is>
      </c>
      <c r="D725" s="5" t="inlineStr">
        <is>
          <t>オフィディア カードケース ウォレット財布</t>
        </is>
      </c>
      <c r="E725" s="5" t="inlineStr">
        <is>
          <t>725662 96IWG 8745</t>
        </is>
      </c>
      <c r="F725" s="5" t="inlineStr">
        <is>
          <t xml:space="preserve">  -</t>
        </is>
      </c>
      <c r="G725" s="10" t="inlineStr">
        <is>
          <t>OneSize</t>
        </is>
      </c>
      <c r="H725" s="17" t="inlineStr">
        <is>
          <t>OneSize</t>
        </is>
      </c>
      <c r="I725" s="18" t="n">
        <v>80300</v>
      </c>
      <c r="J725" s="19" t="n">
        <v>80300</v>
      </c>
      <c r="K725" s="20" t="n">
        <v>5</v>
      </c>
      <c r="L725" s="4" t="inlineStr">
        <is>
          <t>https://www.gucci.com/jp/ja/pr/women/small-leather-goods-for-women/card-coin-cases-for-women/ophidia-card-case-wallet-p-72566296IWG8745</t>
        </is>
      </c>
      <c r="M725" s="5">
        <f t="array" ref="M725">_xlfn.IFS(J725="NOTFOUND",I725,J725&gt;=I725,J725)</f>
        <v/>
      </c>
    </row>
    <row r="726" ht="18" customHeight="1" s="16">
      <c r="A726" s="5" t="n">
        <v>725</v>
      </c>
      <c r="B726" s="5" t="inlineStr">
        <is>
          <t>GU-2977</t>
        </is>
      </c>
      <c r="D726" s="5" t="inlineStr">
        <is>
          <t>オフィディア カードケース ウォレット財布</t>
        </is>
      </c>
      <c r="E726" s="5" t="inlineStr">
        <is>
          <t>658552 96IWG 8745</t>
        </is>
      </c>
      <c r="F726" s="5" t="inlineStr">
        <is>
          <t xml:space="preserve">  -</t>
        </is>
      </c>
      <c r="G726" s="11" t="inlineStr">
        <is>
          <t>SOLD</t>
        </is>
      </c>
      <c r="H726" s="22" t="inlineStr">
        <is>
          <t>SOLD</t>
        </is>
      </c>
      <c r="I726" s="18" t="n">
        <v>75350</v>
      </c>
      <c r="J726" s="23" t="inlineStr">
        <is>
          <t>NOTFOUND</t>
        </is>
      </c>
      <c r="K726" s="20" t="n">
        <v>0</v>
      </c>
      <c r="L726" s="4" t="inlineStr">
        <is>
          <t>https://www.gucci.com/jp/ja/pr/women/small-leather-goods-for-women/card-coin-cases-for-women/ophidia-card-case-wallet-p-65855296IWG8745</t>
        </is>
      </c>
      <c r="M726" s="5">
        <f t="array" ref="M726">_xlfn.IFS(J726="NOTFOUND",I726,J726&gt;=I726,J726)</f>
        <v/>
      </c>
    </row>
    <row r="727" ht="18" customHeight="1" s="16">
      <c r="A727" s="5" t="n">
        <v>726</v>
      </c>
      <c r="B727" s="5" t="inlineStr">
        <is>
          <t>GU-2978</t>
        </is>
      </c>
      <c r="D727" s="5" t="inlineStr">
        <is>
          <t>オフィディア ラージ コスメティックケース</t>
        </is>
      </c>
      <c r="E727" s="5" t="inlineStr">
        <is>
          <t>625551 96IWG 8745</t>
        </is>
      </c>
      <c r="F727" s="5" t="inlineStr">
        <is>
          <t xml:space="preserve">  -</t>
        </is>
      </c>
      <c r="G727" s="10" t="inlineStr">
        <is>
          <t>OneSize</t>
        </is>
      </c>
      <c r="H727" s="17" t="inlineStr">
        <is>
          <t>OneSize</t>
        </is>
      </c>
      <c r="I727" s="18" t="n">
        <v>70400</v>
      </c>
      <c r="J727" s="19" t="n">
        <v>70400</v>
      </c>
      <c r="K727" s="20" t="n">
        <v>5</v>
      </c>
      <c r="L727" s="4" t="inlineStr">
        <is>
          <t>https://www.gucci.com/jp/ja/pr/women/small-leather-goods-for-women/pouches-for-women/ophidia-large-cosmetic-case-p-62555196IWG8745</t>
        </is>
      </c>
      <c r="M727" s="5">
        <f t="array" ref="M727">_xlfn.IFS(J727="NOTFOUND",I727,J727&gt;=I727,J727)</f>
        <v/>
      </c>
    </row>
    <row r="728" ht="18" customHeight="1" s="16">
      <c r="A728" s="5" t="n">
        <v>727</v>
      </c>
      <c r="B728" s="5" t="inlineStr">
        <is>
          <t>GU-2979</t>
        </is>
      </c>
      <c r="D728" s="5" t="inlineStr">
        <is>
          <t>オフィディア GGキーケース</t>
        </is>
      </c>
      <c r="E728" s="5" t="inlineStr">
        <is>
          <t>603732 96IWT 8745</t>
        </is>
      </c>
      <c r="F728" s="5" t="inlineStr">
        <is>
          <t xml:space="preserve">  -</t>
        </is>
      </c>
      <c r="G728" s="10" t="inlineStr">
        <is>
          <t>OneSize</t>
        </is>
      </c>
      <c r="H728" s="17" t="inlineStr">
        <is>
          <t>OneSize</t>
        </is>
      </c>
      <c r="I728" s="18" t="n">
        <v>46750</v>
      </c>
      <c r="J728" s="19" t="n">
        <v>46750</v>
      </c>
      <c r="K728" s="20" t="n">
        <v>5</v>
      </c>
      <c r="L728" s="4" t="inlineStr">
        <is>
          <t>https://www.gucci.com/jp/ja/pr/men/small-leather-goods-for-men/key-rings-key-cases-for-men/ophidia-key-case-p-60373296IWT8745</t>
        </is>
      </c>
      <c r="M728" s="5">
        <f t="array" ref="M728">_xlfn.IFS(J728="NOTFOUND",I728,J728&gt;=I728,J728)</f>
        <v/>
      </c>
    </row>
    <row r="729" ht="18" customHeight="1" s="16">
      <c r="A729" s="5" t="n">
        <v>728</v>
      </c>
      <c r="B729" s="5" t="inlineStr">
        <is>
          <t>GU-2980</t>
        </is>
      </c>
      <c r="D729" s="5" t="inlineStr">
        <is>
          <t>オフィディア GG ウォレット財布</t>
        </is>
      </c>
      <c r="E729" s="5" t="inlineStr">
        <is>
          <t>598662 96IWG 8745</t>
        </is>
      </c>
      <c r="F729" s="5" t="inlineStr">
        <is>
          <t>GGスプリーム</t>
        </is>
      </c>
      <c r="G729" s="10" t="inlineStr">
        <is>
          <t>OneSize</t>
        </is>
      </c>
      <c r="H729" s="22" t="inlineStr">
        <is>
          <t>SOLD</t>
        </is>
      </c>
      <c r="I729" s="18" t="n">
        <v>95700</v>
      </c>
      <c r="J729" s="19" t="n">
        <v>95700</v>
      </c>
      <c r="K729" s="20" t="n">
        <v>0</v>
      </c>
      <c r="L729" s="4" t="inlineStr">
        <is>
          <t>https://www.gucci.com/jp/ja/pr/women/small-leather-goods-for-women/folded-wallets-for-women/ophidia-card-case-wallet-p-59866296IWG8745</t>
        </is>
      </c>
      <c r="M729" s="5">
        <f t="array" ref="M729">_xlfn.IFS(J729="NOTFOUND",I729,J729&gt;=I729,J729)</f>
        <v/>
      </c>
    </row>
    <row r="730" ht="18" customHeight="1" s="16">
      <c r="A730" s="5" t="n">
        <v>729</v>
      </c>
      <c r="B730" s="5" t="inlineStr">
        <is>
          <t>GU-2981</t>
        </is>
      </c>
      <c r="D730" s="5" t="inlineStr">
        <is>
          <t>オフィディア GG ポーチ</t>
        </is>
      </c>
      <c r="E730" s="5" t="inlineStr">
        <is>
          <t>598234 96IWT 8745</t>
        </is>
      </c>
      <c r="F730" s="5" t="inlineStr">
        <is>
          <t xml:space="preserve">  -</t>
        </is>
      </c>
      <c r="G730" s="10" t="inlineStr">
        <is>
          <t>OneSize</t>
        </is>
      </c>
      <c r="H730" s="17" t="inlineStr">
        <is>
          <t>OneSize</t>
        </is>
      </c>
      <c r="I730" s="18" t="n">
        <v>127600</v>
      </c>
      <c r="J730" s="19" t="n">
        <v>127600</v>
      </c>
      <c r="K730" s="20" t="n">
        <v>5</v>
      </c>
      <c r="L730" s="4" t="inlineStr">
        <is>
          <t>https://www.gucci.com/jp/ja/pr/women/small-leather-goods-for-women/pouches-for-women/ophidia-pouch-p-59823496IWT8745</t>
        </is>
      </c>
      <c r="M730" s="5">
        <f t="array" ref="M730">_xlfn.IFS(J730="NOTFOUND",I730,J730&gt;=I730,J730)</f>
        <v/>
      </c>
    </row>
    <row r="731" ht="18" customHeight="1" s="16">
      <c r="A731" s="5" t="n">
        <v>730</v>
      </c>
      <c r="B731" s="5" t="inlineStr">
        <is>
          <t>GU-2982</t>
        </is>
      </c>
      <c r="D731" s="5" t="inlineStr">
        <is>
          <t>オフィディア GG ジップアラウンドウォレット財布</t>
        </is>
      </c>
      <c r="E731" s="5" t="inlineStr">
        <is>
          <t>523154 96IWG 8745</t>
        </is>
      </c>
      <c r="F731" s="5" t="inlineStr">
        <is>
          <t>GGスプリーム</t>
        </is>
      </c>
      <c r="G731" s="10" t="inlineStr">
        <is>
          <t>OneSize</t>
        </is>
      </c>
      <c r="H731" s="17" t="inlineStr">
        <is>
          <t>OneSize</t>
        </is>
      </c>
      <c r="I731" s="18" t="n">
        <v>101200</v>
      </c>
      <c r="J731" s="19" t="n">
        <v>101200</v>
      </c>
      <c r="K731" s="20" t="n">
        <v>5</v>
      </c>
      <c r="L731" s="4" t="inlineStr">
        <is>
          <t>https://www.gucci.com/jp/ja/pr/women/small-leather-goods-for-women/zip-around-wallets-for-women/ophidia-zip-around-wallet-p-52315496IWG8745</t>
        </is>
      </c>
      <c r="M731" s="5">
        <f t="array" ref="M731">_xlfn.IFS(J731="NOTFOUND",I731,J731&gt;=I731,J731)</f>
        <v/>
      </c>
    </row>
    <row r="732" ht="18" customHeight="1" s="16">
      <c r="A732" s="5" t="n">
        <v>731</v>
      </c>
      <c r="B732" s="5" t="inlineStr">
        <is>
          <t>GU-2983</t>
        </is>
      </c>
      <c r="D732" s="5" t="inlineStr">
        <is>
          <t>オフィディア GG コンチネンタルウォレット財布</t>
        </is>
      </c>
      <c r="E732" s="5" t="inlineStr">
        <is>
          <t>523153 96IWG 8745</t>
        </is>
      </c>
      <c r="F732" s="5" t="inlineStr">
        <is>
          <t>GGスプリーム</t>
        </is>
      </c>
      <c r="G732" s="10" t="inlineStr">
        <is>
          <t>OneSize</t>
        </is>
      </c>
      <c r="H732" s="17" t="inlineStr">
        <is>
          <t>OneSize</t>
        </is>
      </c>
      <c r="I732" s="18" t="n">
        <v>106700</v>
      </c>
      <c r="J732" s="19" t="n">
        <v>106700</v>
      </c>
      <c r="K732" s="20" t="n">
        <v>5</v>
      </c>
      <c r="L732" s="4" t="inlineStr">
        <is>
          <t>https://www.gucci.com/jp/ja/pr/women/small-leather-goods-for-women/continental-wallets-for-women/ophidia-continental-wallet-p-52315396IWG8745</t>
        </is>
      </c>
      <c r="M732" s="5">
        <f t="array" ref="M732">_xlfn.IFS(J732="NOTFOUND",I732,J732&gt;=I732,J732)</f>
        <v/>
      </c>
    </row>
    <row r="733" ht="18" customHeight="1" s="16">
      <c r="A733" s="5" t="n">
        <v>732</v>
      </c>
      <c r="B733" s="5" t="inlineStr">
        <is>
          <t>GU-2984</t>
        </is>
      </c>
      <c r="D733" s="5" t="inlineStr">
        <is>
          <t>オフィディア スーパーミニ ショルダーバッグ</t>
        </is>
      </c>
      <c r="E733" s="5" t="inlineStr">
        <is>
          <t>816357 2ZGMN 9643</t>
        </is>
      </c>
      <c r="F733" s="5" t="inlineStr">
        <is>
          <t>ベージュ＆ホワイト GGスプリーム キャンバス</t>
        </is>
      </c>
      <c r="G733" s="10" t="inlineStr">
        <is>
          <t>OneSize</t>
        </is>
      </c>
      <c r="H733" s="17" t="inlineStr">
        <is>
          <t>OneSize</t>
        </is>
      </c>
      <c r="I733" s="18" t="n">
        <v>209000</v>
      </c>
      <c r="J733" s="19" t="n">
        <v>209000</v>
      </c>
      <c r="K733" s="20" t="n">
        <v>5</v>
      </c>
      <c r="L733" s="4" t="inlineStr">
        <is>
          <t>https://www.gucci.com/jp/ja/pr/women/handbags/mini-bags-for-women/ophidia-super-mini-shoulder-bag-p-8163572ZGMN9643</t>
        </is>
      </c>
      <c r="M733" s="5">
        <f t="array" ref="M733">_xlfn.IFS(J733="NOTFOUND",I733,J733&gt;=I733,J733)</f>
        <v/>
      </c>
    </row>
    <row r="734" ht="18" customHeight="1" s="16">
      <c r="A734" s="5" t="n">
        <v>733</v>
      </c>
      <c r="B734" s="5" t="inlineStr">
        <is>
          <t>GU-2985</t>
        </is>
      </c>
      <c r="D734" s="5" t="inlineStr">
        <is>
          <t>オフィディア 二つ折り ウォレット財布</t>
        </is>
      </c>
      <c r="E734" s="5" t="inlineStr">
        <is>
          <t>813296 2ZGMN 9643</t>
        </is>
      </c>
      <c r="F734" s="5" t="inlineStr">
        <is>
          <t>ベージュ＆ホワイト GGスプリーム キャンバス</t>
        </is>
      </c>
      <c r="G734" s="10" t="inlineStr">
        <is>
          <t>OneSize</t>
        </is>
      </c>
      <c r="H734" s="17" t="inlineStr">
        <is>
          <t>OneSize</t>
        </is>
      </c>
      <c r="I734" s="18" t="n">
        <v>91300</v>
      </c>
      <c r="J734" s="19" t="n">
        <v>91300</v>
      </c>
      <c r="K734" s="20" t="n">
        <v>5</v>
      </c>
      <c r="L734" s="4" t="inlineStr">
        <is>
          <t>https://www.gucci.com/jp/ja/pr/women/small-leather-goods-for-women/folded-wallets-for-women/ophidia-bi-fold-wallet-p-8132962ZGMN9643</t>
        </is>
      </c>
      <c r="M734" s="5">
        <f t="array" ref="M734">_xlfn.IFS(J734="NOTFOUND",I734,J734&gt;=I734,J734)</f>
        <v/>
      </c>
    </row>
    <row r="735" ht="18" customHeight="1" s="16">
      <c r="A735" s="5" t="n">
        <v>734</v>
      </c>
      <c r="B735" s="5" t="inlineStr">
        <is>
          <t>GU-2986</t>
        </is>
      </c>
      <c r="D735" s="5" t="inlineStr">
        <is>
          <t>オフィディア キーケース</t>
        </is>
      </c>
      <c r="E735" s="5" t="inlineStr">
        <is>
          <t>772321 FACJT 9641</t>
        </is>
      </c>
      <c r="F735" s="5" t="inlineStr">
        <is>
          <t>ベージュ＆オートミール GGスプリーム キャンバス</t>
        </is>
      </c>
      <c r="G735" s="10" t="inlineStr">
        <is>
          <t>OneSize</t>
        </is>
      </c>
      <c r="H735" s="17" t="inlineStr">
        <is>
          <t>OneSize</t>
        </is>
      </c>
      <c r="I735" s="18" t="n">
        <v>45100</v>
      </c>
      <c r="J735" s="19" t="n">
        <v>45100</v>
      </c>
      <c r="K735" s="20" t="n">
        <v>5</v>
      </c>
      <c r="L735" s="4" t="inlineStr">
        <is>
          <t>https://www.gucci.com/jp/ja/pr/women/small-leather-goods-for-women/key-cases-charms-for-women/ophidia-key-case-p-772321FACJT9641</t>
        </is>
      </c>
      <c r="M735" s="5">
        <f t="array" ref="M735">_xlfn.IFS(J735="NOTFOUND",I735,J735&gt;=I735,J735)</f>
        <v/>
      </c>
    </row>
    <row r="736" ht="18" customHeight="1" s="16">
      <c r="A736" s="5" t="n">
        <v>735</v>
      </c>
      <c r="B736" s="5" t="inlineStr">
        <is>
          <t>GU-2987</t>
        </is>
      </c>
      <c r="D736" s="5" t="inlineStr">
        <is>
          <t>オフィディア ミニ バケットバッグ</t>
        </is>
      </c>
      <c r="E736" s="5" t="inlineStr">
        <is>
          <t>760199 FADMG 9795</t>
        </is>
      </c>
      <c r="F736" s="5" t="inlineStr">
        <is>
          <t>ベージュ＆ホワイト GGスプリーム キャンバス</t>
        </is>
      </c>
      <c r="G736" s="11" t="inlineStr">
        <is>
          <t>SOLD</t>
        </is>
      </c>
      <c r="H736" s="22" t="inlineStr">
        <is>
          <t>SOLD</t>
        </is>
      </c>
      <c r="I736" s="18" t="n">
        <v>217800</v>
      </c>
      <c r="J736" s="23" t="inlineStr">
        <is>
          <t>NOTFOUND</t>
        </is>
      </c>
      <c r="K736" s="20" t="n">
        <v>0</v>
      </c>
      <c r="L736" s="4" t="inlineStr">
        <is>
          <t>https://www.gucci.com/jp/ja/pr/women/handbags/mini-bags-for-women/ophidia-mini-bucket-bag-p-760199FADMG9795</t>
        </is>
      </c>
      <c r="M736" s="5">
        <f t="array" ref="M736">_xlfn.IFS(J736="NOTFOUND",I736,J736&gt;=I736,J736)</f>
        <v/>
      </c>
    </row>
    <row r="737" ht="18" customHeight="1" s="16">
      <c r="A737" s="5" t="n">
        <v>736</v>
      </c>
      <c r="B737" s="5" t="inlineStr">
        <is>
          <t>GU-2988</t>
        </is>
      </c>
      <c r="D737" s="5" t="inlineStr">
        <is>
          <t>オフィディア GG カードケース ウォレット財布</t>
        </is>
      </c>
      <c r="E737" s="5" t="inlineStr">
        <is>
          <t>598662 UULAG 9682</t>
        </is>
      </c>
      <c r="F737" s="5" t="inlineStr">
        <is>
          <t>ベージュ＆ホワイト スプリーム キャンバス</t>
        </is>
      </c>
      <c r="G737" s="10" t="inlineStr">
        <is>
          <t>OneSize</t>
        </is>
      </c>
      <c r="H737" s="17" t="inlineStr">
        <is>
          <t>OneSize</t>
        </is>
      </c>
      <c r="I737" s="18" t="n">
        <v>95700</v>
      </c>
      <c r="J737" s="19" t="n">
        <v>95700</v>
      </c>
      <c r="K737" s="20" t="n">
        <v>5</v>
      </c>
      <c r="L737" s="4" t="inlineStr">
        <is>
          <t>https://www.gucci.com/jp/ja/pr/women/small-leather-goods-for-women/folded-wallets-for-women/ophidia-card-case-wallet-p-598662UULAG9682</t>
        </is>
      </c>
      <c r="M737" s="5">
        <f t="array" ref="M737">_xlfn.IFS(J737="NOTFOUND",I737,J737&gt;=I737,J737)</f>
        <v/>
      </c>
    </row>
    <row r="738" ht="18" customHeight="1" s="16">
      <c r="A738" s="5" t="n">
        <v>737</v>
      </c>
      <c r="B738" s="5" t="inlineStr">
        <is>
          <t>GU-2989</t>
        </is>
      </c>
      <c r="D738" s="5" t="inlineStr">
        <is>
          <t>オフィディア  GG カードケース ウォレット財布</t>
        </is>
      </c>
      <c r="E738" s="5" t="inlineStr">
        <is>
          <t>523155 UULAG 9682</t>
        </is>
      </c>
      <c r="F738" s="5" t="inlineStr">
        <is>
          <t>ベージュ＆ホワイト スプリーム</t>
        </is>
      </c>
      <c r="G738" s="10" t="inlineStr">
        <is>
          <t>OneSize</t>
        </is>
      </c>
      <c r="H738" s="17" t="inlineStr">
        <is>
          <t>OneSize</t>
        </is>
      </c>
      <c r="I738" s="18" t="n">
        <v>68200</v>
      </c>
      <c r="J738" s="19" t="n">
        <v>68200</v>
      </c>
      <c r="K738" s="20" t="n">
        <v>5</v>
      </c>
      <c r="L738" s="4" t="inlineStr">
        <is>
          <t>https://www.gucci.com/jp/ja/pr/women/small-leather-goods-for-women/folded-wallets-for-women/ophidia-card-case-wallet-p-523155UULAG9682</t>
        </is>
      </c>
      <c r="M738" s="5">
        <f t="array" ref="M738">_xlfn.IFS(J738="NOTFOUND",I738,J738&gt;=I738,J738)</f>
        <v/>
      </c>
    </row>
    <row r="739" ht="18" customHeight="1" s="16">
      <c r="A739" s="5" t="n">
        <v>738</v>
      </c>
      <c r="B739" s="5" t="inlineStr">
        <is>
          <t>GU-2990</t>
        </is>
      </c>
      <c r="D739" s="5" t="inlineStr">
        <is>
          <t>オフィディア GG コンチネンタルウォレット財布</t>
        </is>
      </c>
      <c r="E739" s="5" t="inlineStr">
        <is>
          <t>523153 UULAG 9682</t>
        </is>
      </c>
      <c r="F739" s="5" t="inlineStr">
        <is>
          <t>ベージュ＆ホワイト スプリーム</t>
        </is>
      </c>
      <c r="G739" s="10" t="inlineStr">
        <is>
          <t>OneSize</t>
        </is>
      </c>
      <c r="H739" s="17" t="inlineStr">
        <is>
          <t>OneSize</t>
        </is>
      </c>
      <c r="I739" s="18" t="n">
        <v>106700</v>
      </c>
      <c r="J739" s="19" t="n">
        <v>106700</v>
      </c>
      <c r="K739" s="20" t="n">
        <v>5</v>
      </c>
      <c r="L739" s="4" t="inlineStr">
        <is>
          <t>https://www.gucci.com/jp/ja/pr/women/small-leather-goods-for-women/continental-wallets-for-women/ophidia-continental-wallet-p-523153UULAG9682</t>
        </is>
      </c>
      <c r="M739" s="5">
        <f t="array" ref="M739">_xlfn.IFS(J739="NOTFOUND",I739,J739&gt;=I739,J739)</f>
        <v/>
      </c>
    </row>
    <row r="740" ht="18" customHeight="1" s="16">
      <c r="A740" s="5" t="n">
        <v>739</v>
      </c>
      <c r="B740" s="5" t="inlineStr">
        <is>
          <t>GU-2991</t>
        </is>
      </c>
      <c r="D740" s="5" t="inlineStr">
        <is>
          <t>オフィディア  スーパーミニ ショルダーバッグ</t>
        </is>
      </c>
      <c r="E740" s="5" t="inlineStr">
        <is>
          <t>795170 FAD09 6241</t>
        </is>
      </c>
      <c r="F740" s="5" t="inlineStr">
        <is>
          <t>ダスティピンク GGスプリーム キャンバス</t>
        </is>
      </c>
      <c r="G740" s="11" t="inlineStr">
        <is>
          <t>SOLD</t>
        </is>
      </c>
      <c r="H740" s="22" t="inlineStr">
        <is>
          <t>SOLD</t>
        </is>
      </c>
      <c r="I740" s="18" t="n">
        <v>214500</v>
      </c>
      <c r="J740" s="23" t="inlineStr">
        <is>
          <t>NOTFOUND</t>
        </is>
      </c>
      <c r="K740" s="20" t="n">
        <v>0</v>
      </c>
      <c r="L740" s="4" t="inlineStr">
        <is>
          <t>https://www.gucci.com/jp/ja/pr/women/handbags/mini-bags-for-women/ophidia-super-mini-shoulder-bag-p-795170FAD096241</t>
        </is>
      </c>
      <c r="M740" s="5">
        <f t="array" ref="M740">_xlfn.IFS(J740="NOTFOUND",I740,J740&gt;=I740,J740)</f>
        <v/>
      </c>
    </row>
    <row r="741" ht="18" customHeight="1" s="16">
      <c r="A741" s="5" t="n">
        <v>740</v>
      </c>
      <c r="B741" s="5" t="inlineStr">
        <is>
          <t>GU-2992</t>
        </is>
      </c>
      <c r="D741" s="5" t="inlineStr">
        <is>
          <t>オフィディア  スーパーミニ ショルダーバッグ</t>
        </is>
      </c>
      <c r="E741" s="5" t="inlineStr">
        <is>
          <t>795170 FAD09 8741</t>
        </is>
      </c>
      <c r="F741" s="5" t="inlineStr">
        <is>
          <t>ダスティブルー GGスプリーム キャンバス</t>
        </is>
      </c>
      <c r="G741" s="11" t="inlineStr">
        <is>
          <t>SOLD</t>
        </is>
      </c>
      <c r="H741" s="22" t="inlineStr">
        <is>
          <t>SOLD</t>
        </is>
      </c>
      <c r="I741" s="18" t="n">
        <v>214500</v>
      </c>
      <c r="J741" s="23" t="inlineStr">
        <is>
          <t>NOTFOUND</t>
        </is>
      </c>
      <c r="K741" s="20" t="n">
        <v>0</v>
      </c>
      <c r="L741" s="4" t="inlineStr">
        <is>
          <t>https://www.gucci.com/jp/ja/pr/women/handbags/mini-bags-for-women/ophidia-super-mini-shoulder-bag-p-795170FAD098741</t>
        </is>
      </c>
      <c r="M741" s="5">
        <f t="array" ref="M741">_xlfn.IFS(J741="NOTFOUND",I741,J741&gt;=I741,J741)</f>
        <v/>
      </c>
    </row>
    <row r="742" ht="18" customHeight="1" s="16">
      <c r="A742" s="5" t="n">
        <v>741</v>
      </c>
      <c r="B742" s="5" t="inlineStr">
        <is>
          <t>GU-2993</t>
        </is>
      </c>
      <c r="D742" s="5" t="inlineStr">
        <is>
          <t>オフィディア  スーパーミニバッグ</t>
        </is>
      </c>
      <c r="E742" s="5" t="inlineStr">
        <is>
          <t>781490 FAD03 6241</t>
        </is>
      </c>
      <c r="F742" s="5" t="inlineStr">
        <is>
          <t>ダスティピンク GGスプリーム キャンバス</t>
        </is>
      </c>
      <c r="G742" s="11" t="inlineStr">
        <is>
          <t>SOLD</t>
        </is>
      </c>
      <c r="H742" s="22" t="inlineStr">
        <is>
          <t>SOLD</t>
        </is>
      </c>
      <c r="I742" s="18" t="n">
        <v>231000</v>
      </c>
      <c r="J742" s="23" t="inlineStr">
        <is>
          <t>NOTFOUND</t>
        </is>
      </c>
      <c r="K742" s="20" t="n">
        <v>0</v>
      </c>
      <c r="L742" s="4" t="inlineStr">
        <is>
          <t>https://www.gucci.com/jp/ja/pr/women/handbags/mini-bags-for-women/ophidia-super-mini-bag-p-781490FAD036241</t>
        </is>
      </c>
      <c r="M742" s="5">
        <f t="array" ref="M742">_xlfn.IFS(J742="NOTFOUND",I742,J742&gt;=I742,J742)</f>
        <v/>
      </c>
    </row>
    <row r="743" ht="18" customHeight="1" s="16">
      <c r="A743" s="5" t="n">
        <v>742</v>
      </c>
      <c r="B743" s="5" t="inlineStr">
        <is>
          <t>GU-2994</t>
        </is>
      </c>
      <c r="D743" s="5" t="inlineStr">
        <is>
          <t>オフィディア カードケース</t>
        </is>
      </c>
      <c r="E743" s="5" t="inlineStr">
        <is>
          <t>523159 FAD09 6241</t>
        </is>
      </c>
      <c r="F743" s="5" t="inlineStr">
        <is>
          <t>ダスティピンク GGスプリーム キャンバス</t>
        </is>
      </c>
      <c r="G743" s="11" t="inlineStr">
        <is>
          <t>SOLD</t>
        </is>
      </c>
      <c r="H743" s="22" t="inlineStr">
        <is>
          <t>SOLD</t>
        </is>
      </c>
      <c r="I743" s="18" t="n">
        <v>47300</v>
      </c>
      <c r="J743" s="23" t="inlineStr">
        <is>
          <t>NOTFOUND</t>
        </is>
      </c>
      <c r="K743" s="20" t="n">
        <v>0</v>
      </c>
      <c r="L743" s="4" t="inlineStr">
        <is>
          <t>https://www.gucci.com/jp/ja/pr/women/small-leather-goods-for-women/card-coin-cases-for-women/ophidia-card-case-p-523159FAD096241</t>
        </is>
      </c>
      <c r="M743" s="5">
        <f t="array" ref="M743">_xlfn.IFS(J743="NOTFOUND",I743,J743&gt;=I743,J743)</f>
        <v/>
      </c>
    </row>
    <row r="744" ht="18" customHeight="1" s="16">
      <c r="A744" s="5" t="n">
        <v>743</v>
      </c>
      <c r="B744" s="5" t="inlineStr">
        <is>
          <t>GU-2995</t>
        </is>
      </c>
      <c r="D744" s="5" t="inlineStr">
        <is>
          <t>オフィディア GG カードケース ウォレット財布</t>
        </is>
      </c>
      <c r="E744" s="5" t="inlineStr">
        <is>
          <t>523155 FAD03 6241</t>
        </is>
      </c>
      <c r="F744" s="5" t="inlineStr">
        <is>
          <t>ダスティピンク GGスプリーム キャンバス</t>
        </is>
      </c>
      <c r="G744" s="11" t="inlineStr">
        <is>
          <t>SOLD</t>
        </is>
      </c>
      <c r="H744" s="22" t="inlineStr">
        <is>
          <t>SOLD</t>
        </is>
      </c>
      <c r="I744" s="18" t="n">
        <v>78100</v>
      </c>
      <c r="J744" s="23" t="inlineStr">
        <is>
          <t>NOTFOUND</t>
        </is>
      </c>
      <c r="K744" s="20" t="n">
        <v>0</v>
      </c>
      <c r="L744" s="4" t="inlineStr">
        <is>
          <t>https://www.gucci.com/jp/ja/pr/women/small-leather-goods-for-women/folded-wallets-for-women/ophidia-card-case-wallet-p-523155FAD036241</t>
        </is>
      </c>
      <c r="M744" s="5">
        <f t="array" ref="M744">_xlfn.IFS(J744="NOTFOUND",I744,J744&gt;=I744,J744)</f>
        <v/>
      </c>
    </row>
    <row r="745" ht="18" customHeight="1" s="16">
      <c r="A745" s="5" t="n">
        <v>744</v>
      </c>
      <c r="B745" s="5" t="inlineStr">
        <is>
          <t>GU-2996</t>
        </is>
      </c>
      <c r="D745" s="5" t="inlineStr">
        <is>
          <t>GGシャドウ ミディアム ウォレット財布</t>
        </is>
      </c>
      <c r="E745" s="5" t="inlineStr">
        <is>
          <t>795060 FADM0 9551</t>
        </is>
      </c>
      <c r="F745" s="5" t="inlineStr">
        <is>
          <t>トープ キャンバス</t>
        </is>
      </c>
      <c r="G745" s="11" t="inlineStr">
        <is>
          <t>SOLD</t>
        </is>
      </c>
      <c r="H745" s="22" t="inlineStr">
        <is>
          <t>SOLD</t>
        </is>
      </c>
      <c r="I745" s="18" t="n">
        <v>93500</v>
      </c>
      <c r="J745" s="23" t="inlineStr">
        <is>
          <t>NOTFOUND</t>
        </is>
      </c>
      <c r="K745" s="20" t="n">
        <v>0</v>
      </c>
      <c r="L745" s="4" t="inlineStr">
        <is>
          <t>https://www.gucci.com/jp/ja/pr/women/small-leather-goods-for-women/folded-wallets-for-women/medium-wallet-with-gg-shadow-p-795060FADM09551</t>
        </is>
      </c>
      <c r="M745" s="5">
        <f t="array" ref="M745">_xlfn.IFS(J745="NOTFOUND",I745,J745&gt;=I745,J745)</f>
        <v/>
      </c>
    </row>
    <row r="746" ht="18" customHeight="1" s="16">
      <c r="A746" s="5" t="n">
        <v>745</v>
      </c>
      <c r="B746" s="5" t="inlineStr">
        <is>
          <t>GU-2997</t>
        </is>
      </c>
      <c r="D746" s="5" t="inlineStr">
        <is>
          <t>GGシャドウ ミディアム ウォレット財布</t>
        </is>
      </c>
      <c r="E746" s="5" t="inlineStr">
        <is>
          <t>795060 FADM0 6242</t>
        </is>
      </c>
      <c r="F746" s="5" t="inlineStr">
        <is>
          <t>グッチ ロッソ アンコーラ カラー GGキャンバス</t>
        </is>
      </c>
      <c r="G746" s="11" t="inlineStr">
        <is>
          <t>SOLD</t>
        </is>
      </c>
      <c r="H746" s="22" t="inlineStr">
        <is>
          <t>SOLD</t>
        </is>
      </c>
      <c r="I746" s="18" t="n">
        <v>93500</v>
      </c>
      <c r="J746" s="23" t="inlineStr">
        <is>
          <t>NOTFOUND</t>
        </is>
      </c>
      <c r="K746" s="20" t="n">
        <v>0</v>
      </c>
      <c r="L746" s="4" t="inlineStr">
        <is>
          <t>https://www.gucci.com/jp/ja/pr/women/small-leather-goods-for-women/folded-wallets-for-women/medium-wallet-with-gg-shadow-p-795060FADM06242</t>
        </is>
      </c>
      <c r="M746" s="5">
        <f t="array" ref="M746">_xlfn.IFS(J746="NOTFOUND",I746,J746&gt;=I746,J746)</f>
        <v/>
      </c>
    </row>
    <row r="747" ht="18" customHeight="1" s="16">
      <c r="A747" s="5" t="n">
        <v>746</v>
      </c>
      <c r="B747" s="5" t="inlineStr">
        <is>
          <t>GU-2998</t>
        </is>
      </c>
      <c r="D747" s="5" t="inlineStr">
        <is>
          <t>GGシャドウ ジップアラウンドウォレット財布</t>
        </is>
      </c>
      <c r="E747" s="5" t="inlineStr">
        <is>
          <t>795048 FADM0 9551</t>
        </is>
      </c>
      <c r="F747" s="5" t="inlineStr">
        <is>
          <t xml:space="preserve">  -</t>
        </is>
      </c>
      <c r="G747" s="11" t="inlineStr">
        <is>
          <t>SOLD</t>
        </is>
      </c>
      <c r="H747" s="22" t="inlineStr">
        <is>
          <t>SOLD</t>
        </is>
      </c>
      <c r="I747" s="18" t="n">
        <v>122100</v>
      </c>
      <c r="J747" s="23" t="inlineStr">
        <is>
          <t>NOTFOUND</t>
        </is>
      </c>
      <c r="K747" s="20" t="n">
        <v>0</v>
      </c>
      <c r="L747" s="4" t="inlineStr">
        <is>
          <t>https://www.gucci.com/jp/ja/pr/women/small-leather-goods-for-women/zip-around-wallets-for-women/zip-around-wallet-with-gg-shadow-p-795048FADM09551</t>
        </is>
      </c>
      <c r="M747" s="5">
        <f t="array" ref="M747">_xlfn.IFS(J747="NOTFOUND",I747,J747&gt;=I747,J747)</f>
        <v/>
      </c>
    </row>
    <row r="748" ht="18" customHeight="1" s="16">
      <c r="A748" s="5" t="n">
        <v>747</v>
      </c>
      <c r="B748" s="5" t="inlineStr">
        <is>
          <t>GU-2999</t>
        </is>
      </c>
      <c r="D748" s="5" t="inlineStr">
        <is>
          <t>GGシャドウ カードケース</t>
        </is>
      </c>
      <c r="E748" s="5" t="inlineStr">
        <is>
          <t>795044 FADM0 6242</t>
        </is>
      </c>
      <c r="F748" s="5" t="inlineStr">
        <is>
          <t xml:space="preserve">  -</t>
        </is>
      </c>
      <c r="G748" s="11" t="inlineStr">
        <is>
          <t>SOLD</t>
        </is>
      </c>
      <c r="H748" s="22" t="inlineStr">
        <is>
          <t>SOLD</t>
        </is>
      </c>
      <c r="I748" s="18" t="n">
        <v>52800</v>
      </c>
      <c r="J748" s="23" t="inlineStr">
        <is>
          <t>NOTFOUND</t>
        </is>
      </c>
      <c r="K748" s="20" t="n">
        <v>0</v>
      </c>
      <c r="L748" s="4" t="inlineStr">
        <is>
          <t>https://www.gucci.com/jp/ja/pr/women/small-leather-goods-for-women/card-coin-cases-for-women/card-case-wallet-with-gg-shadow-p-795044FADM06242</t>
        </is>
      </c>
      <c r="M748" s="5">
        <f t="array" ref="M748">_xlfn.IFS(J748="NOTFOUND",I748,J748&gt;=I748,J748)</f>
        <v/>
      </c>
    </row>
    <row r="749" ht="18" customHeight="1" s="16">
      <c r="A749" s="5" t="n">
        <v>748</v>
      </c>
      <c r="B749" s="5" t="inlineStr">
        <is>
          <t>GU-3000</t>
        </is>
      </c>
      <c r="D749" s="5" t="inlineStr">
        <is>
          <t>GGシャドウ IPHONE 15 PRO MAX ケース</t>
        </is>
      </c>
      <c r="E749" s="5" t="inlineStr">
        <is>
          <t>795029 FADM0 9551</t>
        </is>
      </c>
      <c r="F749" s="5" t="inlineStr">
        <is>
          <t xml:space="preserve">  -</t>
        </is>
      </c>
      <c r="G749" s="11" t="inlineStr">
        <is>
          <t>SOLD</t>
        </is>
      </c>
      <c r="H749" s="22" t="inlineStr">
        <is>
          <t>SOLD</t>
        </is>
      </c>
      <c r="I749" s="18" t="n">
        <v>88000</v>
      </c>
      <c r="J749" s="23" t="inlineStr">
        <is>
          <t>NOTFOUND</t>
        </is>
      </c>
      <c r="K749" s="20" t="n">
        <v>0</v>
      </c>
      <c r="L749" s="4" t="inlineStr">
        <is>
          <t>https://www.gucci.com/jp/ja/pr/women/small-leather-goods-for-women/tech-accessories-for-women/case-for-iphone-15-pro-max-with-gg-shadow-p-795029FADM09551</t>
        </is>
      </c>
      <c r="M749" s="5">
        <f t="array" ref="M749">_xlfn.IFS(J749="NOTFOUND",I749,J749&gt;=I749,J749)</f>
        <v/>
      </c>
    </row>
    <row r="750" ht="18" customHeight="1" s="16">
      <c r="A750" s="5" t="n">
        <v>749</v>
      </c>
      <c r="B750" s="5" t="inlineStr">
        <is>
          <t>GU-3001</t>
        </is>
      </c>
      <c r="D750" s="5" t="inlineStr">
        <is>
          <t>GGマーモント キルティング ミニバッグ</t>
        </is>
      </c>
      <c r="E750" s="5" t="inlineStr">
        <is>
          <t>474575 AABZK 1000</t>
        </is>
      </c>
      <c r="F750" s="5" t="inlineStr">
        <is>
          <t>ブラック レザー</t>
        </is>
      </c>
      <c r="G750" s="11" t="inlineStr">
        <is>
          <t>SOLD</t>
        </is>
      </c>
      <c r="H750" s="22" t="inlineStr">
        <is>
          <t>SOLD</t>
        </is>
      </c>
      <c r="I750" s="18" t="n">
        <v>258500</v>
      </c>
      <c r="J750" s="23" t="inlineStr">
        <is>
          <t>NOTFOUND</t>
        </is>
      </c>
      <c r="K750" s="20" t="n">
        <v>0</v>
      </c>
      <c r="L750" s="4" t="inlineStr">
        <is>
          <t>https://www.gucci.com/jp/ja/pr/women/small-leather-goods-for-women/strap-chain-wallets/gg-marmont-super-mini-bag-p-474575AABZK1000</t>
        </is>
      </c>
      <c r="M750" s="5">
        <f t="array" ref="M750">_xlfn.IFS(J750="NOTFOUND",I750,J750&gt;=I750,J750)</f>
        <v/>
      </c>
    </row>
    <row r="751" ht="18" customHeight="1" s="16">
      <c r="A751" s="5" t="n">
        <v>750</v>
      </c>
      <c r="B751" s="5" t="inlineStr">
        <is>
          <t>GU-3002</t>
        </is>
      </c>
      <c r="D751" s="5" t="inlineStr">
        <is>
          <t xml:space="preserve">ダブルG キルティング カードケース </t>
        </is>
      </c>
      <c r="E751" s="5" t="inlineStr">
        <is>
          <t>466492 AACX4 5909</t>
        </is>
      </c>
      <c r="F751" s="5" t="inlineStr">
        <is>
          <t>ライトピンク レザー</t>
        </is>
      </c>
      <c r="G751" s="11" t="inlineStr">
        <is>
          <t>SOLD</t>
        </is>
      </c>
      <c r="H751" s="22" t="inlineStr">
        <is>
          <t>SOLD</t>
        </is>
      </c>
      <c r="I751" s="18" t="n">
        <v>72600</v>
      </c>
      <c r="J751" s="23" t="inlineStr">
        <is>
          <t>NOTFOUND</t>
        </is>
      </c>
      <c r="K751" s="20" t="n">
        <v>0</v>
      </c>
      <c r="L751" s="4" t="inlineStr">
        <is>
          <t>https://www.gucci.com/jp/ja/pr/women/small-leather-goods-for-women/folded-wallets-for-women/gg-marmont-card-case-wallet-p-466492AACX45909</t>
        </is>
      </c>
      <c r="M751" s="5">
        <f t="array" ref="M751">_xlfn.IFS(J751="NOTFOUND",I751,J751&gt;=I751,J751)</f>
        <v/>
      </c>
    </row>
    <row r="752" ht="18" customHeight="1" s="16">
      <c r="A752" s="5" t="n">
        <v>751</v>
      </c>
      <c r="B752" s="5" t="inlineStr">
        <is>
          <t>GU-3003</t>
        </is>
      </c>
      <c r="D752" s="5" t="inlineStr">
        <is>
          <t>キャンバス スーパーミニショルダーバッグ</t>
        </is>
      </c>
      <c r="E752" s="5" t="inlineStr">
        <is>
          <t>799300 FACUL 8451</t>
        </is>
      </c>
      <c r="F752" s="5" t="inlineStr">
        <is>
          <t xml:space="preserve">  -</t>
        </is>
      </c>
      <c r="G752" s="11" t="inlineStr">
        <is>
          <t>SOLD</t>
        </is>
      </c>
      <c r="H752" s="22" t="inlineStr">
        <is>
          <t>SOLD</t>
        </is>
      </c>
      <c r="I752" s="18" t="n">
        <v>191400</v>
      </c>
      <c r="J752" s="23" t="inlineStr">
        <is>
          <t>NOTFOUND</t>
        </is>
      </c>
      <c r="K752" s="20" t="n">
        <v>0</v>
      </c>
      <c r="L752" s="4" t="inlineStr">
        <is>
          <t>https://www.gucci.com/jp/ja/pr/women/handbags/mini-bags-for-women/super-mini-canvas-shoulder-bag-p-799300FACUL8451</t>
        </is>
      </c>
      <c r="M752" s="5">
        <f t="array" ref="M752">_xlfn.IFS(J752="NOTFOUND",I752,J752&gt;=I752,J752)</f>
        <v/>
      </c>
    </row>
    <row r="753" ht="18" customHeight="1" s="16">
      <c r="A753" s="5" t="n">
        <v>752</v>
      </c>
      <c r="B753" s="5" t="inlineStr">
        <is>
          <t>GU-3004</t>
        </is>
      </c>
      <c r="D753" s="5" t="inlineStr">
        <is>
          <t>コインポケット付き GG ウォレット財布</t>
        </is>
      </c>
      <c r="E753" s="5" t="inlineStr">
        <is>
          <t>783121 FADAR 8741</t>
        </is>
      </c>
      <c r="F753" s="5" t="inlineStr">
        <is>
          <t xml:space="preserve">  -</t>
        </is>
      </c>
      <c r="G753" s="11" t="inlineStr">
        <is>
          <t>SOLD</t>
        </is>
      </c>
      <c r="H753" s="22" t="inlineStr">
        <is>
          <t>SOLD</t>
        </is>
      </c>
      <c r="I753" s="18" t="n">
        <v>78100</v>
      </c>
      <c r="J753" s="23" t="inlineStr">
        <is>
          <t>NOTFOUND</t>
        </is>
      </c>
      <c r="K753" s="20" t="n">
        <v>0</v>
      </c>
      <c r="L753" s="4" t="inlineStr">
        <is>
          <t>https://www.gucci.com/jp/ja/pr/women/small-leather-goods-for-women/folded-wallets-for-women/gg-wallet-with-coin-pocket-p-783121FADAR8741</t>
        </is>
      </c>
      <c r="M753" s="5">
        <f t="array" ref="M753">_xlfn.IFS(J753="NOTFOUND",I753,J753&gt;=I753,J753)</f>
        <v/>
      </c>
    </row>
    <row r="754" ht="18" customHeight="1" s="16">
      <c r="A754" s="5" t="n">
        <v>753</v>
      </c>
      <c r="B754" s="5" t="inlineStr">
        <is>
          <t>GU-3005</t>
        </is>
      </c>
      <c r="D754" s="5" t="inlineStr">
        <is>
          <t>GG カードケース ウォレット財布</t>
        </is>
      </c>
      <c r="E754" s="5" t="inlineStr">
        <is>
          <t>783118 FADAR 8741</t>
        </is>
      </c>
      <c r="F754" s="5" t="inlineStr">
        <is>
          <t xml:space="preserve">  -</t>
        </is>
      </c>
      <c r="G754" s="11" t="inlineStr">
        <is>
          <t>SOLD</t>
        </is>
      </c>
      <c r="H754" s="22" t="inlineStr">
        <is>
          <t>SOLD</t>
        </is>
      </c>
      <c r="I754" s="18" t="n">
        <v>61600</v>
      </c>
      <c r="J754" s="23" t="inlineStr">
        <is>
          <t>NOTFOUND</t>
        </is>
      </c>
      <c r="K754" s="20" t="n">
        <v>0</v>
      </c>
      <c r="L754" s="4" t="inlineStr">
        <is>
          <t>https://www.gucci.com/jp/ja/pr/women/small-leather-goods-for-women/folded-wallets-for-women/gg-bifold-card-case-p-783118FADAR8741</t>
        </is>
      </c>
      <c r="M754" s="5">
        <f t="array" ref="M754">_xlfn.IFS(J754="NOTFOUND",I754,J754&gt;=I754,J754)</f>
        <v/>
      </c>
    </row>
    <row r="755" ht="18" customHeight="1" s="16">
      <c r="A755" s="5" t="n">
        <v>754</v>
      </c>
      <c r="B755" s="5" t="inlineStr">
        <is>
          <t>GU-3006</t>
        </is>
      </c>
      <c r="D755" s="5" t="inlineStr">
        <is>
          <t>GG ジップアラウンドウォレット財布</t>
        </is>
      </c>
      <c r="E755" s="5" t="inlineStr">
        <is>
          <t>783117 FADAR 8741</t>
        </is>
      </c>
      <c r="F755" s="5" t="inlineStr">
        <is>
          <t xml:space="preserve">  -</t>
        </is>
      </c>
      <c r="G755" s="11" t="inlineStr">
        <is>
          <t>SOLD</t>
        </is>
      </c>
      <c r="H755" s="22" t="inlineStr">
        <is>
          <t>SOLD</t>
        </is>
      </c>
      <c r="I755" s="18" t="n">
        <v>93500</v>
      </c>
      <c r="J755" s="23" t="inlineStr">
        <is>
          <t>NOTFOUND</t>
        </is>
      </c>
      <c r="K755" s="20" t="n">
        <v>0</v>
      </c>
      <c r="L755" s="4" t="inlineStr">
        <is>
          <t>https://www.gucci.com/jp/ja/pr/women/small-leather-goods-for-women/zip-around-wallets-for-women/gg-zip-around-wallet-p-783117FADAR8741</t>
        </is>
      </c>
      <c r="M755" s="5">
        <f t="array" ref="M755">_xlfn.IFS(J755="NOTFOUND",I755,J755&gt;=I755,J755)</f>
        <v/>
      </c>
    </row>
    <row r="756" ht="18" customHeight="1" s="16">
      <c r="A756" s="5" t="n">
        <v>755</v>
      </c>
      <c r="B756" s="5" t="inlineStr">
        <is>
          <t>GU-3007</t>
        </is>
      </c>
      <c r="D756" s="5" t="inlineStr">
        <is>
          <t>GG ミニウォレット財布</t>
        </is>
      </c>
      <c r="E756" s="5" t="inlineStr">
        <is>
          <t>790037 FADHY 8563</t>
        </is>
      </c>
      <c r="F756" s="5" t="inlineStr">
        <is>
          <t>イエロー GGキャンバス</t>
        </is>
      </c>
      <c r="G756" s="11" t="inlineStr">
        <is>
          <t>SOLD</t>
        </is>
      </c>
      <c r="H756" s="22" t="inlineStr">
        <is>
          <t>SOLD</t>
        </is>
      </c>
      <c r="I756" s="18" t="n">
        <v>70400</v>
      </c>
      <c r="J756" s="23" t="inlineStr">
        <is>
          <t>NOTFOUND</t>
        </is>
      </c>
      <c r="K756" s="20" t="n">
        <v>0</v>
      </c>
      <c r="L756" s="4" t="inlineStr">
        <is>
          <t>https://www.gucci.com/jp/ja/pr/women/small-leather-goods-for-women/card-coin-cases-for-women/gg-mini-wallet-p-790037FADHY8563</t>
        </is>
      </c>
      <c r="M756" s="5">
        <f t="array" ref="M756">_xlfn.IFS(J756="NOTFOUND",I756,J756&gt;=I756,J756)</f>
        <v/>
      </c>
    </row>
    <row r="757" ht="18" customHeight="1" s="16">
      <c r="A757" s="5" t="n">
        <v>756</v>
      </c>
      <c r="B757" s="5" t="inlineStr">
        <is>
          <t>GU-3008</t>
        </is>
      </c>
      <c r="D757" s="5" t="inlineStr">
        <is>
          <t>GG ミニウォレット財布</t>
        </is>
      </c>
      <c r="E757" s="5" t="inlineStr">
        <is>
          <t>790037 FADHY 8566</t>
        </is>
      </c>
      <c r="F757" s="5" t="inlineStr">
        <is>
          <t>ライトブルー GGキャンバス</t>
        </is>
      </c>
      <c r="G757" s="11" t="inlineStr">
        <is>
          <t>SOLD</t>
        </is>
      </c>
      <c r="H757" s="22" t="inlineStr">
        <is>
          <t>SOLD</t>
        </is>
      </c>
      <c r="I757" s="18" t="n">
        <v>70400</v>
      </c>
      <c r="J757" s="23" t="inlineStr">
        <is>
          <t>NOTFOUND</t>
        </is>
      </c>
      <c r="K757" s="20" t="n">
        <v>0</v>
      </c>
      <c r="L757" s="4" t="inlineStr">
        <is>
          <t>https://www.gucci.com/jp/ja/pr/women/small-leather-goods-for-women/card-coin-cases-for-women/gg-mini-wallet-p-790037FADHY8566</t>
        </is>
      </c>
      <c r="M757" s="5">
        <f t="array" ref="M757">_xlfn.IFS(J757="NOTFOUND",I757,J757&gt;=I757,J757)</f>
        <v/>
      </c>
    </row>
    <row r="758" ht="18" customHeight="1" s="16">
      <c r="A758" s="5" t="n">
        <v>757</v>
      </c>
      <c r="B758" s="5" t="inlineStr">
        <is>
          <t>GU-3009</t>
        </is>
      </c>
      <c r="D758" s="5" t="inlineStr">
        <is>
          <t>GG カードケース ウォレット財布</t>
        </is>
      </c>
      <c r="E758" s="5" t="inlineStr">
        <is>
          <t>790033 FADHY 8563</t>
        </is>
      </c>
      <c r="F758" s="5" t="inlineStr">
        <is>
          <t>イエロー GGキャンバス</t>
        </is>
      </c>
      <c r="G758" s="11" t="inlineStr">
        <is>
          <t>SOLD</t>
        </is>
      </c>
      <c r="H758" s="22" t="inlineStr">
        <is>
          <t>SOLD</t>
        </is>
      </c>
      <c r="I758" s="18" t="n">
        <v>58300</v>
      </c>
      <c r="J758" s="23" t="inlineStr">
        <is>
          <t>NOTFOUND</t>
        </is>
      </c>
      <c r="K758" s="20" t="n">
        <v>0</v>
      </c>
      <c r="L758" s="4" t="inlineStr">
        <is>
          <t>https://www.gucci.com/jp/ja/pr/women/small-leather-goods-for-women/card-coin-cases-for-women/gg-card-case-wallet-p-790033FADHY8563</t>
        </is>
      </c>
      <c r="M758" s="5">
        <f t="array" ref="M758">_xlfn.IFS(J758="NOTFOUND",I758,J758&gt;=I758,J758)</f>
        <v/>
      </c>
    </row>
    <row r="759" ht="18" customHeight="1" s="16">
      <c r="A759" s="5" t="n">
        <v>758</v>
      </c>
      <c r="B759" s="5" t="inlineStr">
        <is>
          <t>GU-3010</t>
        </is>
      </c>
      <c r="D759" s="5" t="inlineStr">
        <is>
          <t>GG カードケース ウォレット財布</t>
        </is>
      </c>
      <c r="E759" s="5" t="inlineStr">
        <is>
          <t>790033 FADHY 8564</t>
        </is>
      </c>
      <c r="F759" s="5" t="inlineStr">
        <is>
          <t>オレンジ GGキャンバス</t>
        </is>
      </c>
      <c r="G759" s="11" t="inlineStr">
        <is>
          <t>SOLD</t>
        </is>
      </c>
      <c r="H759" s="22" t="inlineStr">
        <is>
          <t>SOLD</t>
        </is>
      </c>
      <c r="I759" s="18" t="n">
        <v>58300</v>
      </c>
      <c r="J759" s="23" t="inlineStr">
        <is>
          <t>NOTFOUND</t>
        </is>
      </c>
      <c r="K759" s="20" t="n">
        <v>0</v>
      </c>
      <c r="L759" s="4" t="inlineStr">
        <is>
          <t>https://www.gucci.com/jp/ja/pr/women/small-leather-goods-for-women/card-coin-cases-for-women/gg-card-case-wallet-p-790033FADHY8564</t>
        </is>
      </c>
      <c r="M759" s="5">
        <f t="array" ref="M759">_xlfn.IFS(J759="NOTFOUND",I759,J759&gt;=I759,J759)</f>
        <v/>
      </c>
    </row>
    <row r="760" ht="18" customHeight="1" s="16">
      <c r="A760" s="5" t="n">
        <v>759</v>
      </c>
      <c r="B760" s="5" t="inlineStr">
        <is>
          <t>GU-3011</t>
        </is>
      </c>
      <c r="D760" s="5" t="inlineStr">
        <is>
          <t>GG カードケース ウォレット財布</t>
        </is>
      </c>
      <c r="E760" s="5" t="inlineStr">
        <is>
          <t>790033 FADHY 8566</t>
        </is>
      </c>
      <c r="F760" s="5" t="inlineStr">
        <is>
          <t>ライトブルー GGキャンバス</t>
        </is>
      </c>
      <c r="G760" s="11" t="inlineStr">
        <is>
          <t>SOLD</t>
        </is>
      </c>
      <c r="H760" s="22" t="inlineStr">
        <is>
          <t>SOLD</t>
        </is>
      </c>
      <c r="I760" s="18" t="n">
        <v>58300</v>
      </c>
      <c r="J760" s="23" t="inlineStr">
        <is>
          <t>NOTFOUND</t>
        </is>
      </c>
      <c r="K760" s="20" t="n">
        <v>0</v>
      </c>
      <c r="L760" s="4" t="inlineStr">
        <is>
          <t>https://www.gucci.com/jp/ja/pr/women/small-leather-goods-for-women/card-coin-cases-for-women/gg-card-case-wallet-p-790033FADHY8566</t>
        </is>
      </c>
      <c r="M760" s="5">
        <f t="array" ref="M760">_xlfn.IFS(J760="NOTFOUND",I760,J760&gt;=I760,J760)</f>
        <v/>
      </c>
    </row>
    <row r="761" ht="18" customHeight="1" s="16">
      <c r="A761" s="5" t="n">
        <v>760</v>
      </c>
      <c r="B761" s="5" t="inlineStr">
        <is>
          <t>GU-3012</t>
        </is>
      </c>
      <c r="D761" s="5" t="inlineStr">
        <is>
          <t>オフィディア  スーパーミニバッグ</t>
        </is>
      </c>
      <c r="E761" s="5" t="inlineStr">
        <is>
          <t>795467 96IWT 8745</t>
        </is>
      </c>
      <c r="F761" s="5" t="inlineStr">
        <is>
          <t>ベージュ＆エボニー GGスプリーム キャンバス</t>
        </is>
      </c>
      <c r="G761" s="10" t="inlineStr">
        <is>
          <t>OneSize</t>
        </is>
      </c>
      <c r="H761" s="17" t="inlineStr">
        <is>
          <t>OneSize</t>
        </is>
      </c>
      <c r="I761" s="18" t="n">
        <v>227700</v>
      </c>
      <c r="J761" s="19" t="n">
        <v>227700</v>
      </c>
      <c r="K761" s="20" t="n">
        <v>5</v>
      </c>
      <c r="L761" s="4" t="inlineStr">
        <is>
          <t>https://www.gucci.com/jp/ja/pr/women/handbags/mini-bags-for-women/ophidia-super-mini-bag-p-79546796IWT8745</t>
        </is>
      </c>
      <c r="M761" s="5">
        <f t="array" ref="M761">_xlfn.IFS(J761="NOTFOUND",I761,J761&gt;=I761,J761)</f>
        <v/>
      </c>
    </row>
    <row r="762" ht="18" customHeight="1" s="16">
      <c r="A762" s="5" t="n">
        <v>761</v>
      </c>
      <c r="B762" s="5" t="inlineStr">
        <is>
          <t>GU-3013</t>
        </is>
      </c>
      <c r="D762" s="5" t="inlineStr">
        <is>
          <t>オフィディア GG カードケース ウォレット財布</t>
        </is>
      </c>
      <c r="E762" s="5" t="inlineStr">
        <is>
          <t>523155 96IWN 4076</t>
        </is>
      </c>
      <c r="F762" s="5" t="inlineStr">
        <is>
          <t>ベージュ＆ブルー スプリーム キャンバス</t>
        </is>
      </c>
      <c r="G762" s="11" t="inlineStr">
        <is>
          <t>SOLD</t>
        </is>
      </c>
      <c r="H762" s="22" t="inlineStr">
        <is>
          <t>SOLD</t>
        </is>
      </c>
      <c r="I762" s="18" t="n">
        <v>68200</v>
      </c>
      <c r="J762" s="23" t="inlineStr">
        <is>
          <t>NOTFOUND</t>
        </is>
      </c>
      <c r="K762" s="20" t="n">
        <v>0</v>
      </c>
      <c r="L762" s="4" t="inlineStr">
        <is>
          <t>https://www.gucci.com/jp/ja/pr/women/small-leather-goods-for-women/folded-wallets-for-women/ophidia-card-case-wallet-p-52315596IWN4076</t>
        </is>
      </c>
      <c r="M762" s="5">
        <f t="array" ref="M762">_xlfn.IFS(J762="NOTFOUND",I762,J762&gt;=I762,J762)</f>
        <v/>
      </c>
    </row>
    <row r="763" ht="18" customHeight="1" s="16">
      <c r="A763" s="5" t="n">
        <v>762</v>
      </c>
      <c r="B763" s="5" t="inlineStr">
        <is>
          <t>GU-3014</t>
        </is>
      </c>
      <c r="D763" s="5" t="inlineStr">
        <is>
          <t>オフィディア GG ジップアラウンドウォレット財布</t>
        </is>
      </c>
      <c r="E763" s="5" t="inlineStr">
        <is>
          <t>523154 96IWN 4076</t>
        </is>
      </c>
      <c r="F763" s="5" t="inlineStr">
        <is>
          <t>ベージュ＆ブルー スプリーム キャンバス</t>
        </is>
      </c>
      <c r="G763" s="11" t="inlineStr">
        <is>
          <t>SOLD</t>
        </is>
      </c>
      <c r="H763" s="22" t="inlineStr">
        <is>
          <t>SOLD</t>
        </is>
      </c>
      <c r="I763" s="18" t="n">
        <v>101200</v>
      </c>
      <c r="J763" s="23" t="inlineStr">
        <is>
          <t>NOTFOUND</t>
        </is>
      </c>
      <c r="K763" s="20" t="n">
        <v>0</v>
      </c>
      <c r="L763" s="4" t="inlineStr">
        <is>
          <t>https://www.gucci.com/jp/ja/pr/women/small-leather-goods-for-women/zip-around-wallets-for-women/ophidia-zip-around-wallet-p-52315496IWN4076</t>
        </is>
      </c>
      <c r="M763" s="5">
        <f t="array" ref="M763">_xlfn.IFS(J763="NOTFOUND",I763,J763&gt;=I763,J763)</f>
        <v/>
      </c>
    </row>
    <row r="764" ht="18" customHeight="1" s="16">
      <c r="A764" s="5" t="n">
        <v>763</v>
      </c>
      <c r="B764" s="5" t="inlineStr">
        <is>
          <t>GU-3015</t>
        </is>
      </c>
      <c r="D764" s="5" t="inlineStr">
        <is>
          <t>オフィディア IPHONE 15 PRO ケース</t>
        </is>
      </c>
      <c r="E764" s="5" t="inlineStr">
        <is>
          <t>763801 K5I0G 9742</t>
        </is>
      </c>
      <c r="F764" s="5" t="inlineStr">
        <is>
          <t xml:space="preserve">  -</t>
        </is>
      </c>
      <c r="G764" s="11" t="inlineStr">
        <is>
          <t>SOLD</t>
        </is>
      </c>
      <c r="H764" s="22" t="inlineStr">
        <is>
          <t>SOLD</t>
        </is>
      </c>
      <c r="I764" s="18" t="n">
        <v>46200</v>
      </c>
      <c r="J764" s="19" t="n">
        <v>46200</v>
      </c>
      <c r="K764" s="20" t="n">
        <v>0</v>
      </c>
      <c r="L764" s="4" t="inlineStr">
        <is>
          <t>https://www.gucci.com/jp/ja/pr/men/small-leather-goods-for-men/tech-accessories-for-men/ophidia-case-for-iphone-15-pro-p-763801K5I0G9742</t>
        </is>
      </c>
      <c r="M764" s="5">
        <f t="array" ref="M764">_xlfn.IFS(J764="NOTFOUND",I764,J764&gt;=I764,J764)</f>
        <v/>
      </c>
    </row>
    <row r="765" ht="18" customHeight="1" s="16">
      <c r="A765" s="5" t="n">
        <v>764</v>
      </c>
      <c r="B765" s="5" t="inlineStr">
        <is>
          <t>GU-3016</t>
        </is>
      </c>
      <c r="D765" s="5" t="inlineStr">
        <is>
          <t>オフィディア IPHONE 15 ケース</t>
        </is>
      </c>
      <c r="E765" s="5" t="inlineStr">
        <is>
          <t>763787 K5I0G 9742</t>
        </is>
      </c>
      <c r="F765" s="5" t="inlineStr">
        <is>
          <t xml:space="preserve">  -</t>
        </is>
      </c>
      <c r="G765" s="11" t="inlineStr">
        <is>
          <t>SOLD</t>
        </is>
      </c>
      <c r="H765" s="22" t="inlineStr">
        <is>
          <t>SOLD</t>
        </is>
      </c>
      <c r="I765" s="18" t="n">
        <v>46200</v>
      </c>
      <c r="J765" s="23" t="inlineStr">
        <is>
          <t>NOTFOUND</t>
        </is>
      </c>
      <c r="K765" s="20" t="n">
        <v>0</v>
      </c>
      <c r="L765" s="4" t="inlineStr">
        <is>
          <t>https://www.gucci.com/jp/ja/pr/men/small-leather-goods-for-men/tech-accessories-for-men/ophidia-case-for-iphone-15-p-763787K5I0G9742</t>
        </is>
      </c>
      <c r="M765" s="5">
        <f t="array" ref="M765">_xlfn.IFS(J765="NOTFOUND",I765,J765&gt;=I765,J765)</f>
        <v/>
      </c>
    </row>
    <row r="766" ht="18" customHeight="1" s="16">
      <c r="A766" s="5" t="n">
        <v>765</v>
      </c>
      <c r="B766" s="5" t="inlineStr">
        <is>
          <t>GU-3017</t>
        </is>
      </c>
      <c r="D766" s="5" t="inlineStr">
        <is>
          <t>オフィディア フック クロージャー付き キーチェーン</t>
        </is>
      </c>
      <c r="E766" s="5" t="inlineStr">
        <is>
          <t>794061 HUH3T 9780</t>
        </is>
      </c>
      <c r="F766" s="5" t="inlineStr">
        <is>
          <t>ベージュ＆エボニー GGスプリーム キャンバス</t>
        </is>
      </c>
      <c r="G766" s="11" t="inlineStr">
        <is>
          <t>SOLD</t>
        </is>
      </c>
      <c r="H766" s="22" t="inlineStr">
        <is>
          <t>SOLD</t>
        </is>
      </c>
      <c r="I766" s="18" t="n">
        <v>42900</v>
      </c>
      <c r="J766" s="23" t="inlineStr">
        <is>
          <t>NOTFOUND</t>
        </is>
      </c>
      <c r="K766" s="20" t="n">
        <v>0</v>
      </c>
      <c r="L766" s="4" t="inlineStr">
        <is>
          <t>https://www.gucci.com/jp/ja/pr/men/small-leather-goods-for-men/key-rings-key-cases-for-men/ophidia-keychain-with-hook-closure-p-794061HUH3T9780</t>
        </is>
      </c>
      <c r="M766" s="5">
        <f t="array" ref="M766">_xlfn.IFS(J766="NOTFOUND",I766,J766&gt;=I766,J766)</f>
        <v/>
      </c>
    </row>
    <row r="767" ht="18" customHeight="1" s="16">
      <c r="A767" s="5" t="n">
        <v>766</v>
      </c>
      <c r="B767" s="5" t="inlineStr">
        <is>
          <t>GU-3018</t>
        </is>
      </c>
      <c r="D767" s="5" t="inlineStr">
        <is>
          <t>GG ラバーエフェクト カードケース</t>
        </is>
      </c>
      <c r="E767" s="5" t="inlineStr">
        <is>
          <t>771315 AADM4 7205</t>
        </is>
      </c>
      <c r="F767" s="5" t="inlineStr">
        <is>
          <t>ネオンイエロー レザー</t>
        </is>
      </c>
      <c r="G767" s="11" t="inlineStr">
        <is>
          <t>SOLD</t>
        </is>
      </c>
      <c r="H767" s="22" t="inlineStr">
        <is>
          <t>SOLD</t>
        </is>
      </c>
      <c r="I767" s="18" t="n">
        <v>46200</v>
      </c>
      <c r="J767" s="23" t="inlineStr">
        <is>
          <t>NOTFOUND</t>
        </is>
      </c>
      <c r="K767" s="20" t="n">
        <v>0</v>
      </c>
      <c r="L767" s="4" t="inlineStr">
        <is>
          <t>https://www.gucci.com/jp/ja/pr/men/small-leather-goods-for-men/card-holders-coin-cases-for-men/gg-rubber-effect-card-case-p-771315AADM47205</t>
        </is>
      </c>
      <c r="M767" s="5">
        <f t="array" ref="M767">_xlfn.IFS(J767="NOTFOUND",I767,J767&gt;=I767,J767)</f>
        <v/>
      </c>
    </row>
    <row r="768" ht="18" customHeight="1" s="16">
      <c r="A768" s="5" t="n">
        <v>767</v>
      </c>
      <c r="B768" s="5" t="inlineStr">
        <is>
          <t>GU-3019</t>
        </is>
      </c>
      <c r="D768" s="5" t="inlineStr">
        <is>
          <t>GG ミニ クロスボディバッグ</t>
        </is>
      </c>
      <c r="E768" s="5" t="inlineStr">
        <is>
          <t>802100 FADUT 6246</t>
        </is>
      </c>
      <c r="F768" s="5" t="inlineStr">
        <is>
          <t>グッチ ロッソ アンコーラ（深い赤）GGキャンバス</t>
        </is>
      </c>
      <c r="G768" s="11" t="inlineStr">
        <is>
          <t>SOLD</t>
        </is>
      </c>
      <c r="H768" s="22" t="inlineStr">
        <is>
          <t>SOLD</t>
        </is>
      </c>
      <c r="I768" s="18" t="n">
        <v>264000</v>
      </c>
      <c r="J768" s="23" t="inlineStr">
        <is>
          <t>NOTFOUND</t>
        </is>
      </c>
      <c r="K768" s="20" t="n">
        <v>0</v>
      </c>
      <c r="L768" s="4" t="inlineStr">
        <is>
          <t>https://www.gucci.com/jp/ja/pr/women/small-leather-goods-for-women/strap-chain-wallets/mini-gg-crossbody-bag-p-802100FADUT6246</t>
        </is>
      </c>
      <c r="M768" s="5">
        <f t="array" ref="M768">_xlfn.IFS(J768="NOTFOUND",I768,J768&gt;=I768,J768)</f>
        <v/>
      </c>
    </row>
    <row r="769" ht="18" customHeight="1" s="16">
      <c r="A769" s="5" t="n">
        <v>768</v>
      </c>
      <c r="B769" s="5" t="inlineStr">
        <is>
          <t>GU-3020</t>
        </is>
      </c>
      <c r="D769" s="5" t="inlineStr">
        <is>
          <t>ダブルG ミニ ウォレット財布</t>
        </is>
      </c>
      <c r="E769" s="5" t="inlineStr">
        <is>
          <t>795520 AADQB 1000</t>
        </is>
      </c>
      <c r="F769" s="5" t="inlineStr">
        <is>
          <t xml:space="preserve">  -</t>
        </is>
      </c>
      <c r="G769" s="11" t="inlineStr">
        <is>
          <t>SOLD</t>
        </is>
      </c>
      <c r="H769" s="22" t="inlineStr">
        <is>
          <t>SOLD</t>
        </is>
      </c>
      <c r="I769" s="18" t="n">
        <v>127600</v>
      </c>
      <c r="J769" s="23" t="inlineStr">
        <is>
          <t>NOTFOUND</t>
        </is>
      </c>
      <c r="K769" s="20" t="n">
        <v>0</v>
      </c>
      <c r="L769" s="4" t="inlineStr">
        <is>
          <t>https://www.gucci.com/jp/ja/pr/women/small-leather-goods-for-women/card-coin-cases-for-women/gg-marmont-mini-wallet-p-795520AADQB1000</t>
        </is>
      </c>
      <c r="M769" s="5">
        <f t="array" ref="M769">_xlfn.IFS(J769="NOTFOUND",I769,J769&gt;=I769,J769)</f>
        <v/>
      </c>
    </row>
    <row r="770" ht="18" customHeight="1" s="16">
      <c r="A770" s="5" t="n">
        <v>769</v>
      </c>
      <c r="B770" s="5" t="inlineStr">
        <is>
          <t>GU-3021</t>
        </is>
      </c>
      <c r="D770" s="5" t="inlineStr">
        <is>
          <t>GGマーモント スーパーミニバッグ</t>
        </is>
      </c>
      <c r="E770" s="5" t="inlineStr">
        <is>
          <t>476433 AADP6 1000</t>
        </is>
      </c>
      <c r="F770" s="5" t="inlineStr">
        <is>
          <t>ブラック パテントレザー</t>
        </is>
      </c>
      <c r="G770" s="11" t="inlineStr">
        <is>
          <t>SOLD</t>
        </is>
      </c>
      <c r="H770" s="22" t="inlineStr">
        <is>
          <t>SOLD</t>
        </is>
      </c>
      <c r="I770" s="18" t="n">
        <v>275000</v>
      </c>
      <c r="J770" s="23" t="inlineStr">
        <is>
          <t>NOTFOUND</t>
        </is>
      </c>
      <c r="K770" s="20" t="n">
        <v>0</v>
      </c>
      <c r="L770" s="4" t="inlineStr">
        <is>
          <t>https://www.gucci.com/jp/ja/pr/women/handbags/mini-bags-for-women/gg-marmont-super-mini-bag-p-476433AADP61000</t>
        </is>
      </c>
      <c r="M770" s="5">
        <f t="array" ref="M770">_xlfn.IFS(J770="NOTFOUND",I770,J770&gt;=I770,J770)</f>
        <v/>
      </c>
    </row>
    <row r="771" ht="18" customHeight="1" s="16">
      <c r="A771" s="5" t="n">
        <v>770</v>
      </c>
      <c r="B771" s="5" t="inlineStr">
        <is>
          <t>GU-3022</t>
        </is>
      </c>
      <c r="D771" s="5" t="inlineStr">
        <is>
          <t>ダブルG バイカラー カードケース  名刺入れ</t>
        </is>
      </c>
      <c r="E771" s="5" t="inlineStr">
        <is>
          <t>739525 CAO2G 9561</t>
        </is>
      </c>
      <c r="F771" s="5" t="inlineStr">
        <is>
          <t>ベージュ レザー</t>
        </is>
      </c>
      <c r="G771" s="11" t="inlineStr">
        <is>
          <t>SOLD</t>
        </is>
      </c>
      <c r="H771" s="22" t="inlineStr">
        <is>
          <t>SOLD</t>
        </is>
      </c>
      <c r="I771" s="18" t="n">
        <v>46750</v>
      </c>
      <c r="J771" s="23" t="inlineStr">
        <is>
          <t>NOTFOUND</t>
        </is>
      </c>
      <c r="K771" s="20" t="n">
        <v>0</v>
      </c>
      <c r="L771" s="4" t="inlineStr">
        <is>
          <t>https://www.gucci.com/jp/ja/pr/women/small-leather-goods-for-women/card-coin-cases-for-women/gg-marmont-yellow-interior-card-case-p-739525CAO2G9561</t>
        </is>
      </c>
      <c r="M771" s="5">
        <f t="array" ref="M771">_xlfn.IFS(J771="NOTFOUND",I771,J771&gt;=I771,J771)</f>
        <v/>
      </c>
    </row>
    <row r="772" ht="18" customHeight="1" s="16">
      <c r="A772" s="5" t="n">
        <v>771</v>
      </c>
      <c r="B772" s="5" t="inlineStr">
        <is>
          <t>GU-3023</t>
        </is>
      </c>
      <c r="D772" s="5" t="inlineStr">
        <is>
          <t>ダブルG ミディアム ウォレット財布</t>
        </is>
      </c>
      <c r="E772" s="5" t="inlineStr">
        <is>
          <t>598587 CAO2G 1443</t>
        </is>
      </c>
      <c r="F772" s="5" t="inlineStr">
        <is>
          <t>ライトグレー レザー</t>
        </is>
      </c>
      <c r="G772" s="11" t="inlineStr">
        <is>
          <t>SOLD</t>
        </is>
      </c>
      <c r="H772" s="22" t="inlineStr">
        <is>
          <t>SOLD</t>
        </is>
      </c>
      <c r="I772" s="18" t="n">
        <v>82500</v>
      </c>
      <c r="J772" s="23" t="inlineStr">
        <is>
          <t>NOTFOUND</t>
        </is>
      </c>
      <c r="K772" s="20" t="n">
        <v>0</v>
      </c>
      <c r="L772" s="4" t="inlineStr">
        <is>
          <t>https://www.gucci.com/jp/ja/pr/women/small-leather-goods-for-women/folded-wallets-for-women/gg-marmont-medium-wallet-p-598587CAO2G1443</t>
        </is>
      </c>
      <c r="M772" s="5">
        <f t="array" ref="M772">_xlfn.IFS(J772="NOTFOUND",I772,J772&gt;=I772,J772)</f>
        <v/>
      </c>
    </row>
    <row r="773" ht="18" customHeight="1" s="16">
      <c r="A773" s="5" t="n">
        <v>772</v>
      </c>
      <c r="B773" s="5" t="inlineStr">
        <is>
          <t>GU-3024</t>
        </is>
      </c>
      <c r="D773" s="5" t="inlineStr">
        <is>
          <t>ダブルG ジップアラウンドウォレット財布</t>
        </is>
      </c>
      <c r="E773" s="5" t="inlineStr">
        <is>
          <t>456117 CAO2G 9561</t>
        </is>
      </c>
      <c r="F773" s="5" t="inlineStr">
        <is>
          <t>ベージュ レザー</t>
        </is>
      </c>
      <c r="G773" s="11" t="inlineStr">
        <is>
          <t>SOLD</t>
        </is>
      </c>
      <c r="H773" s="22" t="inlineStr">
        <is>
          <t>SOLD</t>
        </is>
      </c>
      <c r="I773" s="18" t="n">
        <v>93500</v>
      </c>
      <c r="J773" s="23" t="inlineStr">
        <is>
          <t>NOTFOUND</t>
        </is>
      </c>
      <c r="K773" s="20" t="n">
        <v>0</v>
      </c>
      <c r="L773" s="4" t="inlineStr">
        <is>
          <t>https://www.gucci.com/jp/ja/pr/women/small-leather-goods-for-women/zip-around-wallets-for-women/gg-marmont-zip-around-wallet-p-456117CAO2G9561</t>
        </is>
      </c>
      <c r="M773" s="5">
        <f t="array" ref="M773">_xlfn.IFS(J773="NOTFOUND",I773,J773&gt;=I773,J773)</f>
        <v/>
      </c>
    </row>
    <row r="774" ht="18" customHeight="1" s="16">
      <c r="A774" s="5" t="n">
        <v>773</v>
      </c>
      <c r="B774" s="5" t="inlineStr">
        <is>
          <t>GU-3025</t>
        </is>
      </c>
      <c r="D774" s="5" t="inlineStr">
        <is>
          <t>GGマトラッセ カードケース ウォレット財布</t>
        </is>
      </c>
      <c r="E774" s="5" t="inlineStr">
        <is>
          <t>723786 UM8IG 1000</t>
        </is>
      </c>
      <c r="F774" s="5" t="inlineStr">
        <is>
          <t xml:space="preserve">  -</t>
        </is>
      </c>
      <c r="G774" s="11" t="inlineStr">
        <is>
          <t>SOLD</t>
        </is>
      </c>
      <c r="H774" s="22" t="inlineStr">
        <is>
          <t>SOLD</t>
        </is>
      </c>
      <c r="I774" s="18" t="n">
        <v>91300</v>
      </c>
      <c r="J774" s="23" t="inlineStr">
        <is>
          <t>NOTFOUND</t>
        </is>
      </c>
      <c r="K774" s="20" t="n">
        <v>0</v>
      </c>
      <c r="L774" s="4" t="inlineStr">
        <is>
          <t>https://www.gucci.com/jp/ja/pr/women/small-leather-goods-for-women/folded-wallets-for-women/gg-matelasse-card-case-wallet-p-723786UM8IG1000</t>
        </is>
      </c>
      <c r="M774" s="5">
        <f t="array" ref="M774">_xlfn.IFS(J774="NOTFOUND",I774,J774&gt;=I774,J774)</f>
        <v/>
      </c>
    </row>
    <row r="775" ht="18" customHeight="1" s="16">
      <c r="A775" s="5" t="n">
        <v>774</v>
      </c>
      <c r="B775" s="5" t="inlineStr">
        <is>
          <t>GU-3026</t>
        </is>
      </c>
      <c r="D775" s="5" t="inlineStr">
        <is>
          <t>ダイアナ コンチネンタルウォレット財布</t>
        </is>
      </c>
      <c r="E775" s="5" t="inlineStr">
        <is>
          <t>658634 DJ20T 1000</t>
        </is>
      </c>
      <c r="F775" s="5" t="inlineStr">
        <is>
          <t xml:space="preserve">  -</t>
        </is>
      </c>
      <c r="G775" s="11" t="inlineStr">
        <is>
          <t>SOLD</t>
        </is>
      </c>
      <c r="H775" s="22" t="inlineStr">
        <is>
          <t>SOLD</t>
        </is>
      </c>
      <c r="I775" s="18" t="n">
        <v>113300</v>
      </c>
      <c r="J775" s="23" t="inlineStr">
        <is>
          <t>NOTFOUND</t>
        </is>
      </c>
      <c r="K775" s="20" t="n">
        <v>0</v>
      </c>
      <c r="L775" s="4" t="inlineStr">
        <is>
          <t>https://www.gucci.com/jp/ja/pr/women/small-leather-goods-for-women/zip-around-wallets-for-women/gucci-diana-continental-wallet-p-658634DJ20T1000</t>
        </is>
      </c>
      <c r="M775" s="5">
        <f t="array" ref="M775">_xlfn.IFS(J775="NOTFOUND",I775,J775&gt;=I775,J775)</f>
        <v/>
      </c>
    </row>
    <row r="776" ht="18" customHeight="1" s="16">
      <c r="A776" s="5" t="n">
        <v>775</v>
      </c>
      <c r="B776" s="5" t="inlineStr">
        <is>
          <t>GU-3027</t>
        </is>
      </c>
      <c r="D776" s="5" t="inlineStr">
        <is>
          <t>ダイアナ パイソン カードケース ウォレット財布</t>
        </is>
      </c>
      <c r="E776" s="5" t="inlineStr">
        <is>
          <t>658244 LU3XT 6808</t>
        </is>
      </c>
      <c r="F776" s="5" t="inlineStr">
        <is>
          <t xml:space="preserve">  -</t>
        </is>
      </c>
      <c r="G776" s="11" t="inlineStr">
        <is>
          <t>SOLD</t>
        </is>
      </c>
      <c r="H776" s="22" t="inlineStr">
        <is>
          <t>SOLD</t>
        </is>
      </c>
      <c r="I776" s="18" t="n">
        <v>154000</v>
      </c>
      <c r="J776" s="23" t="inlineStr">
        <is>
          <t>NOTFOUND</t>
        </is>
      </c>
      <c r="K776" s="20" t="n">
        <v>0</v>
      </c>
      <c r="L776" s="4" t="inlineStr">
        <is>
          <t>https://www.gucci.com/jp/ja/pr/women/small-leather-goods-for-women/folded-wallets-for-women/gucci-diana-python-card-case-wallet-p-658244LU3XT6808</t>
        </is>
      </c>
      <c r="M776" s="5">
        <f t="array" ref="M776">_xlfn.IFS(J776="NOTFOUND",I776,J776&gt;=I776,J776)</f>
        <v/>
      </c>
    </row>
    <row r="777" ht="18" customHeight="1" s="16">
      <c r="A777" s="5" t="n">
        <v>776</v>
      </c>
      <c r="B777" s="5" t="inlineStr">
        <is>
          <t>GU-3028</t>
        </is>
      </c>
      <c r="D777" s="5" t="inlineStr">
        <is>
          <t>ディオニュソス レザー ミニ チェーンバッグ</t>
        </is>
      </c>
      <c r="E777" s="5" t="inlineStr">
        <is>
          <t>401231 CAOGN 8176</t>
        </is>
      </c>
      <c r="F777" s="5" t="inlineStr">
        <is>
          <t>ブラック レザー</t>
        </is>
      </c>
      <c r="G777" s="11" t="inlineStr">
        <is>
          <t>SOLD</t>
        </is>
      </c>
      <c r="H777" s="22" t="inlineStr">
        <is>
          <t>SOLD</t>
        </is>
      </c>
      <c r="I777" s="18" t="n">
        <v>247500</v>
      </c>
      <c r="J777" s="23" t="inlineStr">
        <is>
          <t>NOTFOUND</t>
        </is>
      </c>
      <c r="K777" s="20" t="n">
        <v>0</v>
      </c>
      <c r="L777" s="4" t="inlineStr">
        <is>
          <t>https://www.gucci.com/jp/ja/pr/women/small-leather-goods-for-women/strap-chain-wallets/dionysus-mini-leather-chain-wallet-p-401231CAOGN8176</t>
        </is>
      </c>
      <c r="M777" s="5">
        <f t="array" ref="M777">_xlfn.IFS(J777="NOTFOUND",I777,J777&gt;=I777,J777)</f>
        <v/>
      </c>
    </row>
    <row r="778" ht="18" customHeight="1" s="16">
      <c r="A778" s="5" t="n">
        <v>777</v>
      </c>
      <c r="B778" s="5" t="inlineStr">
        <is>
          <t>GU-3029</t>
        </is>
      </c>
      <c r="D778" s="5" t="inlineStr">
        <is>
          <t>ディオニュソス レザー ミニ チェーンバッグ</t>
        </is>
      </c>
      <c r="E778" s="5" t="inlineStr">
        <is>
          <t>401231 CAOGX 3120</t>
        </is>
      </c>
      <c r="F778" s="5" t="inlineStr">
        <is>
          <t>エメラルドグリーン レザー</t>
        </is>
      </c>
      <c r="G778" s="11" t="inlineStr">
        <is>
          <t>SOLD</t>
        </is>
      </c>
      <c r="H778" s="22" t="inlineStr">
        <is>
          <t>SOLD</t>
        </is>
      </c>
      <c r="I778" s="18" t="n">
        <v>247500</v>
      </c>
      <c r="J778" s="19" t="n">
        <v>258500</v>
      </c>
      <c r="K778" s="20" t="n">
        <v>0</v>
      </c>
      <c r="L778" s="4" t="inlineStr">
        <is>
          <t>https://www.gucci.com/jp/ja/pr/women/small-leather-goods-for-women/strap-chain-wallets/dionysus-mini-leather-chain-wallet-p-401231CAOGX3120</t>
        </is>
      </c>
      <c r="M778" s="5">
        <f t="array" ref="M778">_xlfn.IFS(J778="NOTFOUND",I778,J778&gt;=I778,J778)</f>
        <v/>
      </c>
    </row>
    <row r="779" ht="18" customHeight="1" s="16">
      <c r="A779" s="5" t="n">
        <v>778</v>
      </c>
      <c r="B779" s="5" t="inlineStr">
        <is>
          <t>GU-3030</t>
        </is>
      </c>
      <c r="D779" s="5" t="inlineStr">
        <is>
          <t>ディオニュソス GGスプリーム チェーンウォレット財布</t>
        </is>
      </c>
      <c r="E779" s="5" t="inlineStr">
        <is>
          <t>401231 KHNSN 8642</t>
        </is>
      </c>
      <c r="F779" s="5" t="inlineStr">
        <is>
          <t>ベージュ/エボニー</t>
        </is>
      </c>
      <c r="G779" s="10" t="inlineStr">
        <is>
          <t>OneSize</t>
        </is>
      </c>
      <c r="H779" s="17" t="inlineStr">
        <is>
          <t>OneSize</t>
        </is>
      </c>
      <c r="I779" s="18" t="n">
        <v>225500</v>
      </c>
      <c r="J779" s="19" t="n">
        <v>236500</v>
      </c>
      <c r="K779" s="20" t="n">
        <v>5</v>
      </c>
      <c r="L779" s="4" t="inlineStr">
        <is>
          <t>https://www.gucci.com/jp/ja/pr/women/small-leather-goods-for-women/strap-chain-wallets/dionysus-gg-supreme-chain-wallet-p-401231KHNSN8642</t>
        </is>
      </c>
      <c r="M779" s="5">
        <f t="array" ref="M779">_xlfn.IFS(J779="NOTFOUND",I779,J779&gt;=I779,J779)</f>
        <v/>
      </c>
    </row>
    <row r="780" ht="18" customHeight="1" s="16">
      <c r="A780" s="5" t="n">
        <v>779</v>
      </c>
      <c r="B780" s="5" t="inlineStr">
        <is>
          <t>GU-3031</t>
        </is>
      </c>
      <c r="D780" s="5" t="inlineStr">
        <is>
          <t>インターロッキングG付き ビューティーケース</t>
        </is>
      </c>
      <c r="E780" s="5" t="inlineStr">
        <is>
          <t>672956 92TCN 1000</t>
        </is>
      </c>
      <c r="F780" s="5" t="inlineStr">
        <is>
          <t xml:space="preserve">  -</t>
        </is>
      </c>
      <c r="G780" s="11" t="inlineStr">
        <is>
          <t>SOLD</t>
        </is>
      </c>
      <c r="H780" s="22" t="inlineStr">
        <is>
          <t>SOLD</t>
        </is>
      </c>
      <c r="I780" s="18" t="n">
        <v>118800</v>
      </c>
      <c r="J780" s="23" t="inlineStr">
        <is>
          <t>NOTFOUND</t>
        </is>
      </c>
      <c r="K780" s="20" t="n">
        <v>0</v>
      </c>
      <c r="L780" s="4" t="inlineStr">
        <is>
          <t>https://www.gucci.com/jp/ja/pr/men/small-leather-goods-for-men/small-bags-pouches/pouches-for-men/beauty-case-with-interlocking-g-p-67295692TCN1000</t>
        </is>
      </c>
      <c r="M780" s="5">
        <f t="array" ref="M780">_xlfn.IFS(J780="NOTFOUND",I780,J780&gt;=I780,J780)</f>
        <v/>
      </c>
    </row>
    <row r="781" ht="18" customHeight="1" s="16">
      <c r="A781" s="5" t="n">
        <v>780</v>
      </c>
      <c r="B781" s="5" t="inlineStr">
        <is>
          <t>GU-3032</t>
        </is>
      </c>
      <c r="D781" s="5" t="inlineStr">
        <is>
          <t>GG ショルダーストラップ</t>
        </is>
      </c>
      <c r="E781" s="5" t="inlineStr">
        <is>
          <t>752071 92TCG 8563</t>
        </is>
      </c>
      <c r="F781" s="5" t="inlineStr">
        <is>
          <t xml:space="preserve">  -</t>
        </is>
      </c>
      <c r="G781" s="11" t="inlineStr">
        <is>
          <t>SOLD</t>
        </is>
      </c>
      <c r="H781" s="22" t="inlineStr">
        <is>
          <t>SOLD</t>
        </is>
      </c>
      <c r="I781" s="18" t="n">
        <v>62700</v>
      </c>
      <c r="J781" s="19" t="n">
        <v>62700</v>
      </c>
      <c r="K781" s="20" t="n">
        <v>0</v>
      </c>
      <c r="L781" s="4" t="inlineStr">
        <is>
          <t>https://www.gucci.com/jp/ja/pr/women/handbags/gg-shoulder-strap-p-75207192TCG8563</t>
        </is>
      </c>
      <c r="M781" s="5">
        <f t="array" ref="M781">_xlfn.IFS(J781="NOTFOUND",I781,J781&gt;=I781,J781)</f>
        <v/>
      </c>
    </row>
    <row r="782" ht="18" customHeight="1" s="16">
      <c r="A782" s="5" t="n">
        <v>781</v>
      </c>
      <c r="B782" s="5" t="inlineStr">
        <is>
          <t>GU-3033</t>
        </is>
      </c>
      <c r="D782" s="5" t="inlineStr">
        <is>
          <t>GUCCI スクリプト キーチェーン</t>
        </is>
      </c>
      <c r="E782" s="5" t="inlineStr">
        <is>
          <t>820540 J160Y 8053</t>
        </is>
      </c>
      <c r="F782" s="5" t="inlineStr">
        <is>
          <t xml:space="preserve">  -</t>
        </is>
      </c>
      <c r="G782" s="10" t="inlineStr">
        <is>
          <t>OneSize</t>
        </is>
      </c>
      <c r="H782" s="17" t="inlineStr">
        <is>
          <t>OneSize</t>
        </is>
      </c>
      <c r="I782" s="18" t="n">
        <v>68200</v>
      </c>
      <c r="J782" s="19" t="n">
        <v>68200</v>
      </c>
      <c r="K782" s="20" t="n">
        <v>5</v>
      </c>
      <c r="L782" s="4" t="inlineStr">
        <is>
          <t>https://www.gucci.com/jp/ja/pr/men/small-leather-goods-for-men/key-rings-key-cases-for-men/gucci-script-keychain-p-820540J160Y8053</t>
        </is>
      </c>
      <c r="M782" s="5">
        <f t="array" ref="M782">_xlfn.IFS(J782="NOTFOUND",I782,J782&gt;=I782,J782)</f>
        <v/>
      </c>
    </row>
    <row r="783" ht="18" customHeight="1" s="16">
      <c r="A783" s="5" t="n">
        <v>782</v>
      </c>
      <c r="B783" s="5" t="inlineStr">
        <is>
          <t>GU-3034</t>
        </is>
      </c>
      <c r="D783" s="5" t="inlineStr">
        <is>
          <t>ブロンディ キーチェーン</t>
        </is>
      </c>
      <c r="E783" s="5" t="inlineStr">
        <is>
          <t>818798 I11DS 8041</t>
        </is>
      </c>
      <c r="F783" s="5" t="inlineStr">
        <is>
          <t>ライトゴールドトーン メタル</t>
        </is>
      </c>
      <c r="G783" s="10" t="inlineStr">
        <is>
          <t>OneSize</t>
        </is>
      </c>
      <c r="H783" s="17" t="inlineStr">
        <is>
          <t>OneSize</t>
        </is>
      </c>
      <c r="I783" s="18" t="n">
        <v>60500</v>
      </c>
      <c r="J783" s="19" t="n">
        <v>60500</v>
      </c>
      <c r="K783" s="20" t="n">
        <v>5</v>
      </c>
      <c r="L783" s="4" t="inlineStr">
        <is>
          <t>https://www.gucci.com/jp/ja/pr/women/small-leather-goods-for-women/key-cases-charms-for-women/gucci-blondie-keychain-p-818798I11DS8041</t>
        </is>
      </c>
      <c r="M783" s="5">
        <f t="array" ref="M783">_xlfn.IFS(J783="NOTFOUND",I783,J783&gt;=I783,J783)</f>
        <v/>
      </c>
    </row>
    <row r="784" ht="18" customHeight="1" s="16">
      <c r="A784" s="5" t="n">
        <v>783</v>
      </c>
      <c r="B784" s="5" t="inlineStr">
        <is>
          <t>GU-3035</t>
        </is>
      </c>
      <c r="D784" s="5" t="inlineStr">
        <is>
          <t>ブロンディ キーチェーン</t>
        </is>
      </c>
      <c r="E784" s="5" t="inlineStr">
        <is>
          <t>818798 I11DS 8073</t>
        </is>
      </c>
      <c r="F784" s="5" t="inlineStr">
        <is>
          <t>ライトゴールドトーン メタル</t>
        </is>
      </c>
      <c r="G784" s="10" t="inlineStr">
        <is>
          <t>OneSize</t>
        </is>
      </c>
      <c r="H784" s="17" t="inlineStr">
        <is>
          <t>OneSize</t>
        </is>
      </c>
      <c r="I784" s="18" t="n">
        <v>60500</v>
      </c>
      <c r="J784" s="19" t="n">
        <v>60500</v>
      </c>
      <c r="K784" s="20" t="n">
        <v>5</v>
      </c>
      <c r="L784" s="4" t="inlineStr">
        <is>
          <t>https://www.gucci.com/jp/ja/pr/women/small-leather-goods-for-women/key-cases-charms-for-women/gucci-blondie-keychain-p-818798I11DS8073</t>
        </is>
      </c>
      <c r="M784" s="5">
        <f t="array" ref="M784">_xlfn.IFS(J784="NOTFOUND",I784,J784&gt;=I784,J784)</f>
        <v/>
      </c>
    </row>
    <row r="785" ht="18" customHeight="1" s="16">
      <c r="A785" s="5" t="n">
        <v>784</v>
      </c>
      <c r="B785" s="5" t="inlineStr">
        <is>
          <t>GU-3036</t>
        </is>
      </c>
      <c r="D785" s="5" t="inlineStr">
        <is>
          <t>ダブルG キーチェーン</t>
        </is>
      </c>
      <c r="E785" s="5" t="inlineStr">
        <is>
          <t>817379 J160T 8233</t>
        </is>
      </c>
      <c r="F785" s="5" t="inlineStr">
        <is>
          <t xml:space="preserve">  -</t>
        </is>
      </c>
      <c r="G785" s="10" t="inlineStr">
        <is>
          <t>OneSize</t>
        </is>
      </c>
      <c r="H785" s="17" t="inlineStr">
        <is>
          <t>OneSize</t>
        </is>
      </c>
      <c r="I785" s="18" t="n">
        <v>50600</v>
      </c>
      <c r="J785" s="19" t="n">
        <v>50600</v>
      </c>
      <c r="K785" s="20" t="n">
        <v>5</v>
      </c>
      <c r="L785" s="4" t="inlineStr">
        <is>
          <t>https://www.gucci.com/jp/ja/pr/men/small-leather-goods-for-men/key-rings-key-cases-for-men/double-g-keychain-p-817379J160T8233</t>
        </is>
      </c>
      <c r="M785" s="5">
        <f t="array" ref="M785">_xlfn.IFS(J785="NOTFOUND",I785,J785&gt;=I785,J785)</f>
        <v/>
      </c>
    </row>
    <row r="786" ht="18" customHeight="1" s="16">
      <c r="A786" s="5" t="n">
        <v>785</v>
      </c>
      <c r="B786" s="5" t="inlineStr">
        <is>
          <t>GU-3037</t>
        </is>
      </c>
      <c r="D786" s="5" t="inlineStr">
        <is>
          <t>オフィディア フック クロージャー付き キーチェーン</t>
        </is>
      </c>
      <c r="E786" s="5" t="inlineStr">
        <is>
          <t>817017 JAAH4 8766</t>
        </is>
      </c>
      <c r="F786" s="5" t="inlineStr">
        <is>
          <t xml:space="preserve">  -</t>
        </is>
      </c>
      <c r="G786" s="10" t="inlineStr">
        <is>
          <t>OneSize</t>
        </is>
      </c>
      <c r="H786" s="17" t="inlineStr">
        <is>
          <t>OneSize</t>
        </is>
      </c>
      <c r="I786" s="18" t="n">
        <v>52800</v>
      </c>
      <c r="J786" s="19" t="n">
        <v>52800</v>
      </c>
      <c r="K786" s="20" t="n">
        <v>5</v>
      </c>
      <c r="L786" s="4" t="inlineStr">
        <is>
          <t>https://www.gucci.com/jp/ja/pr/men/small-leather-goods-for-men/key-rings-key-cases-for-men/ophidia-keychain-with-hook-closure-p-817017JAAH48766</t>
        </is>
      </c>
      <c r="M786" s="5">
        <f t="array" ref="M786">_xlfn.IFS(J786="NOTFOUND",I786,J786&gt;=I786,J786)</f>
        <v/>
      </c>
    </row>
    <row r="787" ht="18" customHeight="1" s="16">
      <c r="A787" s="5" t="n">
        <v>786</v>
      </c>
      <c r="B787" s="5" t="inlineStr">
        <is>
          <t>GU-3038</t>
        </is>
      </c>
      <c r="D787" s="5" t="inlineStr">
        <is>
          <t>クリスタル ツリー キーチェーン</t>
        </is>
      </c>
      <c r="E787" s="5" t="inlineStr">
        <is>
          <t>814868 J1D4T 8751</t>
        </is>
      </c>
      <c r="F787" s="5" t="inlineStr">
        <is>
          <t xml:space="preserve">  -</t>
        </is>
      </c>
      <c r="G787" s="10" t="inlineStr">
        <is>
          <t>OneSize</t>
        </is>
      </c>
      <c r="H787" s="22" t="inlineStr">
        <is>
          <t>SOLD</t>
        </is>
      </c>
      <c r="I787" s="18" t="n">
        <v>119900</v>
      </c>
      <c r="J787" s="23" t="inlineStr">
        <is>
          <t>NOTFOUND</t>
        </is>
      </c>
      <c r="K787" s="20" t="n">
        <v>0</v>
      </c>
      <c r="L787" s="4" t="inlineStr">
        <is>
          <t>https://www.gucci.com/jp/ja/pr/women/small-leather-goods-for-women/key-cases-charms-for-women/crystal-tree-keychain-p-814868J1D4T8751</t>
        </is>
      </c>
      <c r="M787" s="5">
        <f t="array" ref="M787">_xlfn.IFS(J787="NOTFOUND",I787,J787&gt;=I787,J787)</f>
        <v/>
      </c>
    </row>
    <row r="788" ht="18" customHeight="1" s="16">
      <c r="A788" s="5" t="n">
        <v>787</v>
      </c>
      <c r="B788" s="5" t="inlineStr">
        <is>
          <t>GU-3039</t>
        </is>
      </c>
      <c r="D788" s="5" t="inlineStr">
        <is>
          <t>クリスタル ダブルG キーチェーン</t>
        </is>
      </c>
      <c r="E788" s="5" t="inlineStr">
        <is>
          <t>812851 J1D4T 8576</t>
        </is>
      </c>
      <c r="F788" s="5" t="inlineStr">
        <is>
          <t xml:space="preserve">  -</t>
        </is>
      </c>
      <c r="G788" s="10" t="inlineStr">
        <is>
          <t>OneSize</t>
        </is>
      </c>
      <c r="H788" s="17" t="inlineStr">
        <is>
          <t>OneSize</t>
        </is>
      </c>
      <c r="I788" s="18" t="n">
        <v>88000</v>
      </c>
      <c r="J788" s="19" t="n">
        <v>88000</v>
      </c>
      <c r="K788" s="20" t="n">
        <v>5</v>
      </c>
      <c r="L788" s="4" t="inlineStr">
        <is>
          <t>https://www.gucci.com/jp/ja/pr/women/small-leather-goods-for-women/key-cases-charms-for-women/crystal-double-g-keychain-p-812851J1D4T8576</t>
        </is>
      </c>
      <c r="M788" s="5">
        <f t="array" ref="M788">_xlfn.IFS(J788="NOTFOUND",I788,J788&gt;=I788,J788)</f>
        <v/>
      </c>
    </row>
    <row r="789" ht="18" customHeight="1" s="16">
      <c r="A789" s="5" t="n">
        <v>788</v>
      </c>
      <c r="B789" s="5" t="inlineStr">
        <is>
          <t>GU-3040</t>
        </is>
      </c>
      <c r="D789" s="5" t="inlineStr">
        <is>
          <t>クリスタル スター キーチェーン</t>
        </is>
      </c>
      <c r="E789" s="5" t="inlineStr">
        <is>
          <t>799982 J1D4T 8576</t>
        </is>
      </c>
      <c r="F789" s="5" t="inlineStr">
        <is>
          <t xml:space="preserve">  -</t>
        </is>
      </c>
      <c r="G789" s="10" t="inlineStr">
        <is>
          <t>OneSize</t>
        </is>
      </c>
      <c r="H789" s="17" t="inlineStr">
        <is>
          <t>OneSize</t>
        </is>
      </c>
      <c r="I789" s="18" t="n">
        <v>88000</v>
      </c>
      <c r="J789" s="19" t="n">
        <v>88000</v>
      </c>
      <c r="K789" s="20" t="n">
        <v>5</v>
      </c>
      <c r="L789" s="4" t="inlineStr">
        <is>
          <t>https://www.gucci.com/jp/ja/pr/women/small-leather-goods-for-women/key-cases-charms-for-women/crystal-star-keychain-p-799982J1D4T8576</t>
        </is>
      </c>
      <c r="M789" s="5">
        <f t="array" ref="M789">_xlfn.IFS(J789="NOTFOUND",I789,J789&gt;=I789,J789)</f>
        <v/>
      </c>
    </row>
    <row r="790" ht="18" customHeight="1" s="16">
      <c r="A790" s="5" t="n">
        <v>789</v>
      </c>
      <c r="B790" s="5" t="inlineStr">
        <is>
          <t>GU-3041</t>
        </is>
      </c>
      <c r="D790" s="5" t="inlineStr">
        <is>
          <t>オフィディア フック クロージャー付き キーチェーン</t>
        </is>
      </c>
      <c r="E790" s="5" t="inlineStr">
        <is>
          <t>794061 HUH3T 9781</t>
        </is>
      </c>
      <c r="F790" s="5" t="inlineStr">
        <is>
          <t>ベージュ＆エボニー GGスプリーム キャンバス</t>
        </is>
      </c>
      <c r="G790" s="11" t="inlineStr">
        <is>
          <t>SOLD</t>
        </is>
      </c>
      <c r="H790" s="22" t="inlineStr">
        <is>
          <t>SOLD</t>
        </is>
      </c>
      <c r="I790" s="18" t="n">
        <v>42900</v>
      </c>
      <c r="J790" s="23" t="inlineStr">
        <is>
          <t>NOTFOUND</t>
        </is>
      </c>
      <c r="K790" s="20" t="n">
        <v>0</v>
      </c>
      <c r="L790" s="4" t="inlineStr">
        <is>
          <t>https://www.gucci.com/jp/ja/pr/men/small-leather-goods-for-men/key-rings-key-cases-for-men/ophidia-keychain-with-hook-closure-p-794061HUH3T9781</t>
        </is>
      </c>
      <c r="M790" s="5">
        <f t="array" ref="M790">_xlfn.IFS(J790="NOTFOUND",I790,J790&gt;=I790,J790)</f>
        <v/>
      </c>
    </row>
    <row r="791" ht="18" customHeight="1" s="16">
      <c r="A791" s="5" t="n">
        <v>790</v>
      </c>
      <c r="B791" s="5" t="inlineStr">
        <is>
          <t>GU-3042</t>
        </is>
      </c>
      <c r="D791" s="5" t="inlineStr">
        <is>
          <t>GUCCI スクリプト キーチェーン</t>
        </is>
      </c>
      <c r="E791" s="5" t="inlineStr">
        <is>
          <t>773970 JAAFS 8043</t>
        </is>
      </c>
      <c r="F791" s="5" t="inlineStr">
        <is>
          <t xml:space="preserve">  -</t>
        </is>
      </c>
      <c r="G791" s="11" t="inlineStr">
        <is>
          <t>SOLD</t>
        </is>
      </c>
      <c r="H791" s="22" t="inlineStr">
        <is>
          <t>SOLD</t>
        </is>
      </c>
      <c r="I791" s="18" t="n">
        <v>55000</v>
      </c>
      <c r="J791" s="23" t="inlineStr">
        <is>
          <t>NOTFOUND</t>
        </is>
      </c>
      <c r="K791" s="20" t="n">
        <v>0</v>
      </c>
      <c r="L791" s="4" t="inlineStr">
        <is>
          <t>https://www.gucci.com/jp/ja/pr/women/small-leather-goods-for-women/key-cases-charms-for-women/keychain-with-gucci-script-p-773970JAAFS8043</t>
        </is>
      </c>
      <c r="M791" s="5">
        <f t="array" ref="M791">_xlfn.IFS(J791="NOTFOUND",I791,J791&gt;=I791,J791)</f>
        <v/>
      </c>
    </row>
    <row r="792" ht="18" customHeight="1" s="16">
      <c r="A792" s="5" t="n">
        <v>791</v>
      </c>
      <c r="B792" s="5" t="inlineStr">
        <is>
          <t>GU-3043</t>
        </is>
      </c>
      <c r="D792" s="5" t="inlineStr">
        <is>
          <t>GUCCI スクリプト キーチェーン</t>
        </is>
      </c>
      <c r="E792" s="5" t="inlineStr">
        <is>
          <t>773969 J160G 0812</t>
        </is>
      </c>
      <c r="F792" s="5" t="inlineStr">
        <is>
          <t xml:space="preserve">  -</t>
        </is>
      </c>
      <c r="G792" s="10" t="inlineStr">
        <is>
          <t>OneSize</t>
        </is>
      </c>
      <c r="H792" s="22" t="inlineStr">
        <is>
          <t>SOLD</t>
        </is>
      </c>
      <c r="I792" s="18" t="n">
        <v>49500</v>
      </c>
      <c r="J792" s="23" t="inlineStr">
        <is>
          <t>NOTFOUND</t>
        </is>
      </c>
      <c r="K792" s="20" t="n">
        <v>0</v>
      </c>
      <c r="L792" s="4" t="inlineStr">
        <is>
          <t>https://www.gucci.com/jp/ja/pr/women/small-leather-goods-for-women/key-cases-charms-for-women/keychain-with-gucci-script-p-773969J160G0812</t>
        </is>
      </c>
      <c r="M792" s="5">
        <f t="array" ref="M792">_xlfn.IFS(J792="NOTFOUND",I792,J792&gt;=I792,J792)</f>
        <v/>
      </c>
    </row>
    <row r="793" ht="18" customHeight="1" s="16">
      <c r="A793" s="5" t="n">
        <v>792</v>
      </c>
      <c r="B793" s="5" t="inlineStr">
        <is>
          <t>GU-3044</t>
        </is>
      </c>
      <c r="D793" s="5" t="inlineStr">
        <is>
          <t>ダブルG キーチェーン</t>
        </is>
      </c>
      <c r="E793" s="5" t="inlineStr">
        <is>
          <t>752067 J1600 8991</t>
        </is>
      </c>
      <c r="F793" s="5" t="inlineStr">
        <is>
          <t>ゴールドトーン メタル</t>
        </is>
      </c>
      <c r="G793" s="11" t="inlineStr">
        <is>
          <t>SOLD</t>
        </is>
      </c>
      <c r="H793" s="22" t="inlineStr">
        <is>
          <t>SOLD</t>
        </is>
      </c>
      <c r="I793" s="18" t="n">
        <v>44000</v>
      </c>
      <c r="J793" s="23" t="inlineStr">
        <is>
          <t>NOTFOUND</t>
        </is>
      </c>
      <c r="K793" s="20" t="n">
        <v>0</v>
      </c>
      <c r="L793" s="4" t="inlineStr">
        <is>
          <t>https://www.gucci.com/jp/ja/pr/men/small-leather-goods-for-men/key-rings-key-cases-for-men/double-g-keychain-p-752067J16008991</t>
        </is>
      </c>
      <c r="M793" s="5">
        <f t="array" ref="M793">_xlfn.IFS(J793="NOTFOUND",I793,J793&gt;=I793,J793)</f>
        <v/>
      </c>
    </row>
    <row r="794" ht="18" customHeight="1" s="16">
      <c r="A794" s="5" t="n">
        <v>793</v>
      </c>
      <c r="B794" s="5" t="inlineStr">
        <is>
          <t>GU-3045</t>
        </is>
      </c>
      <c r="D794" s="5" t="inlineStr">
        <is>
          <t>ダブルG キーチェーン</t>
        </is>
      </c>
      <c r="E794" s="5" t="inlineStr">
        <is>
          <t>752067 J160N 0788</t>
        </is>
      </c>
      <c r="F794" s="5" t="inlineStr">
        <is>
          <t>パラジウムトーン ハードウェア</t>
        </is>
      </c>
      <c r="G794" s="11" t="inlineStr">
        <is>
          <t>SOLD</t>
        </is>
      </c>
      <c r="H794" s="22" t="inlineStr">
        <is>
          <t>SOLD</t>
        </is>
      </c>
      <c r="I794" s="18" t="n">
        <v>44000</v>
      </c>
      <c r="J794" s="23" t="inlineStr">
        <is>
          <t>NOTFOUND</t>
        </is>
      </c>
      <c r="K794" s="20" t="n">
        <v>0</v>
      </c>
      <c r="L794" s="4" t="inlineStr">
        <is>
          <t>https://www.gucci.com/jp/ja/pr/men/small-leather-goods-for-men/key-rings-key-cases-for-men/double-g-keychain-p-752067J160N0788</t>
        </is>
      </c>
      <c r="M794" s="5">
        <f t="array" ref="M794">_xlfn.IFS(J794="NOTFOUND",I794,J794&gt;=I794,J794)</f>
        <v/>
      </c>
    </row>
    <row r="795" ht="18" customHeight="1" s="16">
      <c r="A795" s="5" t="n">
        <v>794</v>
      </c>
      <c r="B795" s="5" t="inlineStr">
        <is>
          <t>GU-3046</t>
        </is>
      </c>
      <c r="D795" s="5" t="inlineStr">
        <is>
          <t>オフィディア キーチェーン</t>
        </is>
      </c>
      <c r="E795" s="5" t="inlineStr">
        <is>
          <t>523161 HE2NG 8742</t>
        </is>
      </c>
      <c r="F795" s="5" t="inlineStr">
        <is>
          <t xml:space="preserve">  -</t>
        </is>
      </c>
      <c r="G795" s="10" t="inlineStr">
        <is>
          <t>OneSize</t>
        </is>
      </c>
      <c r="H795" s="17" t="inlineStr">
        <is>
          <t>OneSize</t>
        </is>
      </c>
      <c r="I795" s="18" t="n">
        <v>33000</v>
      </c>
      <c r="J795" s="19" t="n">
        <v>33000</v>
      </c>
      <c r="K795" s="20" t="n">
        <v>5</v>
      </c>
      <c r="L795" s="4" t="inlineStr">
        <is>
          <t>https://www.gucci.com/jp/ja/pr/men/small-leather-goods-for-men/key-rings-key-cases-for-men/ophidia-keychain-p-523161HE2NG8742</t>
        </is>
      </c>
      <c r="M795" s="5">
        <f t="array" ref="M795">_xlfn.IFS(J795="NOTFOUND",I795,J795&gt;=I795,J795)</f>
        <v/>
      </c>
    </row>
    <row r="796" ht="18" customHeight="1" s="16">
      <c r="A796" s="5" t="n">
        <v>795</v>
      </c>
      <c r="B796" s="5" t="inlineStr">
        <is>
          <t>GU-3047</t>
        </is>
      </c>
      <c r="D796" s="5" t="inlineStr">
        <is>
          <t>オフィディア フック クロージャー付き キーチェーン</t>
        </is>
      </c>
      <c r="E796" s="5" t="inlineStr">
        <is>
          <t>794061 K9GST 8358</t>
        </is>
      </c>
      <c r="F796" s="5" t="inlineStr">
        <is>
          <t>ベージュ＆エボニー GGスプリーム キャンバス</t>
        </is>
      </c>
      <c r="G796" s="10" t="inlineStr">
        <is>
          <t>OneSize</t>
        </is>
      </c>
      <c r="H796" s="17" t="inlineStr">
        <is>
          <t>OneSize</t>
        </is>
      </c>
      <c r="I796" s="18" t="n">
        <v>42900</v>
      </c>
      <c r="J796" s="19" t="n">
        <v>42900</v>
      </c>
      <c r="K796" s="20" t="n">
        <v>5</v>
      </c>
      <c r="L796" s="4" t="inlineStr">
        <is>
          <t>https://www.gucci.com/jp/ja/pr/men/small-leather-goods-for-men/key-rings-key-cases-for-men/ophidia-keychain-with-hook-closure-p-794061K9GST8358</t>
        </is>
      </c>
      <c r="M796" s="5">
        <f t="array" ref="M796">_xlfn.IFS(J796="NOTFOUND",I796,J796&gt;=I796,J796)</f>
        <v/>
      </c>
    </row>
    <row r="797" ht="18" customHeight="1" s="16">
      <c r="A797" s="5" t="n">
        <v>796</v>
      </c>
      <c r="B797" s="5" t="inlineStr">
        <is>
          <t>GU-3048</t>
        </is>
      </c>
      <c r="D797" s="5" t="inlineStr">
        <is>
          <t>バイカラー マグネット カードケース</t>
        </is>
      </c>
      <c r="E797" s="5" t="inlineStr">
        <is>
          <t>817197 FACQC 9773</t>
        </is>
      </c>
      <c r="F797" s="5" t="inlineStr">
        <is>
          <t>ベージュ＆ダークブラウン GGスプリーム キャンバス</t>
        </is>
      </c>
      <c r="G797" s="10" t="inlineStr">
        <is>
          <t>OneSize</t>
        </is>
      </c>
      <c r="H797" s="17" t="inlineStr">
        <is>
          <t>OneSize</t>
        </is>
      </c>
      <c r="I797" s="18" t="n">
        <v>57200</v>
      </c>
      <c r="J797" s="19" t="n">
        <v>57200</v>
      </c>
      <c r="K797" s="20" t="n">
        <v>5</v>
      </c>
      <c r="L797" s="4" t="inlineStr">
        <is>
          <t>https://www.gucci.com/jp/ja/pr/women/small-leather-goods-for-women/tech-accessories-for-women/bi-color-magnetic-card-case-p-817197FACQC9773</t>
        </is>
      </c>
      <c r="M797" s="5">
        <f t="array" ref="M797">_xlfn.IFS(J797="NOTFOUND",I797,J797&gt;=I797,J797)</f>
        <v/>
      </c>
    </row>
    <row r="798" ht="18" customHeight="1" s="16">
      <c r="A798" s="5" t="n">
        <v>797</v>
      </c>
      <c r="B798" s="5" t="inlineStr">
        <is>
          <t>GU-3049</t>
        </is>
      </c>
      <c r="D798" s="5" t="inlineStr">
        <is>
          <t>ダブルG コンチネンタルウォレット財布</t>
        </is>
      </c>
      <c r="E798" s="5" t="inlineStr">
        <is>
          <t>795627 AADQE 5741</t>
        </is>
      </c>
      <c r="F798" s="5" t="inlineStr">
        <is>
          <t xml:space="preserve">  -</t>
        </is>
      </c>
      <c r="G798" s="11" t="inlineStr">
        <is>
          <t>SOLD</t>
        </is>
      </c>
      <c r="H798" s="22" t="inlineStr">
        <is>
          <t>SOLD</t>
        </is>
      </c>
      <c r="I798" s="18" t="n">
        <v>126500</v>
      </c>
      <c r="J798" s="23" t="inlineStr">
        <is>
          <t>NOTFOUND</t>
        </is>
      </c>
      <c r="K798" s="20" t="n">
        <v>0</v>
      </c>
      <c r="L798" s="4" t="inlineStr">
        <is>
          <t>https://www.gucci.com/jp/ja/pr/women/small-leather-goods-for-women/continental-wallets-for-women/gg-marmont-continental-wallet-p-795627AADQE5741</t>
        </is>
      </c>
      <c r="M798" s="5">
        <f t="array" ref="M798">_xlfn.IFS(J798="NOTFOUND",I798,J798&gt;=I798,J798)</f>
        <v/>
      </c>
    </row>
    <row r="799" ht="18" customHeight="1" s="16">
      <c r="A799" s="5" t="n">
        <v>798</v>
      </c>
      <c r="B799" s="5" t="inlineStr">
        <is>
          <t>GU-3050</t>
        </is>
      </c>
      <c r="D799" s="5" t="inlineStr">
        <is>
          <t>ダブルG カードケース 名刺入れ</t>
        </is>
      </c>
      <c r="E799" s="5" t="inlineStr">
        <is>
          <t>790067 AADQE 5741</t>
        </is>
      </c>
      <c r="F799" s="5" t="inlineStr">
        <is>
          <t>エボニー GGスプリーム キャンバス、ベージュ レザー</t>
        </is>
      </c>
      <c r="G799" s="11" t="inlineStr">
        <is>
          <t>SOLD</t>
        </is>
      </c>
      <c r="H799" s="22" t="inlineStr">
        <is>
          <t>SOLD</t>
        </is>
      </c>
      <c r="I799" s="18" t="n">
        <v>56100</v>
      </c>
      <c r="J799" s="23" t="inlineStr">
        <is>
          <t>NOTFOUND</t>
        </is>
      </c>
      <c r="K799" s="20" t="n">
        <v>0</v>
      </c>
      <c r="L799" s="4" t="inlineStr">
        <is>
          <t>https://www.gucci.com/jp/ja/pr/women/small-leather-goods-for-women/card-coin-cases-for-women/gg-marmont-card-case-p-790067AADQE5741</t>
        </is>
      </c>
      <c r="M799" s="5">
        <f t="array" ref="M799">_xlfn.IFS(J799="NOTFOUND",I799,J799&gt;=I799,J799)</f>
        <v/>
      </c>
    </row>
    <row r="800" ht="18" customHeight="1" s="16">
      <c r="A800" s="5" t="n">
        <v>799</v>
      </c>
      <c r="B800" s="5" t="inlineStr">
        <is>
          <t>GU-3051</t>
        </is>
      </c>
      <c r="D800" s="5" t="inlineStr">
        <is>
          <t>ダブルG カードケース 名刺入れ</t>
        </is>
      </c>
      <c r="E800" s="5" t="inlineStr">
        <is>
          <t>739525 AACFE 9543</t>
        </is>
      </c>
      <c r="F800" s="5" t="inlineStr">
        <is>
          <t>オートミール レザー＆GGスプリーム キャンバス</t>
        </is>
      </c>
      <c r="G800" s="10" t="inlineStr">
        <is>
          <t>OneSize</t>
        </is>
      </c>
      <c r="H800" s="17" t="inlineStr">
        <is>
          <t>OneSize</t>
        </is>
      </c>
      <c r="I800" s="18" t="n">
        <v>46750</v>
      </c>
      <c r="J800" s="19" t="n">
        <v>46750</v>
      </c>
      <c r="K800" s="20" t="n">
        <v>5</v>
      </c>
      <c r="L800" s="4" t="inlineStr">
        <is>
          <t>https://www.gucci.com/jp/ja/pr/women/small-leather-goods-for-women/card-coin-cases-for-women/gg-marmont-card-case-p-739525AACFE9543</t>
        </is>
      </c>
      <c r="M800" s="5">
        <f t="array" ref="M800">_xlfn.IFS(J800="NOTFOUND",I800,J800&gt;=I800,J800)</f>
        <v/>
      </c>
    </row>
    <row r="801" ht="18" customHeight="1" s="16">
      <c r="A801" s="5" t="n">
        <v>800</v>
      </c>
      <c r="B801" s="5" t="inlineStr">
        <is>
          <t>GU-3052</t>
        </is>
      </c>
      <c r="D801" s="5" t="inlineStr">
        <is>
          <t>ホースビット 1955 ミニバッグ</t>
        </is>
      </c>
      <c r="E801" s="5" t="inlineStr">
        <is>
          <t>699296 UULBG 9683</t>
        </is>
      </c>
      <c r="F801" s="5" t="inlineStr">
        <is>
          <t>ベージュ＆ホワイト GGスプリーム</t>
        </is>
      </c>
      <c r="G801" s="10" t="inlineStr">
        <is>
          <t>OneSize</t>
        </is>
      </c>
      <c r="H801" s="17" t="inlineStr">
        <is>
          <t>OneSize</t>
        </is>
      </c>
      <c r="I801" s="18" t="n">
        <v>192500</v>
      </c>
      <c r="J801" s="19" t="n">
        <v>192500</v>
      </c>
      <c r="K801" s="20" t="n">
        <v>5</v>
      </c>
      <c r="L801" s="4" t="inlineStr">
        <is>
          <t>https://www.gucci.com/jp/ja/pr/women/handbags/mini-bags-for-women/gucci-horsebit-1955-mini-bag-p-699296UULBG9683</t>
        </is>
      </c>
      <c r="M801" s="5">
        <f t="array" ref="M801">_xlfn.IFS(J801="NOTFOUND",I801,J801&gt;=I801,J801)</f>
        <v/>
      </c>
    </row>
    <row r="802" ht="18" customHeight="1" s="16">
      <c r="A802" s="5" t="n">
        <v>801</v>
      </c>
      <c r="B802" s="5" t="inlineStr">
        <is>
          <t>GU-3053</t>
        </is>
      </c>
      <c r="D802" s="5" t="inlineStr">
        <is>
          <t>ダブルG カードケース ウォレット財布</t>
        </is>
      </c>
      <c r="E802" s="5" t="inlineStr">
        <is>
          <t>658610 AACFE 9543</t>
        </is>
      </c>
      <c r="F802" s="5" t="inlineStr">
        <is>
          <t>オートミール レザー＆GGスプリーム キャンバス</t>
        </is>
      </c>
      <c r="G802" s="11" t="inlineStr">
        <is>
          <t>SOLD</t>
        </is>
      </c>
      <c r="H802" s="22" t="inlineStr">
        <is>
          <t>SOLD</t>
        </is>
      </c>
      <c r="I802" s="18" t="n">
        <v>63800</v>
      </c>
      <c r="J802" s="19" t="n">
        <v>63800</v>
      </c>
      <c r="K802" s="20" t="n">
        <v>0</v>
      </c>
      <c r="L802" s="4" t="inlineStr">
        <is>
          <t>https://www.gucci.com/jp/ja/pr/women/small-leather-goods-for-women/folded-wallets-for-women/gg-marmont-bi-color-card-case-wallet-p-658610AACFE9543</t>
        </is>
      </c>
      <c r="M802" s="5">
        <f t="array" ref="M802">_xlfn.IFS(J802="NOTFOUND",I802,J802&gt;=I802,J802)</f>
        <v/>
      </c>
    </row>
    <row r="803" ht="18" customHeight="1" s="16">
      <c r="A803" s="5" t="n">
        <v>802</v>
      </c>
      <c r="B803" s="5" t="inlineStr">
        <is>
          <t>GU-3054</t>
        </is>
      </c>
      <c r="D803" s="5" t="inlineStr">
        <is>
          <t>ウェブ ストライプ付き GUCCI SAVOYウォッチケース</t>
        </is>
      </c>
      <c r="E803" s="5" t="inlineStr">
        <is>
          <t>649581 UVFAT 8358</t>
        </is>
      </c>
      <c r="F803" s="5" t="inlineStr">
        <is>
          <t xml:space="preserve">  -</t>
        </is>
      </c>
      <c r="G803" s="10" t="inlineStr">
        <is>
          <t>OneSize</t>
        </is>
      </c>
      <c r="H803" s="17" t="inlineStr">
        <is>
          <t>OneSize</t>
        </is>
      </c>
      <c r="I803" s="18" t="n">
        <v>500500</v>
      </c>
      <c r="J803" s="19" t="n">
        <v>500500</v>
      </c>
      <c r="K803" s="20" t="n">
        <v>5</v>
      </c>
      <c r="L803" s="4" t="inlineStr">
        <is>
          <t>https://www.gucci.com/jp/ja/pr/women/travel-bags-for-women/accessories-for-women/gucci-savoy-watch-case-with-web-p-649581UVFAT8358</t>
        </is>
      </c>
      <c r="M803" s="5">
        <f t="array" ref="M803">_xlfn.IFS(J803="NOTFOUND",I803,J803&gt;=I803,J803)</f>
        <v/>
      </c>
    </row>
    <row r="804" ht="18" customHeight="1" s="16">
      <c r="A804" s="5" t="n">
        <v>803</v>
      </c>
      <c r="B804" s="5" t="inlineStr">
        <is>
          <t>GU-3055</t>
        </is>
      </c>
      <c r="D804" s="5" t="inlineStr">
        <is>
          <t>ホースビット 1955 ミニバッグ</t>
        </is>
      </c>
      <c r="E804" s="5" t="inlineStr">
        <is>
          <t>625615 92TCG 8563</t>
        </is>
      </c>
      <c r="F804" s="5" t="inlineStr">
        <is>
          <t xml:space="preserve">  -</t>
        </is>
      </c>
      <c r="G804" s="10" t="inlineStr">
        <is>
          <t>OneSize</t>
        </is>
      </c>
      <c r="H804" s="17" t="inlineStr">
        <is>
          <t>OneSize</t>
        </is>
      </c>
      <c r="I804" s="18" t="n">
        <v>171600</v>
      </c>
      <c r="J804" s="19" t="n">
        <v>171600</v>
      </c>
      <c r="K804" s="20" t="n">
        <v>5</v>
      </c>
      <c r="L804" s="4" t="inlineStr">
        <is>
          <t>https://www.gucci.com/jp/ja/pr/women/handbags/mini-bags-for-women/gucci-horsebit-1955-mini-bag-p-62561592TCG8563</t>
        </is>
      </c>
      <c r="M804" s="5">
        <f t="array" ref="M804">_xlfn.IFS(J804="NOTFOUND",I804,J804&gt;=I804,J804)</f>
        <v/>
      </c>
    </row>
    <row r="805" ht="18" customHeight="1" s="16">
      <c r="A805" s="5" t="n">
        <v>804</v>
      </c>
      <c r="B805" s="5" t="inlineStr">
        <is>
          <t>GU-3056</t>
        </is>
      </c>
      <c r="D805" s="5" t="inlineStr">
        <is>
          <t>ダブルG バイカラー ミディアム ウォレット財布</t>
        </is>
      </c>
      <c r="E805" s="5" t="inlineStr">
        <is>
          <t>598587 AACFE 9543</t>
        </is>
      </c>
      <c r="F805" s="5" t="inlineStr">
        <is>
          <t>オートミール レザー＆GGスプリーム キャンバス</t>
        </is>
      </c>
      <c r="G805" s="10" t="inlineStr">
        <is>
          <t>OneSize</t>
        </is>
      </c>
      <c r="H805" s="17" t="inlineStr">
        <is>
          <t>OneSize</t>
        </is>
      </c>
      <c r="I805" s="18" t="n">
        <v>82500</v>
      </c>
      <c r="J805" s="19" t="n">
        <v>82500</v>
      </c>
      <c r="K805" s="20" t="n">
        <v>5</v>
      </c>
      <c r="L805" s="4" t="inlineStr">
        <is>
          <t>https://www.gucci.com/jp/ja/pr/women/small-leather-goods-for-women/folded-wallets-for-women/gg-marmont-bi-color-medium-wallet-p-598587AACFE9543</t>
        </is>
      </c>
      <c r="M805" s="5">
        <f t="array" ref="M805">_xlfn.IFS(J805="NOTFOUND",I805,J805&gt;=I805,J805)</f>
        <v/>
      </c>
    </row>
    <row r="806" ht="18" customHeight="1" s="16">
      <c r="A806" s="5" t="n">
        <v>805</v>
      </c>
      <c r="B806" s="5" t="inlineStr">
        <is>
          <t>GU-3057</t>
        </is>
      </c>
      <c r="D806" s="5" t="inlineStr">
        <is>
          <t>ダブルG バイカラー ミディアム ウォレット財布</t>
        </is>
      </c>
      <c r="E806" s="5" t="inlineStr">
        <is>
          <t>598587 17WAG 5788</t>
        </is>
      </c>
      <c r="F806" s="5" t="inlineStr">
        <is>
          <t>ダスティピンク レザー＆GGスプリーム</t>
        </is>
      </c>
      <c r="G806" s="11" t="inlineStr">
        <is>
          <t>SOLD</t>
        </is>
      </c>
      <c r="H806" s="17" t="inlineStr">
        <is>
          <t>OneSize</t>
        </is>
      </c>
      <c r="I806" s="18" t="n">
        <v>82500</v>
      </c>
      <c r="J806" s="19" t="n">
        <v>82500</v>
      </c>
      <c r="K806" s="20" t="n">
        <v>5</v>
      </c>
      <c r="L806" s="4" t="inlineStr">
        <is>
          <t>https://www.gucci.com/jp/ja/pr/women/small-leather-goods-for-women/folded-wallets-for-women/gg-marmont-bi-color-medium-wallet-p-59858717WAG5788</t>
        </is>
      </c>
      <c r="M806" s="5">
        <f t="array" ref="M806">_xlfn.IFS(J806="NOTFOUND",I806,J806&gt;=I806,J806)</f>
        <v/>
      </c>
    </row>
    <row r="807" ht="18" customHeight="1" s="16">
      <c r="A807" s="5" t="n">
        <v>806</v>
      </c>
      <c r="B807" s="5" t="inlineStr">
        <is>
          <t>GU-3058</t>
        </is>
      </c>
      <c r="D807" s="5" t="inlineStr">
        <is>
          <t>ダブルG キーケース</t>
        </is>
      </c>
      <c r="E807" s="5" t="inlineStr">
        <is>
          <t>456118 AACFE 9543</t>
        </is>
      </c>
      <c r="F807" s="5" t="inlineStr">
        <is>
          <t>オートミール レザー＆GGスプリーム キャンバス</t>
        </is>
      </c>
      <c r="G807" s="10" t="inlineStr">
        <is>
          <t>OneSize</t>
        </is>
      </c>
      <c r="H807" s="17" t="inlineStr">
        <is>
          <t>OneSize</t>
        </is>
      </c>
      <c r="I807" s="18" t="n">
        <v>38500</v>
      </c>
      <c r="J807" s="19" t="n">
        <v>38500</v>
      </c>
      <c r="K807" s="20" t="n">
        <v>5</v>
      </c>
      <c r="L807" s="4" t="inlineStr">
        <is>
          <t>https://www.gucci.com/jp/ja/pr/women/small-leather-goods-for-women/key-cases-charms-for-women/gg-marmont-key-case-p-456118AACFE9543</t>
        </is>
      </c>
      <c r="M807" s="5">
        <f t="array" ref="M807">_xlfn.IFS(J807="NOTFOUND",I807,J807&gt;=I807,J807)</f>
        <v/>
      </c>
    </row>
    <row r="808" ht="18" customHeight="1" s="16">
      <c r="A808" s="5" t="n">
        <v>807</v>
      </c>
      <c r="B808" s="5" t="inlineStr">
        <is>
          <t>GU-3059</t>
        </is>
      </c>
      <c r="D808" s="5" t="inlineStr">
        <is>
          <t>ダブルG バイカラー キーケース</t>
        </is>
      </c>
      <c r="E808" s="5" t="inlineStr">
        <is>
          <t>456118 17WAG 1283</t>
        </is>
      </c>
      <c r="F808" s="5" t="inlineStr">
        <is>
          <t>ブラック レザー＆GGスプリーム</t>
        </is>
      </c>
      <c r="G808" s="10" t="inlineStr">
        <is>
          <t>OneSize</t>
        </is>
      </c>
      <c r="H808" s="17" t="inlineStr">
        <is>
          <t>OneSize</t>
        </is>
      </c>
      <c r="I808" s="18" t="n">
        <v>38500</v>
      </c>
      <c r="J808" s="19" t="n">
        <v>38500</v>
      </c>
      <c r="K808" s="20" t="n">
        <v>5</v>
      </c>
      <c r="L808" s="4" t="inlineStr">
        <is>
          <t>https://www.gucci.com/jp/ja/pr/women/small-leather-goods-for-women/key-cases-charms-for-women/gg-marmont-bi-color-key-case-p-45611817WAG1283</t>
        </is>
      </c>
      <c r="M808" s="5">
        <f t="array" ref="M808">_xlfn.IFS(J808="NOTFOUND",I808,J808&gt;=I808,J808)</f>
        <v/>
      </c>
    </row>
    <row r="809" ht="18" customHeight="1" s="16">
      <c r="A809" s="5" t="n">
        <v>808</v>
      </c>
      <c r="B809" s="5" t="inlineStr">
        <is>
          <t>GU-3060</t>
        </is>
      </c>
      <c r="D809" s="5" t="inlineStr">
        <is>
          <t>ダブルG バイカラー ジップアラウンドウォレット財布</t>
        </is>
      </c>
      <c r="E809" s="5" t="inlineStr">
        <is>
          <t>456117 AACFE 9543</t>
        </is>
      </c>
      <c r="F809" s="5" t="inlineStr">
        <is>
          <t>オートミール レザー＆GGスプリーム キャンバス</t>
        </is>
      </c>
      <c r="G809" s="11" t="inlineStr">
        <is>
          <t>SOLD</t>
        </is>
      </c>
      <c r="H809" s="17" t="inlineStr">
        <is>
          <t>OneSize</t>
        </is>
      </c>
      <c r="I809" s="18" t="n">
        <v>93500</v>
      </c>
      <c r="J809" s="19" t="n">
        <v>93500</v>
      </c>
      <c r="K809" s="20" t="n">
        <v>5</v>
      </c>
      <c r="L809" s="4" t="inlineStr">
        <is>
          <t>https://www.gucci.com/jp/ja/pr/women/small-leather-goods-for-women/zip-around-wallets-for-women/gg-marmont-bi-color-zip-around-wallet-p-456117AACFE9543</t>
        </is>
      </c>
      <c r="M809" s="5">
        <f t="array" ref="M809">_xlfn.IFS(J809="NOTFOUND",I809,J809&gt;=I809,J809)</f>
        <v/>
      </c>
    </row>
    <row r="810" ht="18" customHeight="1" s="16">
      <c r="A810" s="5" t="n">
        <v>809</v>
      </c>
      <c r="B810" s="5" t="inlineStr">
        <is>
          <t>GU-3061</t>
        </is>
      </c>
      <c r="D810" s="5" t="inlineStr">
        <is>
          <t>ダブルG バイカラー コンチネンタルウォレット財布</t>
        </is>
      </c>
      <c r="E810" s="5" t="inlineStr">
        <is>
          <t>456116 AACFE 9543</t>
        </is>
      </c>
      <c r="F810" s="5" t="inlineStr">
        <is>
          <t>オートミール レザー＆GGスプリーム キャンバス</t>
        </is>
      </c>
      <c r="G810" s="11" t="inlineStr">
        <is>
          <t>SOLD</t>
        </is>
      </c>
      <c r="H810" s="22" t="inlineStr">
        <is>
          <t>SOLD</t>
        </is>
      </c>
      <c r="I810" s="18" t="n">
        <v>97900</v>
      </c>
      <c r="J810" s="19" t="n">
        <v>97900</v>
      </c>
      <c r="K810" s="20" t="n">
        <v>0</v>
      </c>
      <c r="L810" s="4" t="inlineStr">
        <is>
          <t>https://www.gucci.com/jp/ja/pr/women/small-leather-goods-for-women/continental-wallets-for-women/gg-marmont-bi-color-continental-wallet-p-456116AACFE9543</t>
        </is>
      </c>
      <c r="M810" s="5">
        <f t="array" ref="M810">_xlfn.IFS(J810="NOTFOUND",I810,J810&gt;=I810,J810)</f>
        <v/>
      </c>
    </row>
    <row r="811" ht="18" customHeight="1" s="16">
      <c r="A811" s="5" t="n">
        <v>810</v>
      </c>
      <c r="B811" s="5" t="inlineStr">
        <is>
          <t>GU-3062</t>
        </is>
      </c>
      <c r="D811" s="5" t="inlineStr">
        <is>
          <t>ダブルG バイカラー コンチネンタルウォレット財布</t>
        </is>
      </c>
      <c r="E811" s="5" t="inlineStr">
        <is>
          <t>456116 17WAG 1283</t>
        </is>
      </c>
      <c r="F811" s="5" t="inlineStr">
        <is>
          <t>ブラックレザー＆GGスプリーム</t>
        </is>
      </c>
      <c r="G811" s="10" t="inlineStr">
        <is>
          <t>OneSize</t>
        </is>
      </c>
      <c r="H811" s="22" t="inlineStr">
        <is>
          <t>SOLD</t>
        </is>
      </c>
      <c r="I811" s="18" t="n">
        <v>97900</v>
      </c>
      <c r="J811" s="23" t="inlineStr">
        <is>
          <t>NOTFOUND</t>
        </is>
      </c>
      <c r="K811" s="20" t="n">
        <v>0</v>
      </c>
      <c r="L811" s="4" t="inlineStr">
        <is>
          <t>https://www.gucci.com/jp/ja/pr/women/small-leather-goods-for-women/continental-wallets-for-women/gg-marmont-bi-color-continental-wallet-p-45611617WAG1283</t>
        </is>
      </c>
      <c r="M811" s="5">
        <f t="array" ref="M811">_xlfn.IFS(J811="NOTFOUND",I811,J811&gt;=I811,J811)</f>
        <v/>
      </c>
    </row>
    <row r="812" ht="18" customHeight="1" s="16">
      <c r="A812" s="5" t="n">
        <v>811</v>
      </c>
      <c r="B812" s="5" t="inlineStr">
        <is>
          <t>GU-3063</t>
        </is>
      </c>
      <c r="D812" s="2" t="inlineStr">
        <is>
          <t>GGエンブレム 二つ折りウォレット 財布</t>
        </is>
      </c>
      <c r="E812" s="2" t="inlineStr">
        <is>
          <t>821206 FAED0 9786</t>
        </is>
      </c>
      <c r="F812" s="2" t="inlineStr">
        <is>
          <t>ベージュ＆ダークブラウン</t>
        </is>
      </c>
      <c r="G812" s="11" t="inlineStr">
        <is>
          <t>SOLD</t>
        </is>
      </c>
      <c r="H812" s="22" t="inlineStr">
        <is>
          <t>SOLD</t>
        </is>
      </c>
      <c r="I812" s="18" t="n">
        <v>63800</v>
      </c>
      <c r="J812" s="23" t="inlineStr">
        <is>
          <t>NOTFOUND</t>
        </is>
      </c>
      <c r="K812" s="20" t="n">
        <v>0</v>
      </c>
      <c r="L812" s="4" t="inlineStr">
        <is>
          <t>https://www.gucci.com/jp/ja/pr/men/small-leather-goods-for-men/bifold-wallets-for-men/gg-emblem-bi-fold-wallet-p-821206FAED09786</t>
        </is>
      </c>
      <c r="M812" s="5">
        <f t="array" ref="M812">_xlfn.IFS(J812="NOTFOUND",I812,J812&gt;=I812,J812)</f>
        <v/>
      </c>
    </row>
    <row r="813" ht="18" customHeight="1" s="16">
      <c r="A813" s="5" t="n">
        <v>812</v>
      </c>
      <c r="B813" s="5" t="inlineStr">
        <is>
          <t>GU-3064</t>
        </is>
      </c>
      <c r="D813" s="2" t="inlineStr">
        <is>
          <t>GGエンブレム エンボス カードケース</t>
        </is>
      </c>
      <c r="E813" s="2" t="inlineStr">
        <is>
          <t>818956 AAEQ7 2747</t>
        </is>
      </c>
      <c r="F813" s="2" t="inlineStr">
        <is>
          <t>ブラウン レザー</t>
        </is>
      </c>
      <c r="G813" s="11" t="inlineStr">
        <is>
          <t>SOLD</t>
        </is>
      </c>
      <c r="H813" s="22" t="inlineStr">
        <is>
          <t>SOLD</t>
        </is>
      </c>
      <c r="I813" s="18" t="n">
        <v>57200</v>
      </c>
      <c r="J813" s="23" t="inlineStr">
        <is>
          <t>NOTFOUND</t>
        </is>
      </c>
      <c r="K813" s="20" t="n">
        <v>0</v>
      </c>
      <c r="L813" s="4" t="inlineStr">
        <is>
          <t>https://www.gucci.com/jp/ja/pr/men/small-leather-goods-for-men/card-holders-coin-cases-for-men/gg-emblem-embossed-card-case-p-818956AAEQ72747</t>
        </is>
      </c>
      <c r="M813" s="5">
        <f t="array" ref="M813">_xlfn.IFS(J813="NOTFOUND",I813,J813&gt;=I813,J813)</f>
        <v/>
      </c>
    </row>
    <row r="814" ht="18" customHeight="1" s="16">
      <c r="A814" s="5" t="n">
        <v>813</v>
      </c>
      <c r="B814" s="5" t="inlineStr">
        <is>
          <t>GU-3065</t>
        </is>
      </c>
      <c r="D814" s="2" t="inlineStr">
        <is>
          <t>GGエンブレム 二つ折りウォレット 財布</t>
        </is>
      </c>
      <c r="E814" s="2" t="inlineStr">
        <is>
          <t>821206 FAD6M 1000</t>
        </is>
      </c>
      <c r="F814" s="2" t="inlineStr">
        <is>
          <t>ブラック</t>
        </is>
      </c>
      <c r="G814" s="10" t="inlineStr">
        <is>
          <t>OneSize</t>
        </is>
      </c>
      <c r="H814" s="17" t="inlineStr">
        <is>
          <t>OneSize</t>
        </is>
      </c>
      <c r="I814" s="18" t="n">
        <v>63800</v>
      </c>
      <c r="J814" s="19" t="n">
        <v>63800</v>
      </c>
      <c r="K814" s="20" t="n">
        <v>5</v>
      </c>
      <c r="L814" s="4" t="inlineStr">
        <is>
          <t>https://www.gucci.com/jp/ja/pr/men/small-leather-goods-for-men/bifold-wallets-for-men/gg-emblem-bi-fold-wallet-p-821206FAD6M1000</t>
        </is>
      </c>
      <c r="M814" s="5">
        <f t="array" ref="M814">_xlfn.IFS(J814="NOTFOUND",I814,J814&gt;=I814,J814)</f>
        <v/>
      </c>
    </row>
    <row r="815" ht="18" customHeight="1" s="16">
      <c r="A815" s="5" t="n">
        <v>814</v>
      </c>
      <c r="B815" s="5" t="inlineStr">
        <is>
          <t>GU-3066</t>
        </is>
      </c>
      <c r="D815" s="2" t="inlineStr">
        <is>
          <t>GGエンブレム ジップアラウンドウォレット 財布</t>
        </is>
      </c>
      <c r="E815" s="2" t="inlineStr">
        <is>
          <t>821207 FAD6M 1000</t>
        </is>
      </c>
      <c r="F815" s="2" t="inlineStr">
        <is>
          <t>ブラック</t>
        </is>
      </c>
      <c r="G815" s="10" t="inlineStr">
        <is>
          <t>OneSize</t>
        </is>
      </c>
      <c r="H815" s="17" t="inlineStr">
        <is>
          <t>OneSize</t>
        </is>
      </c>
      <c r="I815" s="18" t="n">
        <v>108900</v>
      </c>
      <c r="J815" s="19" t="n">
        <v>108900</v>
      </c>
      <c r="K815" s="20" t="n">
        <v>5</v>
      </c>
      <c r="L815" s="4" t="inlineStr">
        <is>
          <t>https://www.gucci.com/jp/ja/pr/men/small-leather-goods-for-men/zip-around-long-wallets-for-men/gg-emblem-zip-around-wallet-p-821207FAD6M1000</t>
        </is>
      </c>
      <c r="M815" s="5">
        <f t="array" ref="M815">_xlfn.IFS(J815="NOTFOUND",I815,J815&gt;=I815,J815)</f>
        <v/>
      </c>
    </row>
    <row r="816" ht="18" customHeight="1" s="16">
      <c r="A816" s="5" t="n">
        <v>815</v>
      </c>
      <c r="B816" s="5" t="inlineStr">
        <is>
          <t>GU-3067</t>
        </is>
      </c>
      <c r="D816" s="2" t="inlineStr">
        <is>
          <t>GGエンブレム ジップアラウンドウォレット 財布</t>
        </is>
      </c>
      <c r="E816" s="2" t="inlineStr">
        <is>
          <t>821207 FAED0 9786</t>
        </is>
      </c>
      <c r="F816" s="2" t="inlineStr">
        <is>
          <t>ベージュ＆ダークブラウン</t>
        </is>
      </c>
      <c r="G816" s="11" t="inlineStr">
        <is>
          <t>SOLD</t>
        </is>
      </c>
      <c r="H816" s="22" t="inlineStr">
        <is>
          <t>SOLD</t>
        </is>
      </c>
      <c r="I816" s="18" t="n">
        <v>108900</v>
      </c>
      <c r="J816" s="23" t="inlineStr">
        <is>
          <t>NOTFOUND</t>
        </is>
      </c>
      <c r="K816" s="20" t="n">
        <v>0</v>
      </c>
      <c r="L816" s="4" t="inlineStr">
        <is>
          <t>https://www.gucci.com/jp/ja/pr/men/small-leather-goods-for-men/zip-around-long-wallets-for-men/gg-emblem-zip-around-wallet-p-821207FAED09786</t>
        </is>
      </c>
      <c r="M816" s="5">
        <f t="array" ref="M816">_xlfn.IFS(J816="NOTFOUND",I816,J816&gt;=I816,J816)</f>
        <v/>
      </c>
    </row>
    <row r="817" ht="18" customHeight="1" s="16">
      <c r="A817" s="5" t="n">
        <v>816</v>
      </c>
      <c r="B817" s="5" t="inlineStr">
        <is>
          <t>GU-3068</t>
        </is>
      </c>
      <c r="D817" s="2" t="inlineStr">
        <is>
          <t>GGエンブレム エンボス 二つ折りウォレット 財布</t>
        </is>
      </c>
      <c r="E817" s="2" t="inlineStr">
        <is>
          <t>818946 AAEQ7 2747</t>
        </is>
      </c>
      <c r="F817" s="2" t="inlineStr">
        <is>
          <t>ブラウン レザー</t>
        </is>
      </c>
      <c r="G817" s="11" t="inlineStr">
        <is>
          <t>SOLD</t>
        </is>
      </c>
      <c r="H817" s="22" t="inlineStr">
        <is>
          <t>SOLD</t>
        </is>
      </c>
      <c r="I817" s="18" t="n">
        <v>82500</v>
      </c>
      <c r="J817" s="23" t="inlineStr">
        <is>
          <t>NOTFOUND</t>
        </is>
      </c>
      <c r="K817" s="20" t="n">
        <v>0</v>
      </c>
      <c r="L817" s="4" t="inlineStr">
        <is>
          <t>https://www.gucci.com/jp/ja/pr/men/small-leather-goods-for-men/bifold-wallets-for-men/gg-emblem-bi-fold-embossed-wallet-p-818946AAEQ72747</t>
        </is>
      </c>
      <c r="M817" s="5">
        <f t="array" ref="M817">_xlfn.IFS(J817="NOTFOUND",I817,J817&gt;=I817,J817)</f>
        <v/>
      </c>
    </row>
    <row r="818" ht="18" customHeight="1" s="16">
      <c r="A818" s="5" t="n">
        <v>817</v>
      </c>
      <c r="B818" s="5" t="inlineStr">
        <is>
          <t>GU-3069</t>
        </is>
      </c>
      <c r="D818" s="2" t="inlineStr">
        <is>
          <t>GGエンブレム スーパーミニバッグ</t>
        </is>
      </c>
      <c r="E818" s="2" t="inlineStr">
        <is>
          <t>821217 FAED4 1000</t>
        </is>
      </c>
      <c r="F818" s="2" t="inlineStr">
        <is>
          <t xml:space="preserve">  -</t>
        </is>
      </c>
      <c r="G818" s="11" t="inlineStr">
        <is>
          <t>SOLD</t>
        </is>
      </c>
      <c r="H818" s="22" t="inlineStr">
        <is>
          <t>SOLD</t>
        </is>
      </c>
      <c r="I818" s="18" t="n">
        <v>269500</v>
      </c>
      <c r="J818" s="23" t="inlineStr">
        <is>
          <t>NOTFOUND</t>
        </is>
      </c>
      <c r="K818" s="20" t="n">
        <v>0</v>
      </c>
      <c r="L818" s="4" t="inlineStr">
        <is>
          <t>https://www.gucci.com/jp/ja/pr/men/bags-for-men/small-bags-pouches-for-men/small-bags/gg-emblem-super-mini-bag-p-821217FAED41000</t>
        </is>
      </c>
      <c r="M818" s="5">
        <f t="array" ref="M818">_xlfn.IFS(J818="NOTFOUND",I818,J818&gt;=I818,J818)</f>
        <v/>
      </c>
    </row>
    <row r="819" ht="18" customHeight="1" s="16">
      <c r="A819" s="5" t="n">
        <v>818</v>
      </c>
      <c r="B819" s="5" t="inlineStr">
        <is>
          <t>GU-3070</t>
        </is>
      </c>
      <c r="D819" s="2" t="inlineStr">
        <is>
          <t>GGエンブレム 二つ折りカードケース</t>
        </is>
      </c>
      <c r="E819" s="2" t="inlineStr">
        <is>
          <t>821209 FAD6M 1000</t>
        </is>
      </c>
      <c r="F819" s="2" t="inlineStr">
        <is>
          <t>ブラック</t>
        </is>
      </c>
      <c r="G819" s="10" t="inlineStr">
        <is>
          <t>OneSize</t>
        </is>
      </c>
      <c r="H819" s="17" t="inlineStr">
        <is>
          <t>OneSize</t>
        </is>
      </c>
      <c r="I819" s="18" t="n">
        <v>58300</v>
      </c>
      <c r="J819" s="19" t="n">
        <v>58300</v>
      </c>
      <c r="K819" s="20" t="n">
        <v>5</v>
      </c>
      <c r="L819" s="4" t="inlineStr">
        <is>
          <t>https://www.gucci.com/jp/ja/pr/men/small-leather-goods-for-men/card-holders-coin-cases-for-men/gg-emblem-bi-fold-card-case-p-821209FAD6M1000</t>
        </is>
      </c>
      <c r="M819" s="5">
        <f t="array" ref="M819">_xlfn.IFS(J819="NOTFOUND",I819,J819&gt;=I819,J819)</f>
        <v/>
      </c>
    </row>
    <row r="820" ht="18" customHeight="1" s="16">
      <c r="A820" s="5" t="n">
        <v>819</v>
      </c>
      <c r="B820" s="5" t="inlineStr">
        <is>
          <t>GU-3071</t>
        </is>
      </c>
      <c r="D820" s="2" t="inlineStr">
        <is>
          <t>GG ディテール付き GG 三つ折りウォレット 財布</t>
        </is>
      </c>
      <c r="E820" s="2" t="inlineStr">
        <is>
          <t>769225 FADMR 1050</t>
        </is>
      </c>
      <c r="F820" s="2" t="inlineStr">
        <is>
          <t>ブラック</t>
        </is>
      </c>
      <c r="G820" s="10" t="inlineStr">
        <is>
          <t>OneSize</t>
        </is>
      </c>
      <c r="H820" s="22" t="inlineStr">
        <is>
          <t>SOLD</t>
        </is>
      </c>
      <c r="I820" s="18" t="n">
        <v>85800</v>
      </c>
      <c r="J820" s="19" t="n">
        <v>85800</v>
      </c>
      <c r="K820" s="20" t="n">
        <v>0</v>
      </c>
      <c r="L820" s="4" t="inlineStr">
        <is>
          <t>https://www.gucci.com/jp/ja/pr/men/small-leather-goods-for-men/bifold-wallets-for-men/gg-tri-fold-wallet-with-gg-detail-p-769225FADMR1050</t>
        </is>
      </c>
      <c r="M820" s="5">
        <f t="array" ref="M820">_xlfn.IFS(J820="NOTFOUND",I820,J820&gt;=I820,J820)</f>
        <v/>
      </c>
    </row>
    <row r="821" ht="18" customHeight="1" s="16">
      <c r="A821" s="5" t="n">
        <v>820</v>
      </c>
      <c r="B821" s="5" t="inlineStr">
        <is>
          <t>GU-3072</t>
        </is>
      </c>
      <c r="D821" s="2" t="inlineStr">
        <is>
          <t>バイカラー GG カードケース</t>
        </is>
      </c>
      <c r="E821" s="2" t="inlineStr">
        <is>
          <t>768248 FADMR 1050</t>
        </is>
      </c>
      <c r="F821" s="2" t="inlineStr">
        <is>
          <t>ブラック</t>
        </is>
      </c>
      <c r="G821" s="10" t="inlineStr">
        <is>
          <t>OneSize</t>
        </is>
      </c>
      <c r="H821" s="17" t="inlineStr">
        <is>
          <t>OneSize</t>
        </is>
      </c>
      <c r="I821" s="18" t="n">
        <v>39600</v>
      </c>
      <c r="J821" s="19" t="n">
        <v>39600</v>
      </c>
      <c r="K821" s="20" t="n">
        <v>5</v>
      </c>
      <c r="L821" s="4" t="inlineStr">
        <is>
          <t>https://www.gucci.com/jp/ja/pr/men/small-leather-goods-for-men/card-holders-coin-cases-for-men/bi-color-gg-card-case-p-768248FADMR1050</t>
        </is>
      </c>
      <c r="M821" s="5">
        <f t="array" ref="M821">_xlfn.IFS(J821="NOTFOUND",I821,J821&gt;=I821,J821)</f>
        <v/>
      </c>
    </row>
    <row r="822" ht="18" customHeight="1" s="16">
      <c r="A822" s="5" t="n">
        <v>821</v>
      </c>
      <c r="B822" s="5" t="inlineStr">
        <is>
          <t>GU-3073</t>
        </is>
      </c>
      <c r="D822" s="2" t="inlineStr">
        <is>
          <t>二つ折りウォレット 財布 グレー インテリア</t>
        </is>
      </c>
      <c r="E822" s="2" t="inlineStr">
        <is>
          <t>768243 FACQC 1048</t>
        </is>
      </c>
      <c r="F822" s="2" t="inlineStr">
        <is>
          <t xml:space="preserve">  -</t>
        </is>
      </c>
      <c r="G822" s="10" t="inlineStr">
        <is>
          <t>OneSize</t>
        </is>
      </c>
      <c r="H822" s="17" t="inlineStr">
        <is>
          <t>OneSize</t>
        </is>
      </c>
      <c r="I822" s="18" t="n">
        <v>67100</v>
      </c>
      <c r="J822" s="19" t="n">
        <v>67100</v>
      </c>
      <c r="K822" s="20" t="n">
        <v>5</v>
      </c>
      <c r="L822" s="4" t="inlineStr">
        <is>
          <t>https://www.gucci.com/jp/ja/pr/men/small-leather-goods-for-men/bifold-wallets-for-men/grey-interior-bi-fold-wallet-p-768243FACQC1048</t>
        </is>
      </c>
      <c r="M822" s="5">
        <f t="array" ref="M822">_xlfn.IFS(J822="NOTFOUND",I822,J822&gt;=I822,J822)</f>
        <v/>
      </c>
    </row>
    <row r="823" ht="18" customHeight="1" s="16">
      <c r="A823" s="5" t="n">
        <v>822</v>
      </c>
      <c r="B823" s="5" t="inlineStr">
        <is>
          <t>GU-3074</t>
        </is>
      </c>
      <c r="D823" s="2" t="inlineStr">
        <is>
          <t>バイカラー GG カードケース</t>
        </is>
      </c>
      <c r="E823" s="2" t="inlineStr">
        <is>
          <t>768248 FACQC 1048</t>
        </is>
      </c>
      <c r="F823" s="2" t="inlineStr">
        <is>
          <t>ブラック</t>
        </is>
      </c>
      <c r="G823" s="10" t="inlineStr">
        <is>
          <t>OneSize</t>
        </is>
      </c>
      <c r="H823" s="17" t="inlineStr">
        <is>
          <t>OneSize</t>
        </is>
      </c>
      <c r="I823" s="18" t="n">
        <v>39600</v>
      </c>
      <c r="J823" s="19" t="n">
        <v>39600</v>
      </c>
      <c r="K823" s="20" t="n">
        <v>5</v>
      </c>
      <c r="L823" s="4" t="inlineStr">
        <is>
          <t>https://www.gucci.com/jp/ja/pr/men/small-leather-goods-for-men/card-holders-coin-cases-for-men/bi-color-gg-card-case-p-768248FACQC1048</t>
        </is>
      </c>
      <c r="M823" s="5">
        <f t="array" ref="M823">_xlfn.IFS(J823="NOTFOUND",I823,J823&gt;=I823,J823)</f>
        <v/>
      </c>
    </row>
    <row r="824" ht="18" customHeight="1" s="16">
      <c r="A824" s="5" t="n">
        <v>823</v>
      </c>
      <c r="B824" s="5" t="inlineStr">
        <is>
          <t>GU-3075</t>
        </is>
      </c>
      <c r="D824" s="2" t="inlineStr">
        <is>
          <t>バイカラー マグネット カードケース</t>
        </is>
      </c>
      <c r="E824" s="2" t="inlineStr">
        <is>
          <t>817197 FACQC 9773</t>
        </is>
      </c>
      <c r="F824" s="2" t="inlineStr">
        <is>
          <t>ベージュ＆ダークブラウン</t>
        </is>
      </c>
      <c r="G824" s="10" t="inlineStr">
        <is>
          <t>OneSize</t>
        </is>
      </c>
      <c r="H824" s="17" t="inlineStr">
        <is>
          <t>OneSize</t>
        </is>
      </c>
      <c r="I824" s="18" t="n">
        <v>57200</v>
      </c>
      <c r="J824" s="19" t="n">
        <v>57200</v>
      </c>
      <c r="K824" s="20" t="n">
        <v>5</v>
      </c>
      <c r="L824" s="4" t="inlineStr">
        <is>
          <t>https://www.gucci.com/jp/ja/pr/men/small-leather-goods-for-men/card-holders-coin-cases-for-men/bi-color-magnetic-card-case-p-817197FACQC9773</t>
        </is>
      </c>
      <c r="M824" s="5">
        <f t="array" ref="M824">_xlfn.IFS(J824="NOTFOUND",I824,J824&gt;=I824,J824)</f>
        <v/>
      </c>
    </row>
    <row r="825" ht="18" customHeight="1" s="16">
      <c r="A825" s="5" t="n">
        <v>824</v>
      </c>
      <c r="B825" s="5" t="inlineStr">
        <is>
          <t>GU-3076</t>
        </is>
      </c>
      <c r="D825" s="2" t="inlineStr">
        <is>
          <t>バイカラー ジップアラウンドウォレット 財布</t>
        </is>
      </c>
      <c r="E825" s="2" t="inlineStr">
        <is>
          <t>822051 FACQC 9773</t>
        </is>
      </c>
      <c r="F825" s="2" t="inlineStr">
        <is>
          <t>ベージュ＆ダークブラウン</t>
        </is>
      </c>
      <c r="G825" s="11" t="inlineStr">
        <is>
          <t>SOLD</t>
        </is>
      </c>
      <c r="H825" s="22" t="inlineStr">
        <is>
          <t>SOLD</t>
        </is>
      </c>
      <c r="I825" s="18" t="n">
        <v>112200</v>
      </c>
      <c r="J825" s="23" t="inlineStr">
        <is>
          <t>NOTFOUND</t>
        </is>
      </c>
      <c r="K825" s="20" t="n">
        <v>0</v>
      </c>
      <c r="L825" s="4" t="inlineStr">
        <is>
          <t>https://www.gucci.com/jp/ja/pr/men/small-leather-goods-for-men/zip-around-long-wallets-for-men/bi-color-zip-around-wallet-p-822051FACQC9773</t>
        </is>
      </c>
      <c r="M825" s="5">
        <f t="array" ref="M825">_xlfn.IFS(J825="NOTFOUND",I825,J825&gt;=I825,J825)</f>
        <v/>
      </c>
    </row>
    <row r="826" ht="18" customHeight="1" s="16">
      <c r="A826" s="5" t="n">
        <v>825</v>
      </c>
      <c r="B826" s="5" t="inlineStr">
        <is>
          <t>GU-3077</t>
        </is>
      </c>
      <c r="D826" s="2" t="inlineStr">
        <is>
          <t>GGマーモント  レザー コインウォレット 財布</t>
        </is>
      </c>
      <c r="E826" s="2" t="inlineStr">
        <is>
          <t>428725 DJ20T 1000</t>
        </is>
      </c>
      <c r="F826" s="2" t="inlineStr">
        <is>
          <t>ブラック レザー</t>
        </is>
      </c>
      <c r="G826" s="10" t="inlineStr">
        <is>
          <t>OneSize</t>
        </is>
      </c>
      <c r="H826" s="17" t="inlineStr">
        <is>
          <t>OneSize</t>
        </is>
      </c>
      <c r="I826" s="18" t="n">
        <v>79200</v>
      </c>
      <c r="J826" s="19" t="n">
        <v>84700</v>
      </c>
      <c r="K826" s="20" t="n">
        <v>5</v>
      </c>
      <c r="L826" s="4" t="inlineStr">
        <is>
          <t>https://www.gucci.com/jp/ja/pr/men/small-leather-goods-for-men/bifold-wallets-for-men/gg-marmont-leather-coin-wallet-p-428725DJ20T1000</t>
        </is>
      </c>
      <c r="M826" s="5">
        <f t="array" ref="M826">_xlfn.IFS(J826="NOTFOUND",I826,J826&gt;=I826,J826)</f>
        <v/>
      </c>
    </row>
    <row r="827" ht="18" customHeight="1" s="16">
      <c r="A827" s="5" t="n">
        <v>826</v>
      </c>
      <c r="B827" s="5" t="inlineStr">
        <is>
          <t>GU-3078</t>
        </is>
      </c>
      <c r="D827" s="2" t="inlineStr">
        <is>
          <t>ダブルG カードケース</t>
        </is>
      </c>
      <c r="E827" s="2" t="inlineStr">
        <is>
          <t>657588 DJ20T 1000</t>
        </is>
      </c>
      <c r="F827" s="2" t="inlineStr">
        <is>
          <t xml:space="preserve">  -</t>
        </is>
      </c>
      <c r="G827" s="10" t="inlineStr">
        <is>
          <t>OneSize</t>
        </is>
      </c>
      <c r="H827" s="17" t="inlineStr">
        <is>
          <t>OneSize</t>
        </is>
      </c>
      <c r="I827" s="18" t="n">
        <v>41800</v>
      </c>
      <c r="J827" s="19" t="n">
        <v>45100</v>
      </c>
      <c r="K827" s="20" t="n">
        <v>5</v>
      </c>
      <c r="L827" s="4" t="inlineStr">
        <is>
          <t>https://www.gucci.com/jp/ja/pr/men/small-leather-goods-for-men/card-holders-coin-cases-for-men/gg-marmont-card-case-p-657588DJ20T1000</t>
        </is>
      </c>
      <c r="M827" s="5">
        <f t="array" ref="M827">_xlfn.IFS(J827="NOTFOUND",I827,J827&gt;=I827,J827)</f>
        <v/>
      </c>
    </row>
    <row r="828" ht="18" customHeight="1" s="16">
      <c r="A828" s="5" t="n">
        <v>827</v>
      </c>
      <c r="B828" s="5" t="inlineStr">
        <is>
          <t>GU-3079</t>
        </is>
      </c>
      <c r="D828" s="2" t="inlineStr">
        <is>
          <t>ダブルG ロング ウォレット 財布</t>
        </is>
      </c>
      <c r="E828" s="2" t="inlineStr">
        <is>
          <t>795166 DJ20T 1000</t>
        </is>
      </c>
      <c r="F828" s="2" t="inlineStr">
        <is>
          <t xml:space="preserve">  -</t>
        </is>
      </c>
      <c r="G828" s="10" t="inlineStr">
        <is>
          <t>OneSize</t>
        </is>
      </c>
      <c r="H828" s="17" t="inlineStr">
        <is>
          <t>OneSize</t>
        </is>
      </c>
      <c r="I828" s="18" t="n">
        <v>114400</v>
      </c>
      <c r="J828" s="19" t="n">
        <v>114400</v>
      </c>
      <c r="K828" s="20" t="n">
        <v>5</v>
      </c>
      <c r="L828" s="4" t="inlineStr">
        <is>
          <t>https://www.gucci.com/jp/ja/pr/men/small-leather-goods-for-men/zip-around-long-wallets-for-men/gg-marmont-long-wallet-p-795166DJ20T1000</t>
        </is>
      </c>
      <c r="M828" s="5">
        <f t="array" ref="M828">_xlfn.IFS(J828="NOTFOUND",I828,J828&gt;=I828,J828)</f>
        <v/>
      </c>
    </row>
    <row r="829" ht="18" customHeight="1" s="16">
      <c r="A829" s="5" t="n">
        <v>828</v>
      </c>
      <c r="B829" s="5" t="inlineStr">
        <is>
          <t>GU-3080</t>
        </is>
      </c>
      <c r="D829" s="2" t="inlineStr">
        <is>
          <t>ダブルG レザー コインウォレット 財布</t>
        </is>
      </c>
      <c r="E829" s="2" t="inlineStr">
        <is>
          <t>428725 1T56F 1000</t>
        </is>
      </c>
      <c r="F829" s="2" t="inlineStr">
        <is>
          <t>ブラック レザー</t>
        </is>
      </c>
      <c r="G829" s="10" t="inlineStr">
        <is>
          <t>OneSize</t>
        </is>
      </c>
      <c r="H829" s="17" t="inlineStr">
        <is>
          <t>OneSize</t>
        </is>
      </c>
      <c r="I829" s="18" t="n">
        <v>79200</v>
      </c>
      <c r="J829" s="19" t="n">
        <v>84700</v>
      </c>
      <c r="K829" s="20" t="n">
        <v>5</v>
      </c>
      <c r="L829" s="4" t="inlineStr">
        <is>
          <t>https://www.gucci.com/jp/ja/pr/men/small-leather-goods-for-men/bifold-wallets-for-men/gg-marmont-leather-coin-wallet-p-4287251T56F1000</t>
        </is>
      </c>
      <c r="M829" s="5">
        <f t="array" ref="M829">_xlfn.IFS(J829="NOTFOUND",I829,J829&gt;=I829,J829)</f>
        <v/>
      </c>
    </row>
    <row r="830" ht="18" customHeight="1" s="16">
      <c r="A830" s="5" t="n">
        <v>829</v>
      </c>
      <c r="B830" s="5" t="inlineStr">
        <is>
          <t>GU-3081</t>
        </is>
      </c>
      <c r="D830" s="2" t="inlineStr">
        <is>
          <t>日本限定 ロングウォレット 財布 グリーン インテリア</t>
        </is>
      </c>
      <c r="E830" s="2" t="inlineStr">
        <is>
          <t>795296 AAEBR 1043</t>
        </is>
      </c>
      <c r="F830" s="2" t="inlineStr">
        <is>
          <t>ブラック レザー</t>
        </is>
      </c>
      <c r="G830" s="11" t="inlineStr">
        <is>
          <t>SOLD</t>
        </is>
      </c>
      <c r="H830" s="22" t="inlineStr">
        <is>
          <t>SOLD</t>
        </is>
      </c>
      <c r="I830" s="18" t="n">
        <v>115500</v>
      </c>
      <c r="J830" s="23" t="inlineStr">
        <is>
          <t>NOTFOUND</t>
        </is>
      </c>
      <c r="K830" s="20" t="n">
        <v>0</v>
      </c>
      <c r="L830" s="4" t="inlineStr">
        <is>
          <t>https://www.gucci.com/jp/ja/pr/men/small-leather-goods-for-men/zip-around-long-wallets-for-men/green-interior-long-wallet-p-795296AAEBR1043</t>
        </is>
      </c>
      <c r="M830" s="5">
        <f t="array" ref="M830">_xlfn.IFS(J830="NOTFOUND",I830,J830&gt;=I830,J830)</f>
        <v/>
      </c>
    </row>
    <row r="831" ht="18" customHeight="1" s="16">
      <c r="A831" s="5" t="n">
        <v>830</v>
      </c>
      <c r="B831" s="5" t="inlineStr">
        <is>
          <t>GU-3082</t>
        </is>
      </c>
      <c r="D831" s="2" t="inlineStr">
        <is>
          <t>日本限定 カードケース グリーン インテリア</t>
        </is>
      </c>
      <c r="E831" s="2" t="inlineStr">
        <is>
          <t>771152 AAEBR 1043</t>
        </is>
      </c>
      <c r="F831" s="2" t="inlineStr">
        <is>
          <t>ブラック レザー</t>
        </is>
      </c>
      <c r="G831" s="11" t="inlineStr">
        <is>
          <t>SOLD</t>
        </is>
      </c>
      <c r="H831" s="22" t="inlineStr">
        <is>
          <t>SOLD</t>
        </is>
      </c>
      <c r="I831" s="18" t="n">
        <v>56100</v>
      </c>
      <c r="J831" s="23" t="inlineStr">
        <is>
          <t>NOTFOUND</t>
        </is>
      </c>
      <c r="K831" s="20" t="n">
        <v>0</v>
      </c>
      <c r="L831" s="4" t="inlineStr">
        <is>
          <t>https://www.gucci.com/jp/ja/pr/men/small-leather-goods-for-men/card-holders-coin-cases-for-men/green-interior-card-case-p-771152AAEBR1043</t>
        </is>
      </c>
      <c r="M831" s="5">
        <f t="array" ref="M831">_xlfn.IFS(J831="NOTFOUND",I831,J831&gt;=I831,J831)</f>
        <v/>
      </c>
    </row>
    <row r="832" ht="18" customHeight="1" s="16">
      <c r="A832" s="5" t="n">
        <v>831</v>
      </c>
      <c r="B832" s="5" t="inlineStr">
        <is>
          <t>GU-3083</t>
        </is>
      </c>
      <c r="D832" s="2" t="inlineStr">
        <is>
          <t>日本限定 コインウォレット 財布 グリーン インテリア</t>
        </is>
      </c>
      <c r="E832" s="2" t="inlineStr">
        <is>
          <t>771153 AAEBR 1043</t>
        </is>
      </c>
      <c r="F832" s="2" t="inlineStr">
        <is>
          <t>ブラック レザー</t>
        </is>
      </c>
      <c r="G832" s="11" t="inlineStr">
        <is>
          <t>SOLD</t>
        </is>
      </c>
      <c r="H832" s="22" t="inlineStr">
        <is>
          <t>SOLD</t>
        </is>
      </c>
      <c r="I832" s="18" t="n">
        <v>84700</v>
      </c>
      <c r="J832" s="19" t="n">
        <v>84700</v>
      </c>
      <c r="K832" s="20" t="n">
        <v>0</v>
      </c>
      <c r="L832" s="4" t="inlineStr">
        <is>
          <t>https://www.gucci.com/jp/ja/pr/men/small-leather-goods-for-men/bifold-wallets-for-men/green-interior-coin-wallet-p-771153AAEBR1043</t>
        </is>
      </c>
      <c r="M832" s="5">
        <f t="array" ref="M832">_xlfn.IFS(J832="NOTFOUND",I832,J832&gt;=I832,J832)</f>
        <v/>
      </c>
    </row>
    <row r="833" ht="18" customHeight="1" s="16">
      <c r="A833" s="5" t="n">
        <v>832</v>
      </c>
      <c r="B833" s="5" t="inlineStr">
        <is>
          <t>GU-3084</t>
        </is>
      </c>
      <c r="D833" s="2" t="inlineStr">
        <is>
          <t>GUCCI ロゴ ロング ウォレット 財布</t>
        </is>
      </c>
      <c r="E833" s="2" t="inlineStr">
        <is>
          <t>795296 AABXM 1000</t>
        </is>
      </c>
      <c r="F833" s="2" t="inlineStr">
        <is>
          <t>ブラック レザー</t>
        </is>
      </c>
      <c r="G833" s="10" t="inlineStr">
        <is>
          <t>OneSize</t>
        </is>
      </c>
      <c r="H833" s="17" t="inlineStr">
        <is>
          <t>OneSize</t>
        </is>
      </c>
      <c r="I833" s="18" t="n">
        <v>115500</v>
      </c>
      <c r="J833" s="19" t="n">
        <v>115500</v>
      </c>
      <c r="K833" s="20" t="n">
        <v>5</v>
      </c>
      <c r="L833" s="4" t="inlineStr">
        <is>
          <t>https://www.gucci.com/jp/ja/pr/men/small-leather-goods-for-men/long-wallet-with-gucci-logo-p-795296AABXM1000</t>
        </is>
      </c>
      <c r="M833" s="5">
        <f t="array" ref="M833">_xlfn.IFS(J833="NOTFOUND",I833,J833&gt;=I833,J833)</f>
        <v/>
      </c>
    </row>
    <row r="834" ht="18" customHeight="1" s="16">
      <c r="A834" s="5" t="n">
        <v>833</v>
      </c>
      <c r="B834" s="5" t="inlineStr">
        <is>
          <t>GU-3085</t>
        </is>
      </c>
      <c r="D834" s="2" t="inlineStr">
        <is>
          <t>GUCCI ロゴ カードケース</t>
        </is>
      </c>
      <c r="E834" s="2" t="inlineStr">
        <is>
          <t>795285 AABXM 1000</t>
        </is>
      </c>
      <c r="F834" s="2" t="inlineStr">
        <is>
          <t xml:space="preserve">  -</t>
        </is>
      </c>
      <c r="G834" s="10" t="inlineStr">
        <is>
          <t>OneSize</t>
        </is>
      </c>
      <c r="H834" s="17" t="inlineStr">
        <is>
          <t>OneSize</t>
        </is>
      </c>
      <c r="I834" s="18" t="n">
        <v>52800</v>
      </c>
      <c r="J834" s="19" t="n">
        <v>52800</v>
      </c>
      <c r="K834" s="20" t="n">
        <v>5</v>
      </c>
      <c r="L834" s="4" t="inlineStr">
        <is>
          <t>https://www.gucci.com/jp/ja/pr/men/small-leather-goods-for-men/card-holders-coin-cases-for-men/card-case-with-gucci-logo-p-795285AABXM1000</t>
        </is>
      </c>
      <c r="M834" s="5">
        <f t="array" ref="M834">_xlfn.IFS(J834="NOTFOUND",I834,J834&gt;=I834,J834)</f>
        <v/>
      </c>
    </row>
    <row r="835" ht="18" customHeight="1" s="16">
      <c r="A835" s="5" t="n">
        <v>834</v>
      </c>
      <c r="B835" s="5" t="inlineStr">
        <is>
          <t>GU-3086</t>
        </is>
      </c>
      <c r="D835" s="2" t="inlineStr">
        <is>
          <t>オフィディア スーパーミニ ショルダーバッグ</t>
        </is>
      </c>
      <c r="E835" s="2" t="inlineStr">
        <is>
          <t>795466 FABIA 9741</t>
        </is>
      </c>
      <c r="F835" s="2" t="inlineStr">
        <is>
          <t xml:space="preserve">  -</t>
        </is>
      </c>
      <c r="G835" s="10" t="inlineStr">
        <is>
          <t>OneSize</t>
        </is>
      </c>
      <c r="H835" s="17" t="inlineStr">
        <is>
          <t>OneSize</t>
        </is>
      </c>
      <c r="I835" s="18" t="n">
        <v>214500</v>
      </c>
      <c r="J835" s="19" t="n">
        <v>214500</v>
      </c>
      <c r="K835" s="20" t="n">
        <v>5</v>
      </c>
      <c r="L835" s="4" t="inlineStr">
        <is>
          <t>https://www.gucci.com/jp/ja/pr/women/small-leather-goods-for-women/strap-chain-wallets/ophidia-super-mini-shoulder-bag-p-795466FABIA9741</t>
        </is>
      </c>
      <c r="M835" s="5">
        <f t="array" ref="M835">_xlfn.IFS(J835="NOTFOUND",I835,J835&gt;=I835,J835)</f>
        <v/>
      </c>
    </row>
    <row r="836" ht="18" customHeight="1" s="16">
      <c r="A836" s="5" t="n">
        <v>835</v>
      </c>
      <c r="B836" s="5" t="inlineStr">
        <is>
          <t>GU-3087</t>
        </is>
      </c>
      <c r="D836" s="2" t="inlineStr">
        <is>
          <t>オフィディア フック クロージャー付き キーチェーン</t>
        </is>
      </c>
      <c r="E836" s="2" t="inlineStr">
        <is>
          <t>817017 JAAH4 8766</t>
        </is>
      </c>
      <c r="F836" s="2" t="inlineStr">
        <is>
          <t xml:space="preserve">  -</t>
        </is>
      </c>
      <c r="G836" s="10" t="inlineStr">
        <is>
          <t>OneSize</t>
        </is>
      </c>
      <c r="H836" s="17" t="inlineStr">
        <is>
          <t>OneSize</t>
        </is>
      </c>
      <c r="I836" s="18" t="n">
        <v>52800</v>
      </c>
      <c r="J836" s="19" t="n">
        <v>52800</v>
      </c>
      <c r="K836" s="20" t="n">
        <v>5</v>
      </c>
      <c r="L836" s="4" t="inlineStr">
        <is>
          <t>https://www.gucci.com/jp/ja/pr/men/small-leather-goods-for-men/key-rings-key-cases-for-men/ophidia-keychain-with-hook-closure-p-817017JAAH48766</t>
        </is>
      </c>
      <c r="M836" s="5">
        <f t="array" ref="M836">_xlfn.IFS(J836="NOTFOUND",I836,J836&gt;=I836,J836)</f>
        <v/>
      </c>
    </row>
    <row r="837" ht="18" customHeight="1" s="16">
      <c r="A837" s="5" t="n">
        <v>836</v>
      </c>
      <c r="B837" s="5" t="inlineStr">
        <is>
          <t>GU-3088</t>
        </is>
      </c>
      <c r="D837" s="2" t="inlineStr">
        <is>
          <t>オフィディア GGコイン ウォレット 財布</t>
        </is>
      </c>
      <c r="E837" s="2" t="inlineStr">
        <is>
          <t>597609 96IWT 8745</t>
        </is>
      </c>
      <c r="F837" s="2" t="inlineStr">
        <is>
          <t>GGスプリーム</t>
        </is>
      </c>
      <c r="G837" s="10" t="inlineStr">
        <is>
          <t>OneSize</t>
        </is>
      </c>
      <c r="H837" s="17" t="inlineStr">
        <is>
          <t>OneSize</t>
        </is>
      </c>
      <c r="I837" s="18" t="n">
        <v>75900</v>
      </c>
      <c r="J837" s="19" t="n">
        <v>79200</v>
      </c>
      <c r="K837" s="20" t="n">
        <v>5</v>
      </c>
      <c r="L837" s="4" t="inlineStr">
        <is>
          <t>https://www.gucci.com/jp/ja/pr/men/small-leather-goods-for-men/bifold-wallets-for-men/ophidia-coin-wallet-p-59760996IWT8745</t>
        </is>
      </c>
      <c r="M837" s="5">
        <f t="array" ref="M837">_xlfn.IFS(J837="NOTFOUND",I837,J837&gt;=I837,J837)</f>
        <v/>
      </c>
    </row>
    <row r="838" ht="18" customHeight="1" s="16">
      <c r="A838" s="5" t="n">
        <v>837</v>
      </c>
      <c r="B838" s="5" t="inlineStr">
        <is>
          <t>GU-3089</t>
        </is>
      </c>
      <c r="D838" s="2" t="inlineStr">
        <is>
          <t>オフィディア  スーパーミニバッグ</t>
        </is>
      </c>
      <c r="E838" s="2" t="inlineStr">
        <is>
          <t>795467 96IWT 8745</t>
        </is>
      </c>
      <c r="F838" s="2" t="inlineStr">
        <is>
          <t xml:space="preserve">  -</t>
        </is>
      </c>
      <c r="G838" s="10" t="inlineStr">
        <is>
          <t>OneSize</t>
        </is>
      </c>
      <c r="H838" s="17" t="inlineStr">
        <is>
          <t>OneSize</t>
        </is>
      </c>
      <c r="I838" s="18" t="n">
        <v>227700</v>
      </c>
      <c r="J838" s="19" t="n">
        <v>227700</v>
      </c>
      <c r="K838" s="20" t="n">
        <v>5</v>
      </c>
      <c r="L838" s="4" t="inlineStr">
        <is>
          <t>https://www.gucci.com/jp/ja/pr/women/handbags/mini-bags-for-women/ophidia-super-mini-bag-p-79546796IWT8745</t>
        </is>
      </c>
      <c r="M838" s="5">
        <f t="array" ref="M838">_xlfn.IFS(J838="NOTFOUND",I838,J838&gt;=I838,J838)</f>
        <v/>
      </c>
    </row>
    <row r="839" ht="18" customHeight="1" s="16">
      <c r="A839" s="5" t="n">
        <v>838</v>
      </c>
      <c r="B839" s="5" t="inlineStr">
        <is>
          <t>GU-3090</t>
        </is>
      </c>
      <c r="D839" s="2" t="inlineStr">
        <is>
          <t>ジャンボGG スーパーミニバッグ</t>
        </is>
      </c>
      <c r="E839" s="2" t="inlineStr">
        <is>
          <t>816958 AABY7 1000</t>
        </is>
      </c>
      <c r="F839" s="2" t="inlineStr">
        <is>
          <t xml:space="preserve">  -</t>
        </is>
      </c>
      <c r="G839" s="10" t="inlineStr">
        <is>
          <t>OneSize</t>
        </is>
      </c>
      <c r="H839" s="17" t="inlineStr">
        <is>
          <t>OneSize</t>
        </is>
      </c>
      <c r="I839" s="18" t="n">
        <v>280500</v>
      </c>
      <c r="J839" s="19" t="n">
        <v>280500</v>
      </c>
      <c r="K839" s="20" t="n">
        <v>5</v>
      </c>
      <c r="L839" s="4" t="inlineStr">
        <is>
          <t>https://www.gucci.com/jp/ja/pr/men/bags-for-men/small-bags-pouches-for-men/small-bags/super-mini-jumbo-gg-bag-p-816958AABY71000</t>
        </is>
      </c>
      <c r="M839" s="5">
        <f t="array" ref="M839">_xlfn.IFS(J839="NOTFOUND",I839,J839&gt;=I839,J839)</f>
        <v/>
      </c>
    </row>
    <row r="840" ht="18" customHeight="1" s="16">
      <c r="A840" s="5" t="n">
        <v>839</v>
      </c>
      <c r="B840" s="5" t="inlineStr">
        <is>
          <t>GU-3091</t>
        </is>
      </c>
      <c r="D840" s="2" t="inlineStr">
        <is>
          <t>ジャンボGG ジップアラウンドウォレット 財布</t>
        </is>
      </c>
      <c r="E840" s="2" t="inlineStr">
        <is>
          <t>739484 AABY0 1000</t>
        </is>
      </c>
      <c r="F840" s="2" t="inlineStr">
        <is>
          <t>ブラック レザー</t>
        </is>
      </c>
      <c r="G840" s="10" t="inlineStr">
        <is>
          <t>OneSize</t>
        </is>
      </c>
      <c r="H840" s="17" t="inlineStr">
        <is>
          <t>OneSize</t>
        </is>
      </c>
      <c r="I840" s="18" t="n">
        <v>121000</v>
      </c>
      <c r="J840" s="19" t="n">
        <v>121000</v>
      </c>
      <c r="K840" s="20" t="n">
        <v>5</v>
      </c>
      <c r="L840" s="4" t="inlineStr">
        <is>
          <t>https://www.gucci.com/jp/ja/pr/men/small-leather-goods-for-men/zip-around-long-wallets-for-men/jumbo-gg-zip-around-wallet-p-739484AABY01000</t>
        </is>
      </c>
      <c r="M840" s="5">
        <f t="array" ref="M840">_xlfn.IFS(J840="NOTFOUND",I840,J840&gt;=I840,J840)</f>
        <v/>
      </c>
    </row>
    <row r="841" ht="18" customHeight="1" s="16">
      <c r="A841" s="5" t="n">
        <v>840</v>
      </c>
      <c r="B841" s="5" t="inlineStr">
        <is>
          <t>GU-3092</t>
        </is>
      </c>
      <c r="D841" s="2" t="inlineStr">
        <is>
          <t>マキシGG ジップアラウンドウォレット 財布</t>
        </is>
      </c>
      <c r="E841" s="2" t="inlineStr">
        <is>
          <t>739484 AAECE 1046</t>
        </is>
      </c>
      <c r="F841" s="2" t="inlineStr">
        <is>
          <t>ダークグレー＆ブラック レザー</t>
        </is>
      </c>
      <c r="G841" s="10" t="inlineStr">
        <is>
          <t>OneSize</t>
        </is>
      </c>
      <c r="H841" s="17" t="inlineStr">
        <is>
          <t>OneSize</t>
        </is>
      </c>
      <c r="I841" s="18" t="n">
        <v>121000</v>
      </c>
      <c r="J841" s="19" t="n">
        <v>121000</v>
      </c>
      <c r="K841" s="20" t="n">
        <v>5</v>
      </c>
      <c r="L841" s="4" t="inlineStr">
        <is>
          <t>https://www.gucci.com/jp/ja/pr/men/small-leather-goods-for-men/zip-around-long-wallets-for-men/maxi-gg-zip-around-wallet-p-739484AAECE1046</t>
        </is>
      </c>
      <c r="M841" s="5">
        <f t="array" ref="M841">_xlfn.IFS(J841="NOTFOUND",I841,J841&gt;=I841,J841)</f>
        <v/>
      </c>
    </row>
    <row r="842" ht="18" customHeight="1" s="16">
      <c r="A842" s="5" t="n">
        <v>841</v>
      </c>
      <c r="B842" s="5" t="inlineStr">
        <is>
          <t>GU-3093</t>
        </is>
      </c>
      <c r="D842" s="2" t="inlineStr">
        <is>
          <t>ジャンボGG コインウォレット 財布</t>
        </is>
      </c>
      <c r="E842" s="2" t="inlineStr">
        <is>
          <t>739479 AABY0 1000</t>
        </is>
      </c>
      <c r="F842" s="2" t="inlineStr">
        <is>
          <t>ブラック レザー</t>
        </is>
      </c>
      <c r="G842" s="10" t="inlineStr">
        <is>
          <t>OneSize</t>
        </is>
      </c>
      <c r="H842" s="17" t="inlineStr">
        <is>
          <t>OneSize</t>
        </is>
      </c>
      <c r="I842" s="18" t="n">
        <v>89100</v>
      </c>
      <c r="J842" s="19" t="n">
        <v>89100</v>
      </c>
      <c r="K842" s="20" t="n">
        <v>5</v>
      </c>
      <c r="L842" s="4" t="inlineStr">
        <is>
          <t>https://www.gucci.com/jp/ja/pr/men/small-leather-goods-for-men/bifold-wallets-for-men/jumbo-gg-coin-wallet-p-739479AABY01000</t>
        </is>
      </c>
      <c r="M842" s="5">
        <f t="array" ref="M842">_xlfn.IFS(J842="NOTFOUND",I842,J842&gt;=I842,J842)</f>
        <v/>
      </c>
    </row>
    <row r="843" ht="18" customHeight="1" s="16">
      <c r="A843" s="5" t="n">
        <v>842</v>
      </c>
      <c r="B843" s="5" t="inlineStr">
        <is>
          <t>GU-3094</t>
        </is>
      </c>
      <c r="D843" s="2" t="inlineStr">
        <is>
          <t>ジャンボGG ミニバッグ</t>
        </is>
      </c>
      <c r="E843" s="2" t="inlineStr">
        <is>
          <t>795240 AABY0 1000</t>
        </is>
      </c>
      <c r="F843" s="2" t="inlineStr">
        <is>
          <t xml:space="preserve">  -</t>
        </is>
      </c>
      <c r="G843" s="11" t="inlineStr">
        <is>
          <t>SOLD</t>
        </is>
      </c>
      <c r="H843" s="22" t="inlineStr">
        <is>
          <t>SOLD</t>
        </is>
      </c>
      <c r="I843" s="18" t="n">
        <v>264000</v>
      </c>
      <c r="J843" s="23" t="inlineStr">
        <is>
          <t>NOTFOUND</t>
        </is>
      </c>
      <c r="K843" s="20" t="n">
        <v>0</v>
      </c>
      <c r="L843" s="4" t="inlineStr">
        <is>
          <t>https://www.gucci.com/jp/ja/pr/men/small-leather-goods-for-men/small-bags-pouches/small-bags/mini-jumbo-gg-bag-p-795240AABY01000</t>
        </is>
      </c>
      <c r="M843" s="5">
        <f t="array" ref="M843">_xlfn.IFS(J843="NOTFOUND",I843,J843&gt;=I843,J843)</f>
        <v/>
      </c>
    </row>
    <row r="844" ht="18" customHeight="1" s="16">
      <c r="A844" s="5" t="n">
        <v>843</v>
      </c>
      <c r="B844" s="5" t="inlineStr">
        <is>
          <t>GU-3095</t>
        </is>
      </c>
      <c r="D844" s="2" t="inlineStr">
        <is>
          <t>マキシGG カードケース</t>
        </is>
      </c>
      <c r="E844" s="2" t="inlineStr">
        <is>
          <t>812681 AAECE 1046</t>
        </is>
      </c>
      <c r="F844" s="2" t="inlineStr">
        <is>
          <t>ダークグレー＆ブラック レザー</t>
        </is>
      </c>
      <c r="G844" s="11" t="inlineStr">
        <is>
          <t>SOLD</t>
        </is>
      </c>
      <c r="H844" s="22" t="inlineStr">
        <is>
          <t>SOLD</t>
        </is>
      </c>
      <c r="I844" s="18" t="n">
        <v>66000</v>
      </c>
      <c r="J844" s="23" t="inlineStr">
        <is>
          <t>NOTFOUND</t>
        </is>
      </c>
      <c r="K844" s="20" t="n">
        <v>0</v>
      </c>
      <c r="L844" s="4" t="inlineStr">
        <is>
          <t>https://www.gucci.com/jp/ja/pr/men/small-leather-goods-for-men/card-holders-coin-cases-for-men/maxi-gg-card-case-p-812681AAECE1046</t>
        </is>
      </c>
      <c r="M844" s="5">
        <f t="array" ref="M844">_xlfn.IFS(J844="NOTFOUND",I844,J844&gt;=I844,J844)</f>
        <v/>
      </c>
    </row>
    <row r="845" ht="18" customHeight="1" s="16">
      <c r="A845" s="5" t="n">
        <v>844</v>
      </c>
      <c r="B845" s="5" t="inlineStr">
        <is>
          <t>GU-3096</t>
        </is>
      </c>
      <c r="D845" s="2" t="inlineStr">
        <is>
          <t>マキシGG カードケース</t>
        </is>
      </c>
      <c r="E845" s="2" t="inlineStr">
        <is>
          <t>812681 AABY0 1000</t>
        </is>
      </c>
      <c r="F845" s="2" t="inlineStr">
        <is>
          <t>ブラック レザー</t>
        </is>
      </c>
      <c r="G845" s="11" t="inlineStr">
        <is>
          <t>SOLD</t>
        </is>
      </c>
      <c r="H845" s="22" t="inlineStr">
        <is>
          <t>SOLD</t>
        </is>
      </c>
      <c r="I845" s="18" t="n">
        <v>66000</v>
      </c>
      <c r="J845" s="23" t="inlineStr">
        <is>
          <t>NOTFOUND</t>
        </is>
      </c>
      <c r="K845" s="20" t="n">
        <v>0</v>
      </c>
      <c r="L845" s="4" t="inlineStr">
        <is>
          <t>https://www.gucci.com/jp/ja/pr/men/small-leather-goods-for-men/card-holders-coin-cases-for-men/maxi-gg-card-case-p-812681AABY01000</t>
        </is>
      </c>
      <c r="M845" s="5">
        <f t="array" ref="M845">_xlfn.IFS(J845="NOTFOUND",I845,J845&gt;=I845,J845)</f>
        <v/>
      </c>
    </row>
    <row r="846" ht="18" customHeight="1" s="16">
      <c r="A846" s="5" t="n">
        <v>845</v>
      </c>
      <c r="B846" s="5" t="inlineStr">
        <is>
          <t>GU-3097</t>
        </is>
      </c>
      <c r="D846" s="2" t="inlineStr">
        <is>
          <t>ジャンボ GG マネークリップ</t>
        </is>
      </c>
      <c r="E846" s="2" t="inlineStr">
        <is>
          <t>739477 AABY0 1000</t>
        </is>
      </c>
      <c r="F846" s="2" t="inlineStr">
        <is>
          <t xml:space="preserve">  -</t>
        </is>
      </c>
      <c r="G846" s="10" t="inlineStr">
        <is>
          <t>OneSize</t>
        </is>
      </c>
      <c r="H846" s="17" t="inlineStr">
        <is>
          <t>OneSize</t>
        </is>
      </c>
      <c r="I846" s="18" t="n">
        <v>60500</v>
      </c>
      <c r="J846" s="19" t="n">
        <v>60500</v>
      </c>
      <c r="K846" s="20" t="n">
        <v>5</v>
      </c>
      <c r="L846" s="4" t="inlineStr">
        <is>
          <t>https://www.gucci.com/jp/ja/pr/men/small-leather-goods-for-men/bifold-wallets-for-men/jumbo-gg-money-clip-p-739477AABY01000</t>
        </is>
      </c>
      <c r="M846" s="5">
        <f t="array" ref="M846">_xlfn.IFS(J846="NOTFOUND",I846,J846&gt;=I846,J846)</f>
        <v/>
      </c>
    </row>
    <row r="847" ht="18" customHeight="1" s="16">
      <c r="A847" s="5" t="n">
        <v>846</v>
      </c>
      <c r="B847" s="5" t="inlineStr">
        <is>
          <t>GU-3098</t>
        </is>
      </c>
      <c r="D847" s="2" t="inlineStr">
        <is>
          <t>GG スーパーミニバッグ</t>
        </is>
      </c>
      <c r="E847" s="2" t="inlineStr">
        <is>
          <t>791741 FADJA 1042</t>
        </is>
      </c>
      <c r="F847" s="2" t="inlineStr">
        <is>
          <t xml:space="preserve">  -</t>
        </is>
      </c>
      <c r="G847" s="10" t="inlineStr">
        <is>
          <t>OneSize</t>
        </is>
      </c>
      <c r="H847" s="17" t="inlineStr">
        <is>
          <t>OneSize</t>
        </is>
      </c>
      <c r="I847" s="18" t="n">
        <v>192500</v>
      </c>
      <c r="J847" s="19" t="n">
        <v>192500</v>
      </c>
      <c r="K847" s="20" t="n">
        <v>5</v>
      </c>
      <c r="L847" s="4" t="inlineStr">
        <is>
          <t>https://www.gucci.com/jp/ja/pr/men/small-leather-goods-for-men/small-bags-pouches/small-bags/gg-super-mini-bag-p-791741FADJA1042</t>
        </is>
      </c>
      <c r="M847" s="5">
        <f t="array" ref="M847">_xlfn.IFS(J847="NOTFOUND",I847,J847&gt;=I847,J847)</f>
        <v/>
      </c>
    </row>
    <row r="848" ht="18" customHeight="1" s="16">
      <c r="A848" s="5" t="n">
        <v>847</v>
      </c>
      <c r="B848" s="5" t="inlineStr">
        <is>
          <t>GU-3099</t>
        </is>
      </c>
      <c r="D848" s="2" t="inlineStr">
        <is>
          <t>ダブルG GG キーチェーン</t>
        </is>
      </c>
      <c r="E848" s="2" t="inlineStr">
        <is>
          <t>817305 JAAH3 8146</t>
        </is>
      </c>
      <c r="F848" s="2" t="inlineStr">
        <is>
          <t xml:space="preserve">  -</t>
        </is>
      </c>
      <c r="G848" s="10" t="inlineStr">
        <is>
          <t>OneSize</t>
        </is>
      </c>
      <c r="H848" s="17" t="inlineStr">
        <is>
          <t>OneSize</t>
        </is>
      </c>
      <c r="I848" s="18" t="n">
        <v>52800</v>
      </c>
      <c r="J848" s="19" t="n">
        <v>52800</v>
      </c>
      <c r="K848" s="20" t="n">
        <v>5</v>
      </c>
      <c r="L848" s="4" t="inlineStr">
        <is>
          <t>https://www.gucci.com/jp/ja/pr/men/small-leather-goods-for-men/key-rings-key-cases-for-men/gg-keychain-with-double-g-p-817305JAAH38146</t>
        </is>
      </c>
      <c r="M848" s="5">
        <f t="array" ref="M848">_xlfn.IFS(J848="NOTFOUND",I848,J848&gt;=I848,J848)</f>
        <v/>
      </c>
    </row>
    <row r="849" ht="18" customHeight="1" s="16">
      <c r="A849" s="5" t="n">
        <v>848</v>
      </c>
      <c r="B849" s="5" t="inlineStr">
        <is>
          <t>GU-3100</t>
        </is>
      </c>
      <c r="D849" s="2" t="inlineStr">
        <is>
          <t>GG スーパーミニバッグ</t>
        </is>
      </c>
      <c r="E849" s="2" t="inlineStr">
        <is>
          <t>816953 FAD8C 1049</t>
        </is>
      </c>
      <c r="F849" s="2" t="inlineStr">
        <is>
          <t xml:space="preserve">  -</t>
        </is>
      </c>
      <c r="G849" s="10" t="inlineStr">
        <is>
          <t>OneSize</t>
        </is>
      </c>
      <c r="H849" s="17" t="inlineStr">
        <is>
          <t>OneSize</t>
        </is>
      </c>
      <c r="I849" s="18" t="n">
        <v>253000</v>
      </c>
      <c r="J849" s="19" t="n">
        <v>253000</v>
      </c>
      <c r="K849" s="20" t="n">
        <v>5</v>
      </c>
      <c r="L849" s="4" t="inlineStr">
        <is>
          <t>https://www.gucci.com/jp/ja/pr/men/bags-for-men/small-bags-pouches-for-men/small-bags/super-mini-gg-bag-p-816953FAD8C1049</t>
        </is>
      </c>
      <c r="M849" s="5">
        <f t="array" ref="M849">_xlfn.IFS(J849="NOTFOUND",I849,J849&gt;=I849,J849)</f>
        <v/>
      </c>
    </row>
    <row r="850" ht="18" customHeight="1" s="16">
      <c r="A850" s="5" t="n">
        <v>849</v>
      </c>
      <c r="B850" s="5" t="inlineStr">
        <is>
          <t>GU-3101</t>
        </is>
      </c>
      <c r="D850" s="2" t="inlineStr">
        <is>
          <t>GG ミニ ショルダーバッグ</t>
        </is>
      </c>
      <c r="E850" s="2" t="inlineStr">
        <is>
          <t>792456 FADJA 1042</t>
        </is>
      </c>
      <c r="F850" s="2" t="inlineStr">
        <is>
          <t xml:space="preserve">  -</t>
        </is>
      </c>
      <c r="G850" s="10" t="inlineStr">
        <is>
          <t>OneSize</t>
        </is>
      </c>
      <c r="H850" s="17" t="inlineStr">
        <is>
          <t>OneSize</t>
        </is>
      </c>
      <c r="I850" s="18" t="n">
        <v>206800</v>
      </c>
      <c r="J850" s="19" t="n">
        <v>206800</v>
      </c>
      <c r="K850" s="20" t="n">
        <v>5</v>
      </c>
      <c r="L850" s="4" t="inlineStr">
        <is>
          <t>https://www.gucci.com/jp/ja/pr/men/small-leather-goods-for-men/small-bags-pouches/small-bags/gg-mini-shoulder-bag-p-792456FADJA1042</t>
        </is>
      </c>
      <c r="M850" s="5">
        <f t="array" ref="M850">_xlfn.IFS(J850="NOTFOUND",I850,J850&gt;=I850,J850)</f>
        <v/>
      </c>
    </row>
    <row r="851" ht="18" customHeight="1" s="16">
      <c r="A851" s="5" t="n">
        <v>850</v>
      </c>
      <c r="B851" s="5" t="inlineStr">
        <is>
          <t>GU-3102</t>
        </is>
      </c>
      <c r="D851" s="2" t="inlineStr">
        <is>
          <t>GGマーモント  レザー カードケース（名刺入れ）</t>
        </is>
      </c>
      <c r="E851" s="2" t="inlineStr">
        <is>
          <t>428737 DJ20T 1000</t>
        </is>
      </c>
      <c r="F851" s="2" t="inlineStr">
        <is>
          <t xml:space="preserve">  -</t>
        </is>
      </c>
      <c r="G851" s="10" t="inlineStr">
        <is>
          <t>OneSize</t>
        </is>
      </c>
      <c r="H851" s="17" t="inlineStr">
        <is>
          <t>OneSize</t>
        </is>
      </c>
      <c r="I851" s="18" t="n">
        <v>57200</v>
      </c>
      <c r="J851" s="19" t="n">
        <v>57200</v>
      </c>
      <c r="K851" s="20" t="n">
        <v>5</v>
      </c>
      <c r="L851" s="4" t="inlineStr">
        <is>
          <t>https://www.gucci.com/jp/ja/pr/men/small-leather-goods-for-men/card-holders-coin-cases-for-men/gg-marmont-leather-card-case-p-428737DJ20T1000</t>
        </is>
      </c>
      <c r="M851" s="5">
        <f t="array" ref="M851">_xlfn.IFS(J851="NOTFOUND",I851,J851&gt;=I851,J851)</f>
        <v/>
      </c>
    </row>
    <row r="852" ht="18" customHeight="1" s="16">
      <c r="A852" s="5" t="n">
        <v>851</v>
      </c>
      <c r="B852" s="5" t="inlineStr">
        <is>
          <t>GU-3103</t>
        </is>
      </c>
      <c r="D852" s="2" t="inlineStr">
        <is>
          <t>ダブルG 二つ折り カードケース ウォレット 財布</t>
        </is>
      </c>
      <c r="E852" s="2" t="inlineStr">
        <is>
          <t>428726 DJ20T 1000</t>
        </is>
      </c>
      <c r="F852" s="2" t="inlineStr">
        <is>
          <t xml:space="preserve">  -</t>
        </is>
      </c>
      <c r="G852" s="10" t="inlineStr">
        <is>
          <t>OneSize</t>
        </is>
      </c>
      <c r="H852" s="17" t="inlineStr">
        <is>
          <t>OneSize</t>
        </is>
      </c>
      <c r="I852" s="18" t="n">
        <v>76450</v>
      </c>
      <c r="J852" s="19" t="n">
        <v>81400</v>
      </c>
      <c r="K852" s="20" t="n">
        <v>5</v>
      </c>
      <c r="L852" s="4" t="inlineStr">
        <is>
          <t>https://www.gucci.com/jp/ja/pr/men/small-leather-goods-for-men/bifold-wallets-for-men/gg-marmont-bi-fold-card-case-wallet-p-428726DJ20T1000</t>
        </is>
      </c>
      <c r="M852" s="5">
        <f t="array" ref="M852">_xlfn.IFS(J852="NOTFOUND",I852,J852&gt;=I852,J852)</f>
        <v/>
      </c>
    </row>
    <row r="853" ht="18" customHeight="1" s="16">
      <c r="A853" s="5" t="n">
        <v>852</v>
      </c>
      <c r="B853" s="5" t="inlineStr">
        <is>
          <t>GU-3104</t>
        </is>
      </c>
      <c r="D853" s="2" t="inlineStr">
        <is>
          <t>GGマーモント コイン ウォレット 財布</t>
        </is>
      </c>
      <c r="E853" s="2" t="inlineStr">
        <is>
          <t>428725 0YK0N 1000</t>
        </is>
      </c>
      <c r="F853" s="2" t="inlineStr">
        <is>
          <t>ブラック レザー</t>
        </is>
      </c>
      <c r="G853" s="11" t="inlineStr">
        <is>
          <t>SOLD</t>
        </is>
      </c>
      <c r="H853" s="22" t="inlineStr">
        <is>
          <t>SOLD</t>
        </is>
      </c>
      <c r="I853" s="18" t="n">
        <v>79200</v>
      </c>
      <c r="J853" s="23" t="inlineStr">
        <is>
          <t>NOTFOUND</t>
        </is>
      </c>
      <c r="K853" s="20" t="n">
        <v>0</v>
      </c>
      <c r="L853" s="4" t="inlineStr">
        <is>
          <t>https://www.gucci.com/jp/ja/pr/men/small-leather-goods-for-men/bifold-wallets-for-men/gg-marmont-coin-wallet-p-4287250YK0N1000</t>
        </is>
      </c>
      <c r="M853" s="5">
        <f t="array" ref="M853">_xlfn.IFS(J853="NOTFOUND",I853,J853&gt;=I853,J853)</f>
        <v/>
      </c>
    </row>
    <row r="854" ht="18" customHeight="1" s="16">
      <c r="A854" s="5" t="n">
        <v>853</v>
      </c>
      <c r="B854" s="5" t="inlineStr">
        <is>
          <t>GU-3105</t>
        </is>
      </c>
      <c r="D854" s="2" t="inlineStr">
        <is>
          <t>GGエンブレム エンボス スーパーミニバッグ</t>
        </is>
      </c>
      <c r="E854" s="2" t="inlineStr">
        <is>
          <t>821216 FAED3 9786</t>
        </is>
      </c>
      <c r="F854" s="2" t="inlineStr">
        <is>
          <t xml:space="preserve">  -</t>
        </is>
      </c>
      <c r="G854" s="11" t="inlineStr">
        <is>
          <t>SOLD</t>
        </is>
      </c>
      <c r="H854" s="22" t="inlineStr">
        <is>
          <t>SOLD</t>
        </is>
      </c>
      <c r="I854" s="18" t="n">
        <v>209000</v>
      </c>
      <c r="J854" s="23" t="inlineStr">
        <is>
          <t>NOTFOUND</t>
        </is>
      </c>
      <c r="K854" s="20" t="n">
        <v>0</v>
      </c>
      <c r="L854" s="4" t="inlineStr">
        <is>
          <t>https://www.gucci.com/jp/ja/pr/men/bags-for-men/small-bags-pouches-for-men/small-bags/gg-emblem-embossed-super-mini-bag-p-821216FAED39786</t>
        </is>
      </c>
      <c r="M854" s="5">
        <f t="array" ref="M854">_xlfn.IFS(J854="NOTFOUND",I854,J854&gt;=I854,J854)</f>
        <v/>
      </c>
    </row>
    <row r="855" ht="18" customHeight="1" s="16">
      <c r="A855" s="5" t="n">
        <v>854</v>
      </c>
      <c r="B855" s="5" t="inlineStr">
        <is>
          <t>GU-3106</t>
        </is>
      </c>
      <c r="D855" s="2" t="inlineStr">
        <is>
          <t>GGエンブレム ロングウォレット 財布</t>
        </is>
      </c>
      <c r="E855" s="2" t="inlineStr">
        <is>
          <t>821213 FAD6M 1000</t>
        </is>
      </c>
      <c r="F855" s="2" t="inlineStr">
        <is>
          <t>ブラック</t>
        </is>
      </c>
      <c r="G855" s="10" t="inlineStr">
        <is>
          <t>OneSize</t>
        </is>
      </c>
      <c r="H855" s="17" t="inlineStr">
        <is>
          <t>OneSize</t>
        </is>
      </c>
      <c r="I855" s="18" t="n">
        <v>96800</v>
      </c>
      <c r="J855" s="19" t="n">
        <v>96800</v>
      </c>
      <c r="K855" s="20" t="n">
        <v>5</v>
      </c>
      <c r="L855" s="4" t="inlineStr">
        <is>
          <t>https://www.gucci.com/jp/ja/pr/men/small-leather-goods-for-men/zip-around-long-wallets-for-men/gg-emblem-long-wallet-p-821213FAD6M1000</t>
        </is>
      </c>
      <c r="M855" s="5">
        <f t="array" ref="M855">_xlfn.IFS(J855="NOTFOUND",I855,J855&gt;=I855,J855)</f>
        <v/>
      </c>
    </row>
    <row r="856" ht="18" customHeight="1" s="16">
      <c r="A856" s="5" t="n">
        <v>855</v>
      </c>
      <c r="B856" s="5" t="inlineStr">
        <is>
          <t>GU-3107</t>
        </is>
      </c>
      <c r="D856" s="2" t="inlineStr">
        <is>
          <t>GGエンブレム ロングウォレット 財布</t>
        </is>
      </c>
      <c r="E856" s="2" t="inlineStr">
        <is>
          <t>821213 FAED0 9786</t>
        </is>
      </c>
      <c r="F856" s="2" t="inlineStr">
        <is>
          <t>ベージュ＆ダークブラウン</t>
        </is>
      </c>
      <c r="G856" s="11" t="inlineStr">
        <is>
          <t>SOLD</t>
        </is>
      </c>
      <c r="H856" s="22" t="inlineStr">
        <is>
          <t>SOLD</t>
        </is>
      </c>
      <c r="I856" s="18" t="n">
        <v>96800</v>
      </c>
      <c r="J856" s="23" t="inlineStr">
        <is>
          <t>NOTFOUND</t>
        </is>
      </c>
      <c r="K856" s="20" t="n">
        <v>0</v>
      </c>
      <c r="L856" s="4" t="inlineStr">
        <is>
          <t>https://www.gucci.com/jp/ja/pr/men/small-leather-goods-for-men/zip-around-long-wallets-for-men/gg-emblem-long-wallet-p-821213FAED09786</t>
        </is>
      </c>
      <c r="M856" s="5">
        <f t="array" ref="M856">_xlfn.IFS(J856="NOTFOUND",I856,J856&gt;=I856,J856)</f>
        <v/>
      </c>
    </row>
    <row r="857" ht="18" customHeight="1" s="16">
      <c r="A857" s="5" t="n">
        <v>856</v>
      </c>
      <c r="B857" s="5" t="inlineStr">
        <is>
          <t>GU-3108</t>
        </is>
      </c>
      <c r="D857" s="2" t="inlineStr">
        <is>
          <t>GGエンブレム 二つ折りカードケース</t>
        </is>
      </c>
      <c r="E857" s="2" t="inlineStr">
        <is>
          <t>821209 FAED0 9786</t>
        </is>
      </c>
      <c r="F857" s="2" t="inlineStr">
        <is>
          <t>ベージュ＆ダークブラウン</t>
        </is>
      </c>
      <c r="G857" s="11" t="inlineStr">
        <is>
          <t>SOLD</t>
        </is>
      </c>
      <c r="H857" s="22" t="inlineStr">
        <is>
          <t>SOLD</t>
        </is>
      </c>
      <c r="I857" s="18" t="n">
        <v>58300</v>
      </c>
      <c r="J857" s="23" t="inlineStr">
        <is>
          <t>NOTFOUND</t>
        </is>
      </c>
      <c r="K857" s="20" t="n">
        <v>0</v>
      </c>
      <c r="L857" s="4" t="inlineStr">
        <is>
          <t>https://www.gucci.com/jp/ja/pr/men/small-leather-goods-for-men/card-holders-coin-cases-for-men/gg-emblem-bi-fold-card-case-p-821209FAED09786</t>
        </is>
      </c>
      <c r="M857" s="5">
        <f t="array" ref="M857">_xlfn.IFS(J857="NOTFOUND",I857,J857&gt;=I857,J857)</f>
        <v/>
      </c>
    </row>
    <row r="858" ht="18" customHeight="1" s="16">
      <c r="A858" s="5" t="n">
        <v>857</v>
      </c>
      <c r="B858" s="5" t="inlineStr">
        <is>
          <t>GU-3109</t>
        </is>
      </c>
      <c r="D858" s="2" t="inlineStr">
        <is>
          <t>GGエンブレム カードケース</t>
        </is>
      </c>
      <c r="E858" s="2" t="inlineStr">
        <is>
          <t>821208 FAD6M 1000</t>
        </is>
      </c>
      <c r="F858" s="2" t="inlineStr">
        <is>
          <t>ブラック</t>
        </is>
      </c>
      <c r="G858" s="10" t="inlineStr">
        <is>
          <t>OneSize</t>
        </is>
      </c>
      <c r="H858" s="17" t="inlineStr">
        <is>
          <t>OneSize</t>
        </is>
      </c>
      <c r="I858" s="18" t="n">
        <v>58300</v>
      </c>
      <c r="J858" s="19" t="n">
        <v>58300</v>
      </c>
      <c r="K858" s="20" t="n">
        <v>5</v>
      </c>
      <c r="L858" s="4" t="inlineStr">
        <is>
          <t>https://www.gucci.com/jp/ja/pr/men/small-leather-goods-for-men/card-holders-coin-cases-for-men/gg-emblem-card-case-p-821208FAD6M1000</t>
        </is>
      </c>
      <c r="M858" s="5">
        <f t="array" ref="M858">_xlfn.IFS(J858="NOTFOUND",I858,J858&gt;=I858,J858)</f>
        <v/>
      </c>
    </row>
    <row r="859" ht="18" customHeight="1" s="16">
      <c r="A859" s="5" t="n">
        <v>858</v>
      </c>
      <c r="B859" s="5" t="inlineStr">
        <is>
          <t>GU-3110</t>
        </is>
      </c>
      <c r="D859" s="2" t="inlineStr">
        <is>
          <t>GGエンブレム カードケース</t>
        </is>
      </c>
      <c r="E859" s="2" t="inlineStr">
        <is>
          <t>821208 FAED0 9786</t>
        </is>
      </c>
      <c r="F859" s="2" t="inlineStr">
        <is>
          <t>ベージュ＆ダークブラウン</t>
        </is>
      </c>
      <c r="G859" s="11" t="inlineStr">
        <is>
          <t>SOLD</t>
        </is>
      </c>
      <c r="H859" s="22" t="inlineStr">
        <is>
          <t>SOLD</t>
        </is>
      </c>
      <c r="I859" s="18" t="n">
        <v>58300</v>
      </c>
      <c r="J859" s="23" t="inlineStr">
        <is>
          <t>NOTFOUND</t>
        </is>
      </c>
      <c r="K859" s="20" t="n">
        <v>0</v>
      </c>
      <c r="L859" s="4" t="inlineStr">
        <is>
          <t>https://www.gucci.com/jp/ja/pr/men/small-leather-goods-for-men/card-holders-coin-cases-for-men/gg-emblem-card-case-p-821208FAED09786</t>
        </is>
      </c>
      <c r="M859" s="5">
        <f t="array" ref="M859">_xlfn.IFS(J859="NOTFOUND",I859,J859&gt;=I859,J859)</f>
        <v/>
      </c>
    </row>
    <row r="860" ht="18" customHeight="1" s="16">
      <c r="A860" s="5" t="n">
        <v>859</v>
      </c>
      <c r="B860" s="5" t="inlineStr">
        <is>
          <t>GU-3111</t>
        </is>
      </c>
      <c r="D860" s="2" t="inlineStr">
        <is>
          <t>GGエンブレム エンボス カードケース</t>
        </is>
      </c>
      <c r="E860" s="2" t="inlineStr">
        <is>
          <t>818956 AAEQ8 1000</t>
        </is>
      </c>
      <c r="F860" s="2" t="inlineStr">
        <is>
          <t>ブラック レザー</t>
        </is>
      </c>
      <c r="G860" s="10" t="inlineStr">
        <is>
          <t>OneSize</t>
        </is>
      </c>
      <c r="H860" s="17" t="inlineStr">
        <is>
          <t>OneSize</t>
        </is>
      </c>
      <c r="I860" s="18" t="n">
        <v>57200</v>
      </c>
      <c r="J860" s="19" t="n">
        <v>57200</v>
      </c>
      <c r="K860" s="20" t="n">
        <v>5</v>
      </c>
      <c r="L860" s="4" t="inlineStr">
        <is>
          <t>https://www.gucci.com/jp/ja/pr/men/small-leather-goods-for-men/card-holders-coin-cases-for-men/gg-emblem-embossed-card-case-p-818956AAEQ81000</t>
        </is>
      </c>
      <c r="M860" s="5">
        <f t="array" ref="M860">_xlfn.IFS(J860="NOTFOUND",I860,J860&gt;=I860,J860)</f>
        <v/>
      </c>
    </row>
    <row r="861" ht="18" customHeight="1" s="16">
      <c r="A861" s="5" t="n">
        <v>860</v>
      </c>
      <c r="B861" s="5" t="inlineStr">
        <is>
          <t>GU-3112</t>
        </is>
      </c>
      <c r="D861" s="2" t="inlineStr">
        <is>
          <t>GGエンブレム エンボス ロングウォレット 財布</t>
        </is>
      </c>
      <c r="E861" s="2" t="inlineStr">
        <is>
          <t>818955 AAEQ7 2747</t>
        </is>
      </c>
      <c r="F861" s="2" t="inlineStr">
        <is>
          <t>ブラウン レザー</t>
        </is>
      </c>
      <c r="G861" s="11" t="inlineStr">
        <is>
          <t>SOLD</t>
        </is>
      </c>
      <c r="H861" s="22" t="inlineStr">
        <is>
          <t>SOLD</t>
        </is>
      </c>
      <c r="I861" s="18" t="n">
        <v>118800</v>
      </c>
      <c r="J861" s="23" t="inlineStr">
        <is>
          <t>NOTFOUND</t>
        </is>
      </c>
      <c r="K861" s="20" t="n">
        <v>0</v>
      </c>
      <c r="L861" s="4" t="inlineStr">
        <is>
          <t>https://www.gucci.com/jp/ja/pr/men/small-leather-goods-for-men/zip-around-long-wallets-for-men/gg-emblem-long-embossed-wallet-p-818955AAEQ72747</t>
        </is>
      </c>
      <c r="M861" s="5">
        <f t="array" ref="M861">_xlfn.IFS(J861="NOTFOUND",I861,J861&gt;=I861,J861)</f>
        <v/>
      </c>
    </row>
    <row r="862" ht="18" customHeight="1" s="16">
      <c r="A862" s="5" t="n">
        <v>861</v>
      </c>
      <c r="B862" s="5" t="inlineStr">
        <is>
          <t>GU-3113</t>
        </is>
      </c>
      <c r="D862" s="2" t="inlineStr">
        <is>
          <t>GGエンブレム エンボス ロングウォレット 財布</t>
        </is>
      </c>
      <c r="E862" s="2" t="inlineStr">
        <is>
          <t>818955 AAEQ8 1000</t>
        </is>
      </c>
      <c r="F862" s="2" t="inlineStr">
        <is>
          <t>ブラック レザー</t>
        </is>
      </c>
      <c r="G862" s="10" t="inlineStr">
        <is>
          <t>OneSize</t>
        </is>
      </c>
      <c r="H862" s="17" t="inlineStr">
        <is>
          <t>OneSize</t>
        </is>
      </c>
      <c r="I862" s="18" t="n">
        <v>118800</v>
      </c>
      <c r="J862" s="19" t="n">
        <v>118800</v>
      </c>
      <c r="K862" s="20" t="n">
        <v>5</v>
      </c>
      <c r="L862" s="4" t="inlineStr">
        <is>
          <t>https://www.gucci.com/jp/ja/pr/men/small-leather-goods-for-men/zip-around-long-wallets-for-men/gg-emblem-long-embossed-wallet-p-818955AAEQ81000</t>
        </is>
      </c>
      <c r="M862" s="5">
        <f t="array" ref="M862">_xlfn.IFS(J862="NOTFOUND",I862,J862&gt;=I862,J862)</f>
        <v/>
      </c>
    </row>
    <row r="863" ht="18" customHeight="1" s="16">
      <c r="A863" s="5" t="n">
        <v>862</v>
      </c>
      <c r="B863" s="5" t="inlineStr">
        <is>
          <t>GU-3114</t>
        </is>
      </c>
      <c r="D863" s="2" t="inlineStr">
        <is>
          <t>GGエンブレム エンボス 二つ折りウォレット 財布</t>
        </is>
      </c>
      <c r="E863" s="2" t="inlineStr">
        <is>
          <t>818946 AAEQ8 1000</t>
        </is>
      </c>
      <c r="F863" s="2" t="inlineStr">
        <is>
          <t>ブラック レザー</t>
        </is>
      </c>
      <c r="G863" s="10" t="inlineStr">
        <is>
          <t>OneSize</t>
        </is>
      </c>
      <c r="H863" s="17" t="inlineStr">
        <is>
          <t>OneSize</t>
        </is>
      </c>
      <c r="I863" s="18" t="n">
        <v>82500</v>
      </c>
      <c r="J863" s="19" t="n">
        <v>82500</v>
      </c>
      <c r="K863" s="20" t="n">
        <v>5</v>
      </c>
      <c r="L863" s="4" t="inlineStr">
        <is>
          <t>https://www.gucci.com/jp/ja/pr/men/small-leather-goods-for-men/bifold-wallets-for-men/gg-emblem-bi-fold-embossed-wallet-p-818946AAEQ81000</t>
        </is>
      </c>
      <c r="M863" s="5">
        <f t="array" ref="M863">_xlfn.IFS(J863="NOTFOUND",I863,J863&gt;=I863,J863)</f>
        <v/>
      </c>
    </row>
    <row r="864" ht="18" customHeight="1" s="16">
      <c r="A864" s="5" t="n">
        <v>863</v>
      </c>
      <c r="B864" s="5" t="inlineStr">
        <is>
          <t>GU-3115</t>
        </is>
      </c>
      <c r="D864" s="2" t="inlineStr">
        <is>
          <t>GG ディテール付き GG ジップカードケース</t>
        </is>
      </c>
      <c r="E864" s="2" t="inlineStr">
        <is>
          <t>795233 FACQC 9773</t>
        </is>
      </c>
      <c r="F864" s="2" t="inlineStr">
        <is>
          <t>ベージュ＆エボニー</t>
        </is>
      </c>
      <c r="G864" s="11" t="inlineStr">
        <is>
          <t>SOLD</t>
        </is>
      </c>
      <c r="H864" s="22" t="inlineStr">
        <is>
          <t>SOLD</t>
        </is>
      </c>
      <c r="I864" s="18" t="n">
        <v>59400</v>
      </c>
      <c r="J864" s="19" t="n">
        <v>59400</v>
      </c>
      <c r="K864" s="20" t="n">
        <v>0</v>
      </c>
      <c r="L864" s="4" t="inlineStr">
        <is>
          <t>https://www.gucci.com/jp/ja/pr/men/small-leather-goods-for-men/card-holders-coin-cases-for-men/gg-zip-card-case-with-gg-detail-p-795233FACQC9773</t>
        </is>
      </c>
      <c r="M864" s="5">
        <f t="array" ref="M864">_xlfn.IFS(J864="NOTFOUND",I864,J864&gt;=I864,J864)</f>
        <v/>
      </c>
    </row>
    <row r="865" ht="18" customHeight="1" s="16">
      <c r="A865" s="5" t="n">
        <v>864</v>
      </c>
      <c r="B865" s="5" t="inlineStr">
        <is>
          <t>GU-3116</t>
        </is>
      </c>
      <c r="D865" s="2" t="inlineStr">
        <is>
          <t>GG ディテール付き GG パスポートケース</t>
        </is>
      </c>
      <c r="E865" s="2" t="inlineStr">
        <is>
          <t>795229 FACQC 9773</t>
        </is>
      </c>
      <c r="F865" s="2" t="inlineStr">
        <is>
          <t>ベージュ＆エボニー</t>
        </is>
      </c>
      <c r="G865" s="10" t="inlineStr">
        <is>
          <t>OneSize</t>
        </is>
      </c>
      <c r="H865" s="17" t="inlineStr">
        <is>
          <t>OneSize</t>
        </is>
      </c>
      <c r="I865" s="18" t="n">
        <v>53900</v>
      </c>
      <c r="J865" s="19" t="n">
        <v>53900</v>
      </c>
      <c r="K865" s="20" t="n">
        <v>5</v>
      </c>
      <c r="L865" s="4" t="inlineStr">
        <is>
          <t>https://www.gucci.com/jp/ja/pr/men/small-leather-goods-for-men/bifold-wallets-for-men/brown-interior-gg-passport-case-p-795229FACQC9773</t>
        </is>
      </c>
      <c r="M865" s="5">
        <f t="array" ref="M865">_xlfn.IFS(J865="NOTFOUND",I865,J865&gt;=I865,J865)</f>
        <v/>
      </c>
    </row>
    <row r="866" ht="18" customHeight="1" s="16">
      <c r="A866" s="5" t="n">
        <v>865</v>
      </c>
      <c r="B866" s="5" t="inlineStr">
        <is>
          <t>GU-3117</t>
        </is>
      </c>
      <c r="D866" s="2" t="inlineStr">
        <is>
          <t>GG 三つ折りウォレット 財布 アイボリー インテリア</t>
        </is>
      </c>
      <c r="E866" s="2" t="inlineStr">
        <is>
          <t>769225 FACQC 9856</t>
        </is>
      </c>
      <c r="F866" s="2" t="inlineStr">
        <is>
          <t>ベージュ＆エボニー</t>
        </is>
      </c>
      <c r="G866" s="11" t="inlineStr">
        <is>
          <t>SOLD</t>
        </is>
      </c>
      <c r="H866" s="22" t="inlineStr">
        <is>
          <t>SOLD</t>
        </is>
      </c>
      <c r="I866" s="18" t="n">
        <v>85800</v>
      </c>
      <c r="J866" s="23" t="inlineStr">
        <is>
          <t>NOTFOUND</t>
        </is>
      </c>
      <c r="K866" s="20" t="n">
        <v>0</v>
      </c>
      <c r="L866" s="4" t="inlineStr">
        <is>
          <t>https://www.gucci.com/jp/ja/pr/men/small-leather-goods-for-men/bifold-wallets-for-men/ivory-interior-gg-tri-fold-wallet-p-769225FACQC9856</t>
        </is>
      </c>
      <c r="M866" s="5">
        <f t="array" ref="M866">_xlfn.IFS(J866="NOTFOUND",I866,J866&gt;=I866,J866)</f>
        <v/>
      </c>
    </row>
    <row r="867" ht="18" customHeight="1" s="16">
      <c r="A867" s="5" t="n">
        <v>866</v>
      </c>
      <c r="B867" s="5" t="inlineStr">
        <is>
          <t>GU-3118</t>
        </is>
      </c>
      <c r="D867" s="2" t="inlineStr">
        <is>
          <t>GG ディテール付き バイカラー カードケース</t>
        </is>
      </c>
      <c r="E867" s="2" t="inlineStr">
        <is>
          <t>768248 FACQC 9856</t>
        </is>
      </c>
      <c r="F867" s="2" t="inlineStr">
        <is>
          <t>ベージュ＆エボニー</t>
        </is>
      </c>
      <c r="G867" s="11" t="inlineStr">
        <is>
          <t>SOLD</t>
        </is>
      </c>
      <c r="H867" s="22" t="inlineStr">
        <is>
          <t>SOLD</t>
        </is>
      </c>
      <c r="I867" s="18" t="n">
        <v>39600</v>
      </c>
      <c r="J867" s="23" t="inlineStr">
        <is>
          <t>NOTFOUND</t>
        </is>
      </c>
      <c r="K867" s="20" t="n">
        <v>0</v>
      </c>
      <c r="L867" s="4" t="inlineStr">
        <is>
          <t>https://www.gucci.com/jp/ja/pr/men/small-leather-goods-for-men/card-holders-coin-cases-for-men/bi-color-gg-card-case-p-768248FACQC9856</t>
        </is>
      </c>
      <c r="M867" s="5">
        <f t="array" ref="M867">_xlfn.IFS(J867="NOTFOUND",I867,J867&gt;=I867,J867)</f>
        <v/>
      </c>
    </row>
    <row r="868" ht="18" customHeight="1" s="16">
      <c r="A868" s="5" t="n">
        <v>867</v>
      </c>
      <c r="B868" s="5" t="inlineStr">
        <is>
          <t>GU-3119</t>
        </is>
      </c>
      <c r="D868" s="2" t="inlineStr">
        <is>
          <t>バイカラー GG カードケース</t>
        </is>
      </c>
      <c r="E868" s="2" t="inlineStr">
        <is>
          <t>768248 FACQC 9773</t>
        </is>
      </c>
      <c r="F868" s="2" t="inlineStr">
        <is>
          <t>ベージュ＆エボニー</t>
        </is>
      </c>
      <c r="G868" s="10" t="inlineStr">
        <is>
          <t>OneSize</t>
        </is>
      </c>
      <c r="H868" s="17" t="inlineStr">
        <is>
          <t>OneSize</t>
        </is>
      </c>
      <c r="I868" s="18" t="n">
        <v>38500</v>
      </c>
      <c r="J868" s="19" t="n">
        <v>39600</v>
      </c>
      <c r="K868" s="20" t="n">
        <v>5</v>
      </c>
      <c r="L868" s="4" t="inlineStr">
        <is>
          <t>https://www.gucci.com/jp/ja/pr/men/small-leather-goods-for-men/card-holders-coin-cases-for-men/bi-color-gg-card-case-p-768248FACQC9773</t>
        </is>
      </c>
      <c r="M868" s="5">
        <f t="array" ref="M868">_xlfn.IFS(J868="NOTFOUND",I868,J868&gt;=I868,J868)</f>
        <v/>
      </c>
    </row>
    <row r="869" ht="18" customHeight="1" s="16">
      <c r="A869" s="5" t="n">
        <v>868</v>
      </c>
      <c r="B869" s="5" t="inlineStr">
        <is>
          <t>GU-3120</t>
        </is>
      </c>
      <c r="D869" s="2" t="inlineStr">
        <is>
          <t>GG コインウォレット 財布 ブラウン インテリア</t>
        </is>
      </c>
      <c r="E869" s="2" t="inlineStr">
        <is>
          <t>768244 FACQC 9773</t>
        </is>
      </c>
      <c r="F869" s="2" t="inlineStr">
        <is>
          <t>ベージュ＆エボニー</t>
        </is>
      </c>
      <c r="G869" s="10" t="inlineStr">
        <is>
          <t>OneSize</t>
        </is>
      </c>
      <c r="H869" s="17" t="inlineStr">
        <is>
          <t>OneSize</t>
        </is>
      </c>
      <c r="I869" s="18" t="n">
        <v>75900</v>
      </c>
      <c r="J869" s="19" t="n">
        <v>75900</v>
      </c>
      <c r="K869" s="20" t="n">
        <v>5</v>
      </c>
      <c r="L869" s="4" t="inlineStr">
        <is>
          <t>https://www.gucci.com/jp/ja/pr/men/small-leather-goods-for-men/bifold-wallets-for-men/brown-interior-gg-coin-wallet-p-768244FACQC9773</t>
        </is>
      </c>
      <c r="M869" s="5">
        <f t="array" ref="M869">_xlfn.IFS(J869="NOTFOUND",I869,J869&gt;=I869,J869)</f>
        <v/>
      </c>
    </row>
    <row r="870" ht="18" customHeight="1" s="16">
      <c r="A870" s="5" t="n">
        <v>869</v>
      </c>
      <c r="B870" s="5" t="inlineStr">
        <is>
          <t>GU-3121</t>
        </is>
      </c>
      <c r="D870" s="2" t="inlineStr">
        <is>
          <t>GG ディテール付き GG ジップカードケース</t>
        </is>
      </c>
      <c r="E870" s="2" t="inlineStr">
        <is>
          <t>795233 FACQC 1048</t>
        </is>
      </c>
      <c r="F870" s="2" t="inlineStr">
        <is>
          <t>ブラック</t>
        </is>
      </c>
      <c r="G870" s="11" t="inlineStr">
        <is>
          <t>SOLD</t>
        </is>
      </c>
      <c r="H870" s="22" t="inlineStr">
        <is>
          <t>SOLD</t>
        </is>
      </c>
      <c r="I870" s="18" t="n">
        <v>59400</v>
      </c>
      <c r="J870" s="19" t="n">
        <v>59400</v>
      </c>
      <c r="K870" s="20" t="n">
        <v>0</v>
      </c>
      <c r="L870" s="4" t="inlineStr">
        <is>
          <t>https://www.gucci.com/jp/ja/pr/men/small-leather-goods-for-men/card-holders-coin-cases-for-men/gg-zip-card-case-with-gg-detail-p-795233FACQC1048</t>
        </is>
      </c>
      <c r="M870" s="5">
        <f t="array" ref="M870">_xlfn.IFS(J870="NOTFOUND",I870,J870&gt;=I870,J870)</f>
        <v/>
      </c>
    </row>
    <row r="871" ht="18" customHeight="1" s="16">
      <c r="A871" s="5" t="n">
        <v>870</v>
      </c>
      <c r="B871" s="5" t="inlineStr">
        <is>
          <t>GU-3122</t>
        </is>
      </c>
      <c r="D871" s="2" t="inlineStr">
        <is>
          <t>グレー インテリア付き GG パスポートケース</t>
        </is>
      </c>
      <c r="E871" s="2" t="inlineStr">
        <is>
          <t>795229 FACQC 1048</t>
        </is>
      </c>
      <c r="F871" s="2" t="inlineStr">
        <is>
          <t>ブラック</t>
        </is>
      </c>
      <c r="G871" s="10" t="inlineStr">
        <is>
          <t>OneSize</t>
        </is>
      </c>
      <c r="H871" s="17" t="inlineStr">
        <is>
          <t>OneSize</t>
        </is>
      </c>
      <c r="I871" s="18" t="n">
        <v>53900</v>
      </c>
      <c r="J871" s="19" t="n">
        <v>53900</v>
      </c>
      <c r="K871" s="20" t="n">
        <v>5</v>
      </c>
      <c r="L871" s="4" t="inlineStr">
        <is>
          <t>https://www.gucci.com/jp/ja/pr/men/small-leather-goods-for-men/bifold-wallets-for-men/gg-passport-case-with-grey-interior-p-795229FACQC1048</t>
        </is>
      </c>
      <c r="M871" s="5">
        <f t="array" ref="M871">_xlfn.IFS(J871="NOTFOUND",I871,J871&gt;=I871,J871)</f>
        <v/>
      </c>
    </row>
    <row r="872" ht="18" customHeight="1" s="16">
      <c r="A872" s="5" t="n">
        <v>871</v>
      </c>
      <c r="B872" s="5" t="inlineStr">
        <is>
          <t>GU-3123</t>
        </is>
      </c>
      <c r="D872" s="2" t="inlineStr">
        <is>
          <t>GG ディテール付き GG 三つ折りウォレット 財布</t>
        </is>
      </c>
      <c r="E872" s="2" t="inlineStr">
        <is>
          <t>769225 FACQC 1048</t>
        </is>
      </c>
      <c r="F872" s="2" t="inlineStr">
        <is>
          <t>ブラック</t>
        </is>
      </c>
      <c r="G872" s="11" t="inlineStr">
        <is>
          <t>SOLD</t>
        </is>
      </c>
      <c r="H872" s="22" t="inlineStr">
        <is>
          <t>SOLD</t>
        </is>
      </c>
      <c r="I872" s="18" t="n">
        <v>85800</v>
      </c>
      <c r="J872" s="19" t="n">
        <v>85800</v>
      </c>
      <c r="K872" s="20" t="n">
        <v>0</v>
      </c>
      <c r="L872" s="4" t="inlineStr">
        <is>
          <t>https://www.gucci.com/jp/ja/pr/men/small-leather-goods-for-men/bifold-wallets-for-men/gg-tri-fold-wallet-with-gg-detail-p-769225FACQC1048</t>
        </is>
      </c>
      <c r="M872" s="5">
        <f t="array" ref="M872">_xlfn.IFS(J872="NOTFOUND",I872,J872&gt;=I872,J872)</f>
        <v/>
      </c>
    </row>
    <row r="873" ht="18" customHeight="1" s="16">
      <c r="A873" s="5" t="n">
        <v>872</v>
      </c>
      <c r="B873" s="5" t="inlineStr">
        <is>
          <t>GU-3124</t>
        </is>
      </c>
      <c r="D873" s="2" t="inlineStr">
        <is>
          <t>GG ディテール付き GG 三つ折りウォレット 財布</t>
        </is>
      </c>
      <c r="E873" s="2" t="inlineStr">
        <is>
          <t>769225 FACQC 1049</t>
        </is>
      </c>
      <c r="F873" s="2" t="inlineStr">
        <is>
          <t>ブラック</t>
        </is>
      </c>
      <c r="G873" s="11" t="inlineStr">
        <is>
          <t>SOLD</t>
        </is>
      </c>
      <c r="H873" s="22" t="inlineStr">
        <is>
          <t>SOLD</t>
        </is>
      </c>
      <c r="I873" s="18" t="n">
        <v>85800</v>
      </c>
      <c r="J873" s="19" t="n">
        <v>85800</v>
      </c>
      <c r="K873" s="20" t="n">
        <v>0</v>
      </c>
      <c r="L873" s="4" t="inlineStr">
        <is>
          <t>https://www.gucci.com/jp/ja/pr/men/small-leather-goods-for-men/bifold-wallets-for-men/gg-tri-fold-wallet-with-gg-detail-p-769225FACQC1049</t>
        </is>
      </c>
      <c r="M873" s="5">
        <f t="array" ref="M873">_xlfn.IFS(J873="NOTFOUND",I873,J873&gt;=I873,J873)</f>
        <v/>
      </c>
    </row>
    <row r="874" ht="18" customHeight="1" s="16">
      <c r="A874" s="5" t="n">
        <v>873</v>
      </c>
      <c r="B874" s="5" t="inlineStr">
        <is>
          <t>GU-3125</t>
        </is>
      </c>
      <c r="D874" s="2" t="inlineStr">
        <is>
          <t>グレー トリム付き GG ポーチ</t>
        </is>
      </c>
      <c r="E874" s="2" t="inlineStr">
        <is>
          <t>768255 FACQC 1048</t>
        </is>
      </c>
      <c r="F874" s="2" t="inlineStr">
        <is>
          <t xml:space="preserve">  -</t>
        </is>
      </c>
      <c r="G874" s="10" t="inlineStr">
        <is>
          <t>OneSize</t>
        </is>
      </c>
      <c r="H874" s="17" t="inlineStr">
        <is>
          <t>OneSize</t>
        </is>
      </c>
      <c r="I874" s="18" t="n">
        <v>139700</v>
      </c>
      <c r="J874" s="19" t="n">
        <v>139700</v>
      </c>
      <c r="K874" s="20" t="n">
        <v>5</v>
      </c>
      <c r="L874" s="4" t="inlineStr">
        <is>
          <t>https://www.gucci.com/jp/ja/pr/men/small-leather-goods-for-men/small-bags-pouches/pouches-for-men/gg-pouch-with-grey-trim-p-768255FACQC1048</t>
        </is>
      </c>
      <c r="M874" s="5">
        <f t="array" ref="M874">_xlfn.IFS(J874="NOTFOUND",I874,J874&gt;=I874,J874)</f>
        <v/>
      </c>
    </row>
    <row r="875" ht="18" customHeight="1" s="16">
      <c r="A875" s="5" t="n">
        <v>874</v>
      </c>
      <c r="B875" s="5" t="inlineStr">
        <is>
          <t>GU-3126</t>
        </is>
      </c>
      <c r="D875" s="2" t="inlineStr">
        <is>
          <t>GG ディテール付き バイカラー カードケース</t>
        </is>
      </c>
      <c r="E875" s="2" t="inlineStr">
        <is>
          <t>768248 FACQC 1049</t>
        </is>
      </c>
      <c r="F875" s="2" t="inlineStr">
        <is>
          <t>ブラック</t>
        </is>
      </c>
      <c r="G875" s="10" t="inlineStr">
        <is>
          <t>OneSize</t>
        </is>
      </c>
      <c r="H875" s="22" t="inlineStr">
        <is>
          <t>SOLD</t>
        </is>
      </c>
      <c r="I875" s="18" t="n">
        <v>39600</v>
      </c>
      <c r="J875" s="19" t="n">
        <v>39600</v>
      </c>
      <c r="K875" s="20" t="n">
        <v>0</v>
      </c>
      <c r="L875" s="4" t="inlineStr">
        <is>
          <t>https://www.gucci.com/jp/ja/pr/men/small-leather-goods-for-men/card-holders-coin-cases-for-men/bi-color-card-case-with-gg-detail-p-768248FACQC1049</t>
        </is>
      </c>
      <c r="M875" s="5">
        <f t="array" ref="M875">_xlfn.IFS(J875="NOTFOUND",I875,J875&gt;=I875,J875)</f>
        <v/>
      </c>
    </row>
    <row r="876" ht="18" customHeight="1" s="16">
      <c r="A876" s="5" t="n">
        <v>875</v>
      </c>
      <c r="B876" s="5" t="inlineStr">
        <is>
          <t>GU-3127</t>
        </is>
      </c>
      <c r="D876" s="2" t="inlineStr">
        <is>
          <t>GG コインウォレット 財布 グレー インテリア</t>
        </is>
      </c>
      <c r="E876" s="2" t="inlineStr">
        <is>
          <t>768244 FACQC 1048</t>
        </is>
      </c>
      <c r="F876" s="2" t="inlineStr">
        <is>
          <t>ブラック</t>
        </is>
      </c>
      <c r="G876" s="10" t="inlineStr">
        <is>
          <t>OneSize</t>
        </is>
      </c>
      <c r="H876" s="17" t="inlineStr">
        <is>
          <t>OneSize</t>
        </is>
      </c>
      <c r="I876" s="18" t="n">
        <v>75900</v>
      </c>
      <c r="J876" s="19" t="n">
        <v>75900</v>
      </c>
      <c r="K876" s="20" t="n">
        <v>5</v>
      </c>
      <c r="L876" s="4" t="inlineStr">
        <is>
          <t>https://www.gucci.com/jp/ja/pr/men/small-leather-goods-for-men/bifold-wallets-for-men/grey-interior-gg-coin-wallet-p-768244FACQC1048</t>
        </is>
      </c>
      <c r="M876" s="5">
        <f t="array" ref="M876">_xlfn.IFS(J876="NOTFOUND",I876,J876&gt;=I876,J876)</f>
        <v/>
      </c>
    </row>
    <row r="877" ht="18" customHeight="1" s="16">
      <c r="A877" s="5" t="n">
        <v>876</v>
      </c>
      <c r="B877" s="5" t="inlineStr">
        <is>
          <t>GU-3128</t>
        </is>
      </c>
      <c r="D877" s="2" t="inlineStr">
        <is>
          <t>GG スーパーミニバッグ</t>
        </is>
      </c>
      <c r="E877" s="2" t="inlineStr">
        <is>
          <t>816954 FAD8C 1049</t>
        </is>
      </c>
      <c r="F877" s="2" t="inlineStr">
        <is>
          <t xml:space="preserve">  -</t>
        </is>
      </c>
      <c r="G877" s="11" t="inlineStr">
        <is>
          <t>SOLD</t>
        </is>
      </c>
      <c r="H877" s="22" t="inlineStr">
        <is>
          <t>SOLD</t>
        </is>
      </c>
      <c r="I877" s="18" t="n">
        <v>214500</v>
      </c>
      <c r="J877" s="23" t="inlineStr">
        <is>
          <t>NOTFOUND</t>
        </is>
      </c>
      <c r="K877" s="20" t="n">
        <v>0</v>
      </c>
      <c r="L877" s="4" t="inlineStr">
        <is>
          <t>https://www.gucci.com/jp/ja/pr/men/bags-for-men/small-bags-pouches-for-men/small-bags/super-mini-gg-bag-p-816954FAD8C1049</t>
        </is>
      </c>
      <c r="M877" s="5">
        <f t="array" ref="M877">_xlfn.IFS(J877="NOTFOUND",I877,J877&gt;=I877,J877)</f>
        <v/>
      </c>
    </row>
    <row r="878" ht="18" customHeight="1" s="16">
      <c r="A878" s="5" t="n">
        <v>877</v>
      </c>
      <c r="B878" s="5" t="inlineStr">
        <is>
          <t>GU-3129</t>
        </is>
      </c>
      <c r="D878" s="2" t="inlineStr">
        <is>
          <t>GUCCI ロゴ ジップアラウンドウォレット 財布</t>
        </is>
      </c>
      <c r="E878" s="2" t="inlineStr">
        <is>
          <t>822043 AABXM 1000</t>
        </is>
      </c>
      <c r="F878" s="2" t="inlineStr">
        <is>
          <t xml:space="preserve">  -</t>
        </is>
      </c>
      <c r="G878" s="11" t="inlineStr">
        <is>
          <t>SOLD</t>
        </is>
      </c>
      <c r="H878" s="22" t="inlineStr">
        <is>
          <t>SOLD</t>
        </is>
      </c>
      <c r="I878" s="18" t="n">
        <v>124300</v>
      </c>
      <c r="J878" s="23" t="inlineStr">
        <is>
          <t>NOTFOUND</t>
        </is>
      </c>
      <c r="K878" s="20" t="n">
        <v>0</v>
      </c>
      <c r="L878" s="4" t="inlineStr">
        <is>
          <t>https://www.gucci.com/jp/ja/pr/men/small-leather-goods-for-men/zip-around-long-wallets-for-men/zip-around-wallet-with-gucci-logo-p-822043AABXM1000</t>
        </is>
      </c>
      <c r="M878" s="5">
        <f t="array" ref="M878">_xlfn.IFS(J878="NOTFOUND",I878,J878&gt;=I878,J878)</f>
        <v/>
      </c>
    </row>
    <row r="879" ht="18" customHeight="1" s="16">
      <c r="A879" s="5" t="n">
        <v>878</v>
      </c>
      <c r="B879" s="5" t="inlineStr">
        <is>
          <t>GU-3130</t>
        </is>
      </c>
      <c r="D879" s="2" t="inlineStr">
        <is>
          <t>GUCCI ロゴ コインウォレット 財布</t>
        </is>
      </c>
      <c r="E879" s="2" t="inlineStr">
        <is>
          <t>795292 AABXM 1000</t>
        </is>
      </c>
      <c r="F879" s="2" t="inlineStr">
        <is>
          <t>ブラック レザー</t>
        </is>
      </c>
      <c r="G879" s="10" t="inlineStr">
        <is>
          <t>OneSize</t>
        </is>
      </c>
      <c r="H879" s="17" t="inlineStr">
        <is>
          <t>OneSize</t>
        </is>
      </c>
      <c r="I879" s="18" t="n">
        <v>90200</v>
      </c>
      <c r="J879" s="19" t="n">
        <v>90200</v>
      </c>
      <c r="K879" s="20" t="n">
        <v>5</v>
      </c>
      <c r="L879" s="4" t="inlineStr">
        <is>
          <t>https://www.gucci.com/jp/ja/pr/men/small-leather-goods-for-men/bifold-wallets-for-men/coin-wallet-with-gucci-logo-p-795292AABXM1000</t>
        </is>
      </c>
      <c r="M879" s="5">
        <f t="array" ref="M879">_xlfn.IFS(J879="NOTFOUND",I879,J879&gt;=I879,J879)</f>
        <v/>
      </c>
    </row>
    <row r="880" ht="18" customHeight="1" s="16">
      <c r="A880" s="5" t="n">
        <v>879</v>
      </c>
      <c r="B880" s="5" t="inlineStr">
        <is>
          <t>GU-3131</t>
        </is>
      </c>
      <c r="D880" s="2" t="inlineStr">
        <is>
          <t>日本限定 コインウォレット 財布 ホワイト インテリア</t>
        </is>
      </c>
      <c r="E880" s="2" t="inlineStr">
        <is>
          <t>795292 AAEBR 7541</t>
        </is>
      </c>
      <c r="F880" s="2" t="inlineStr">
        <is>
          <t>オレンジ レザー</t>
        </is>
      </c>
      <c r="G880" s="11" t="inlineStr">
        <is>
          <t>SOLD</t>
        </is>
      </c>
      <c r="H880" s="22" t="inlineStr">
        <is>
          <t>SOLD</t>
        </is>
      </c>
      <c r="I880" s="18" t="n">
        <v>90200</v>
      </c>
      <c r="J880" s="19" t="n">
        <v>90200</v>
      </c>
      <c r="K880" s="20" t="n">
        <v>0</v>
      </c>
      <c r="L880" s="4" t="inlineStr">
        <is>
          <t>https://www.gucci.com/jp/ja/pr/men/small-leather-goods-for-men/card-holders-coin-cases-for-men/white-interior-coin-wallet-p-795292AAEBR7541</t>
        </is>
      </c>
      <c r="M880" s="5">
        <f t="array" ref="M880">_xlfn.IFS(J880="NOTFOUND",I880,J880&gt;=I880,J880)</f>
        <v/>
      </c>
    </row>
    <row r="881" ht="18" customHeight="1" s="16">
      <c r="A881" s="5" t="n">
        <v>880</v>
      </c>
      <c r="B881" s="5" t="inlineStr">
        <is>
          <t>GU-3132</t>
        </is>
      </c>
      <c r="D881" s="2" t="inlineStr">
        <is>
          <t>GUCCI ロゴ パスポートケース</t>
        </is>
      </c>
      <c r="E881" s="2" t="inlineStr">
        <is>
          <t>795288 AABXM 1000</t>
        </is>
      </c>
      <c r="F881" s="2" t="inlineStr">
        <is>
          <t xml:space="preserve">  -</t>
        </is>
      </c>
      <c r="G881" s="10" t="inlineStr">
        <is>
          <t>OneSize</t>
        </is>
      </c>
      <c r="H881" s="17" t="inlineStr">
        <is>
          <t>OneSize</t>
        </is>
      </c>
      <c r="I881" s="18" t="n">
        <v>58300</v>
      </c>
      <c r="J881" s="19" t="n">
        <v>58300</v>
      </c>
      <c r="K881" s="20" t="n">
        <v>5</v>
      </c>
      <c r="L881" s="4" t="inlineStr">
        <is>
          <t>https://www.gucci.com/jp/ja/pr/men/small-leather-goods-for-men/bifold-wallets-for-men/passport-case-with-gucci-logo-p-795288AABXM1000</t>
        </is>
      </c>
      <c r="M881" s="5">
        <f t="array" ref="M881">_xlfn.IFS(J881="NOTFOUND",I881,J881&gt;=I881,J881)</f>
        <v/>
      </c>
    </row>
    <row r="882" ht="18" customHeight="1" s="16">
      <c r="A882" s="5" t="n">
        <v>881</v>
      </c>
      <c r="B882" s="5" t="inlineStr">
        <is>
          <t>GU-3133</t>
        </is>
      </c>
      <c r="D882" s="2" t="inlineStr">
        <is>
          <t>GUCCI ロゴ コインウォレット 財布</t>
        </is>
      </c>
      <c r="E882" s="2" t="inlineStr">
        <is>
          <t>795286 AABXM 1000</t>
        </is>
      </c>
      <c r="F882" s="2" t="inlineStr">
        <is>
          <t>ブラック レザー</t>
        </is>
      </c>
      <c r="G882" s="11" t="inlineStr">
        <is>
          <t>SOLD</t>
        </is>
      </c>
      <c r="H882" s="22" t="inlineStr">
        <is>
          <t>SOLD</t>
        </is>
      </c>
      <c r="I882" s="18" t="n">
        <v>75900</v>
      </c>
      <c r="J882" s="19" t="n">
        <v>75900</v>
      </c>
      <c r="K882" s="20" t="n">
        <v>0</v>
      </c>
      <c r="L882" s="4" t="inlineStr">
        <is>
          <t>https://www.gucci.com/jp/ja/pr/men/small-leather-goods-for-men/card-holders-coin-cases-for-men/coin-wallet-with-gucci-logo-p-795286AABXM1000</t>
        </is>
      </c>
      <c r="M882" s="5">
        <f t="array" ref="M882">_xlfn.IFS(J882="NOTFOUND",I882,J882&gt;=I882,J882)</f>
        <v/>
      </c>
    </row>
    <row r="883" ht="18" customHeight="1" s="16">
      <c r="A883" s="5" t="n">
        <v>882</v>
      </c>
      <c r="B883" s="5" t="inlineStr">
        <is>
          <t>GU-3134</t>
        </is>
      </c>
      <c r="D883" s="2" t="inlineStr">
        <is>
          <t>日本限定 コインウォレット 財布 ホワイト インテリア</t>
        </is>
      </c>
      <c r="E883" s="2" t="inlineStr">
        <is>
          <t>795286 AAEBR 7541</t>
        </is>
      </c>
      <c r="F883" s="2" t="inlineStr">
        <is>
          <t>オレンジ レザー</t>
        </is>
      </c>
      <c r="G883" s="10" t="inlineStr">
        <is>
          <t>OneSize</t>
        </is>
      </c>
      <c r="H883" s="17" t="inlineStr">
        <is>
          <t>OneSize</t>
        </is>
      </c>
      <c r="I883" s="18" t="n">
        <v>79200</v>
      </c>
      <c r="J883" s="19" t="n">
        <v>79200</v>
      </c>
      <c r="K883" s="20" t="n">
        <v>5</v>
      </c>
      <c r="L883" s="4" t="inlineStr">
        <is>
          <t>https://www.gucci.com/jp/ja/pr/men/small-leather-goods-for-men/card-holders-coin-cases-for-men/white-interior-coin-wallet-p-795286AAEBR7541</t>
        </is>
      </c>
      <c r="M883" s="5">
        <f t="array" ref="M883">_xlfn.IFS(J883="NOTFOUND",I883,J883&gt;=I883,J883)</f>
        <v/>
      </c>
    </row>
    <row r="884" ht="18" customHeight="1" s="16">
      <c r="A884" s="5" t="n">
        <v>883</v>
      </c>
      <c r="B884" s="5" t="inlineStr">
        <is>
          <t>GU-3135</t>
        </is>
      </c>
      <c r="D884" s="2" t="inlineStr">
        <is>
          <t>GUCCI スクリプト ジップ キーケース</t>
        </is>
      </c>
      <c r="E884" s="2" t="inlineStr">
        <is>
          <t>790102 0OP0N 5909</t>
        </is>
      </c>
      <c r="F884" s="2" t="inlineStr">
        <is>
          <t>ライトピンク レザー</t>
        </is>
      </c>
      <c r="G884" s="11" t="inlineStr">
        <is>
          <t>SOLD</t>
        </is>
      </c>
      <c r="H884" s="22" t="inlineStr">
        <is>
          <t>SOLD</t>
        </is>
      </c>
      <c r="I884" s="18" t="n">
        <v>58300</v>
      </c>
      <c r="J884" s="23" t="inlineStr">
        <is>
          <t>NOTFOUND</t>
        </is>
      </c>
      <c r="K884" s="20" t="n">
        <v>0</v>
      </c>
      <c r="L884" s="4" t="inlineStr">
        <is>
          <t>https://www.gucci.com/jp/ja/pr/women/small-leather-goods-for-women/key-cases-charms-for-women/zip-key-case-with-gucci-script-p-7901020OP0N5909</t>
        </is>
      </c>
      <c r="M884" s="5">
        <f t="array" ref="M884">_xlfn.IFS(J884="NOTFOUND",I884,J884&gt;=I884,J884)</f>
        <v/>
      </c>
    </row>
    <row r="885" ht="18" customHeight="1" s="16">
      <c r="A885" s="5" t="n">
        <v>884</v>
      </c>
      <c r="B885" s="5" t="inlineStr">
        <is>
          <t>GU-3136</t>
        </is>
      </c>
      <c r="D885" s="2" t="inlineStr">
        <is>
          <t>GUCCI スクリプト ジップ キーケース</t>
        </is>
      </c>
      <c r="E885" s="2" t="inlineStr">
        <is>
          <t>790102 0OP0N 1000</t>
        </is>
      </c>
      <c r="F885" s="2" t="inlineStr">
        <is>
          <t>ブラック レザー</t>
        </is>
      </c>
      <c r="G885" s="11" t="inlineStr">
        <is>
          <t>SOLD</t>
        </is>
      </c>
      <c r="H885" s="22" t="inlineStr">
        <is>
          <t>SOLD</t>
        </is>
      </c>
      <c r="I885" s="18" t="n">
        <v>58300</v>
      </c>
      <c r="J885" s="23" t="inlineStr">
        <is>
          <t>NOTFOUND</t>
        </is>
      </c>
      <c r="K885" s="20" t="n">
        <v>0</v>
      </c>
      <c r="L885" s="4" t="inlineStr">
        <is>
          <t>https://www.gucci.com/jp/ja/pr/women/small-leather-goods-for-women/key-cases-charms-for-women/zip-key-case-with-gucci-script-p-7901020OP0N1000</t>
        </is>
      </c>
      <c r="M885" s="5">
        <f t="array" ref="M885">_xlfn.IFS(J885="NOTFOUND",I885,J885&gt;=I885,J885)</f>
        <v/>
      </c>
    </row>
    <row r="886" ht="18" customHeight="1" s="16">
      <c r="A886" s="5" t="n">
        <v>885</v>
      </c>
      <c r="B886" s="5" t="inlineStr">
        <is>
          <t>GU-3137</t>
        </is>
      </c>
      <c r="D886" s="2" t="inlineStr">
        <is>
          <t>GUCCI スクリプト カードケース（名刺入れ）</t>
        </is>
      </c>
      <c r="E886" s="2" t="inlineStr">
        <is>
          <t>790101 0OP0N 5909</t>
        </is>
      </c>
      <c r="F886" s="2" t="inlineStr">
        <is>
          <t>ライトピンク レザー</t>
        </is>
      </c>
      <c r="G886" s="11" t="inlineStr">
        <is>
          <t>SOLD</t>
        </is>
      </c>
      <c r="H886" s="22" t="inlineStr">
        <is>
          <t>SOLD</t>
        </is>
      </c>
      <c r="I886" s="18" t="n">
        <v>53900</v>
      </c>
      <c r="J886" s="23" t="inlineStr">
        <is>
          <t>NOTFOUND</t>
        </is>
      </c>
      <c r="K886" s="20" t="n">
        <v>0</v>
      </c>
      <c r="L886" s="4" t="inlineStr">
        <is>
          <t>https://www.gucci.com/jp/ja/pr/women/small-leather-goods-for-women/card-coin-cases-for-women/card-case-with-gucci-script-p-7901010OP0N5909</t>
        </is>
      </c>
      <c r="M886" s="5">
        <f t="array" ref="M886">_xlfn.IFS(J886="NOTFOUND",I886,J886&gt;=I886,J886)</f>
        <v/>
      </c>
    </row>
    <row r="887" ht="18" customHeight="1" s="16">
      <c r="A887" s="5" t="n">
        <v>886</v>
      </c>
      <c r="B887" s="5" t="inlineStr">
        <is>
          <t>GU-3138</t>
        </is>
      </c>
      <c r="D887" s="2" t="inlineStr">
        <is>
          <t>GUCCI スクリプト カードケース（名刺入れ）</t>
        </is>
      </c>
      <c r="E887" s="2" t="inlineStr">
        <is>
          <t>790101 0OP0N 1000</t>
        </is>
      </c>
      <c r="F887" s="2" t="inlineStr">
        <is>
          <t>ブラック レザー</t>
        </is>
      </c>
      <c r="G887" s="11" t="inlineStr">
        <is>
          <t>SOLD</t>
        </is>
      </c>
      <c r="H887" s="22" t="inlineStr">
        <is>
          <t>SOLD</t>
        </is>
      </c>
      <c r="I887" s="18" t="n">
        <v>53900</v>
      </c>
      <c r="J887" s="23" t="inlineStr">
        <is>
          <t>NOTFOUND</t>
        </is>
      </c>
      <c r="K887" s="20" t="n">
        <v>0</v>
      </c>
      <c r="L887" s="4" t="inlineStr">
        <is>
          <t>https://www.gucci.com/jp/ja/pr/women/small-leather-goods-for-women/card-coin-cases-for-women/card-case-with-gucci-script-p-7901010OP0N1000</t>
        </is>
      </c>
      <c r="M887" s="5">
        <f t="array" ref="M887">_xlfn.IFS(J887="NOTFOUND",I887,J887&gt;=I887,J887)</f>
        <v/>
      </c>
    </row>
    <row r="888" ht="18" customHeight="1" s="16">
      <c r="A888" s="5" t="n">
        <v>887</v>
      </c>
      <c r="B888" s="5" t="inlineStr">
        <is>
          <t>GU-3139</t>
        </is>
      </c>
      <c r="D888" s="2" t="inlineStr">
        <is>
          <t>日本限定 GUCCI ロゴ 三つ折りウォレット 財布</t>
        </is>
      </c>
      <c r="E888" s="2" t="inlineStr">
        <is>
          <t>771210 AADD8 7227</t>
        </is>
      </c>
      <c r="F888" s="2" t="inlineStr">
        <is>
          <t xml:space="preserve">  -</t>
        </is>
      </c>
      <c r="G888" s="10" t="inlineStr">
        <is>
          <t>OneSize</t>
        </is>
      </c>
      <c r="H888" s="17" t="inlineStr">
        <is>
          <t>OneSize</t>
        </is>
      </c>
      <c r="I888" s="18" t="n">
        <v>94600</v>
      </c>
      <c r="J888" s="19" t="n">
        <v>94600</v>
      </c>
      <c r="K888" s="20" t="n">
        <v>5</v>
      </c>
      <c r="L888" s="4" t="inlineStr">
        <is>
          <t>https://www.gucci.com/jp/ja/pr/men/small-leather-goods-for-men/bifold-wallets-for-men/tri-fold-wallet-with-gucci-logo-p-771210AADD87227</t>
        </is>
      </c>
      <c r="M888" s="5">
        <f t="array" ref="M888">_xlfn.IFS(J888="NOTFOUND",I888,J888&gt;=I888,J888)</f>
        <v/>
      </c>
    </row>
    <row r="889" ht="18" customHeight="1" s="16">
      <c r="A889" s="5" t="n">
        <v>888</v>
      </c>
      <c r="B889" s="5" t="inlineStr">
        <is>
          <t>GU-3140</t>
        </is>
      </c>
      <c r="D889" s="2" t="inlineStr">
        <is>
          <t>GUCCI ロゴ コインケース</t>
        </is>
      </c>
      <c r="E889" s="2" t="inlineStr">
        <is>
          <t>771160 AABXM 1000</t>
        </is>
      </c>
      <c r="F889" s="2" t="inlineStr">
        <is>
          <t xml:space="preserve">  -</t>
        </is>
      </c>
      <c r="G889" s="11" t="inlineStr">
        <is>
          <t>SOLD</t>
        </is>
      </c>
      <c r="H889" s="22" t="inlineStr">
        <is>
          <t>SOLD</t>
        </is>
      </c>
      <c r="I889" s="18" t="n">
        <v>53900</v>
      </c>
      <c r="J889" s="19" t="n">
        <v>53900</v>
      </c>
      <c r="K889" s="20" t="n">
        <v>0</v>
      </c>
      <c r="L889" s="4" t="inlineStr">
        <is>
          <t>https://www.gucci.com/jp/ja/pr/men/small-leather-goods-for-men/card-holders-coin-cases-for-men/coin-case-with-gucci-logo-p-771160AABXM1000</t>
        </is>
      </c>
      <c r="M889" s="5">
        <f t="array" ref="M889">_xlfn.IFS(J889="NOTFOUND",I889,J889&gt;=I889,J889)</f>
        <v/>
      </c>
    </row>
    <row r="890" ht="18" customHeight="1" s="16">
      <c r="A890" s="5" t="n">
        <v>889</v>
      </c>
      <c r="B890" s="5" t="inlineStr">
        <is>
          <t>GU-3141</t>
        </is>
      </c>
      <c r="D890" s="2" t="inlineStr">
        <is>
          <t>GUCCI ロゴ カードケース</t>
        </is>
      </c>
      <c r="E890" s="2" t="inlineStr">
        <is>
          <t>771157 AABXM 1000</t>
        </is>
      </c>
      <c r="F890" s="2" t="inlineStr">
        <is>
          <t xml:space="preserve">  -</t>
        </is>
      </c>
      <c r="G890" s="10" t="inlineStr">
        <is>
          <t>OneSize</t>
        </is>
      </c>
      <c r="H890" s="17" t="inlineStr">
        <is>
          <t>OneSize</t>
        </is>
      </c>
      <c r="I890" s="18" t="n">
        <v>45100</v>
      </c>
      <c r="J890" s="19" t="n">
        <v>45100</v>
      </c>
      <c r="K890" s="20" t="n">
        <v>5</v>
      </c>
      <c r="L890" s="4" t="inlineStr">
        <is>
          <t>https://www.gucci.com/jp/ja/pr/men/small-leather-goods-for-men/card-holders-coin-cases-for-men/card-case-with-gucci-logo-p-771157AABXM1000</t>
        </is>
      </c>
      <c r="M890" s="5">
        <f t="array" ref="M890">_xlfn.IFS(J890="NOTFOUND",I890,J890&gt;=I890,J890)</f>
        <v/>
      </c>
    </row>
    <row r="891" ht="18" customHeight="1" s="16">
      <c r="A891" s="5" t="n">
        <v>890</v>
      </c>
      <c r="B891" s="5" t="inlineStr">
        <is>
          <t>GU-3142</t>
        </is>
      </c>
      <c r="D891" s="2" t="inlineStr">
        <is>
          <t>GUCCI ロゴ キーホルダー</t>
        </is>
      </c>
      <c r="E891" s="2" t="inlineStr">
        <is>
          <t>771156 AABXM 1000</t>
        </is>
      </c>
      <c r="F891" s="2" t="inlineStr">
        <is>
          <t xml:space="preserve">  -</t>
        </is>
      </c>
      <c r="G891" s="11" t="inlineStr">
        <is>
          <t>SOLD</t>
        </is>
      </c>
      <c r="H891" s="17" t="inlineStr">
        <is>
          <t>OneSize</t>
        </is>
      </c>
      <c r="I891" s="18" t="n">
        <v>56100</v>
      </c>
      <c r="J891" s="19" t="n">
        <v>56100</v>
      </c>
      <c r="K891" s="20" t="n">
        <v>5</v>
      </c>
      <c r="L891" s="4" t="inlineStr">
        <is>
          <t>https://www.gucci.com/jp/ja/pr/men/small-leather-goods-for-men/key-rings-key-cases-for-men/keyholder-with-gucci-logo-p-771156AABXM1000</t>
        </is>
      </c>
      <c r="M891" s="5">
        <f t="array" ref="M891">_xlfn.IFS(J891="NOTFOUND",I891,J891&gt;=I891,J891)</f>
        <v/>
      </c>
    </row>
    <row r="892" ht="18" customHeight="1" s="16">
      <c r="A892" s="5" t="n">
        <v>891</v>
      </c>
      <c r="B892" s="5" t="inlineStr">
        <is>
          <t>GU-3143</t>
        </is>
      </c>
      <c r="D892" s="2" t="inlineStr">
        <is>
          <t>GUCCI ロゴ ポーチ</t>
        </is>
      </c>
      <c r="E892" s="2" t="inlineStr">
        <is>
          <t>771155 AABXM 1000</t>
        </is>
      </c>
      <c r="F892" s="2" t="inlineStr">
        <is>
          <t xml:space="preserve">  -</t>
        </is>
      </c>
      <c r="G892" s="10" t="inlineStr">
        <is>
          <t>OneSize</t>
        </is>
      </c>
      <c r="H892" s="17" t="inlineStr">
        <is>
          <t>OneSize</t>
        </is>
      </c>
      <c r="I892" s="18" t="n">
        <v>168300</v>
      </c>
      <c r="J892" s="19" t="n">
        <v>168300</v>
      </c>
      <c r="K892" s="20" t="n">
        <v>5</v>
      </c>
      <c r="L892" s="4" t="inlineStr">
        <is>
          <t>https://www.gucci.com/jp/ja/pr/men/small-leather-goods-for-men/small-bags-pouches/pouches-for-men/pouch-with-gucci-logo-p-771155AABXM1000</t>
        </is>
      </c>
      <c r="M892" s="5">
        <f t="array" ref="M892">_xlfn.IFS(J892="NOTFOUND",I892,J892&gt;=I892,J892)</f>
        <v/>
      </c>
    </row>
    <row r="893" ht="18" customHeight="1" s="16">
      <c r="A893" s="5" t="n">
        <v>892</v>
      </c>
      <c r="B893" s="5" t="inlineStr">
        <is>
          <t>GU-3144</t>
        </is>
      </c>
      <c r="D893" s="2" t="inlineStr">
        <is>
          <t>GUCCI ロゴ ジップアラウンドウォレット 財布</t>
        </is>
      </c>
      <c r="E893" s="2" t="inlineStr">
        <is>
          <t>771154 AABXM 1000</t>
        </is>
      </c>
      <c r="F893" s="2" t="inlineStr">
        <is>
          <t>ブラック レザー</t>
        </is>
      </c>
      <c r="G893" s="10" t="inlineStr">
        <is>
          <t>OneSize</t>
        </is>
      </c>
      <c r="H893" s="17" t="inlineStr">
        <is>
          <t>OneSize</t>
        </is>
      </c>
      <c r="I893" s="18" t="n">
        <v>124300</v>
      </c>
      <c r="J893" s="19" t="n">
        <v>124300</v>
      </c>
      <c r="K893" s="20" t="n">
        <v>5</v>
      </c>
      <c r="L893" s="4" t="inlineStr">
        <is>
          <t>https://www.gucci.com/jp/ja/pr/men/small-leather-goods-for-men/zip-around-long-wallets-for-men/zip-around-wallet-with-gucci-logo-p-771154AABXM1000</t>
        </is>
      </c>
      <c r="M893" s="5">
        <f t="array" ref="M893">_xlfn.IFS(J893="NOTFOUND",I893,J893&gt;=I893,J893)</f>
        <v/>
      </c>
    </row>
    <row r="894" ht="18" customHeight="1" s="16">
      <c r="A894" s="5" t="n">
        <v>893</v>
      </c>
      <c r="B894" s="5" t="inlineStr">
        <is>
          <t>GU-3145</t>
        </is>
      </c>
      <c r="D894" s="2" t="inlineStr">
        <is>
          <t>日本限定 GUCCI ロゴ ジップアラウンドウォレット 財布</t>
        </is>
      </c>
      <c r="E894" s="2" t="inlineStr">
        <is>
          <t>771154 AADD8 7227</t>
        </is>
      </c>
      <c r="F894" s="2" t="inlineStr">
        <is>
          <t>ライムグリーン レザー</t>
        </is>
      </c>
      <c r="G894" s="10" t="inlineStr">
        <is>
          <t>OneSize</t>
        </is>
      </c>
      <c r="H894" s="17" t="inlineStr">
        <is>
          <t>OneSize</t>
        </is>
      </c>
      <c r="I894" s="18" t="n">
        <v>124300</v>
      </c>
      <c r="J894" s="19" t="n">
        <v>124300</v>
      </c>
      <c r="K894" s="20" t="n">
        <v>5</v>
      </c>
      <c r="L894" s="4" t="inlineStr">
        <is>
          <t>https://www.gucci.com/jp/ja/pr/men/small-leather-goods-for-men/zip-around-long-wallets-for-men/zip-around-wallet-with-gucci-logo-p-771154AADD87227</t>
        </is>
      </c>
      <c r="M894" s="5">
        <f t="array" ref="M894">_xlfn.IFS(J894="NOTFOUND",I894,J894&gt;=I894,J894)</f>
        <v/>
      </c>
    </row>
    <row r="895" ht="18" customHeight="1" s="16">
      <c r="A895" s="5" t="n">
        <v>894</v>
      </c>
      <c r="B895" s="5" t="inlineStr">
        <is>
          <t>GU-3146</t>
        </is>
      </c>
      <c r="D895" s="2" t="inlineStr">
        <is>
          <t>日本限定 GUCCI ロゴ ジップアラウンドウォレット 財布</t>
        </is>
      </c>
      <c r="E895" s="2" t="inlineStr">
        <is>
          <t>771154 AADD8 4913</t>
        </is>
      </c>
      <c r="F895" s="2" t="inlineStr">
        <is>
          <t>パステルブルー レザー</t>
        </is>
      </c>
      <c r="G895" s="10" t="inlineStr">
        <is>
          <t>OneSize</t>
        </is>
      </c>
      <c r="H895" s="17" t="inlineStr">
        <is>
          <t>OneSize</t>
        </is>
      </c>
      <c r="I895" s="18" t="n">
        <v>124300</v>
      </c>
      <c r="J895" s="19" t="n">
        <v>124300</v>
      </c>
      <c r="K895" s="20" t="n">
        <v>5</v>
      </c>
      <c r="L895" s="4" t="inlineStr">
        <is>
          <t>https://www.gucci.com/jp/ja/pr/men/small-leather-goods-for-men/zip-around-long-wallets-for-men/zip-around-wallet-with-gucci-logo-p-771154AADD84913</t>
        </is>
      </c>
      <c r="M895" s="5">
        <f t="array" ref="M895">_xlfn.IFS(J895="NOTFOUND",I895,J895&gt;=I895,J895)</f>
        <v/>
      </c>
    </row>
    <row r="896" ht="18" customHeight="1" s="16">
      <c r="A896" s="5" t="n">
        <v>895</v>
      </c>
      <c r="B896" s="5" t="inlineStr">
        <is>
          <t>GU-3147</t>
        </is>
      </c>
      <c r="D896" s="2" t="inlineStr">
        <is>
          <t>日本限定 ジップアラウンドウォレット 財布 ホワイト インテリア</t>
        </is>
      </c>
      <c r="E896" s="2" t="inlineStr">
        <is>
          <t>771154 AAEBR 7541</t>
        </is>
      </c>
      <c r="F896" s="2" t="inlineStr">
        <is>
          <t>オレンジ レザー</t>
        </is>
      </c>
      <c r="G896" s="10" t="inlineStr">
        <is>
          <t>OneSize</t>
        </is>
      </c>
      <c r="H896" s="17" t="inlineStr">
        <is>
          <t>OneSize</t>
        </is>
      </c>
      <c r="I896" s="18" t="n">
        <v>124300</v>
      </c>
      <c r="J896" s="19" t="n">
        <v>124300</v>
      </c>
      <c r="K896" s="20" t="n">
        <v>5</v>
      </c>
      <c r="L896" s="4" t="inlineStr">
        <is>
          <t>https://www.gucci.com/jp/ja/pr/men/small-leather-goods-for-men/zip-around-long-wallets-for-men/white-interior-zip-around-wallet-p-771154AAEBR7541</t>
        </is>
      </c>
      <c r="M896" s="5">
        <f t="array" ref="M896">_xlfn.IFS(J896="NOTFOUND",I896,J896&gt;=I896,J896)</f>
        <v/>
      </c>
    </row>
    <row r="897" ht="18" customHeight="1" s="16">
      <c r="A897" s="5" t="n">
        <v>896</v>
      </c>
      <c r="B897" s="5" t="inlineStr">
        <is>
          <t>GU-3148</t>
        </is>
      </c>
      <c r="D897" s="2" t="inlineStr">
        <is>
          <t>GUCCI ロゴ 二つ折りウォレット 財布</t>
        </is>
      </c>
      <c r="E897" s="2" t="inlineStr">
        <is>
          <t>771153 AABXM 1000</t>
        </is>
      </c>
      <c r="F897" s="2" t="inlineStr">
        <is>
          <t>ブラック レザー</t>
        </is>
      </c>
      <c r="G897" s="10" t="inlineStr">
        <is>
          <t>OneSize</t>
        </is>
      </c>
      <c r="H897" s="17" t="inlineStr">
        <is>
          <t>OneSize</t>
        </is>
      </c>
      <c r="I897" s="18" t="n">
        <v>84700</v>
      </c>
      <c r="J897" s="19" t="n">
        <v>84700</v>
      </c>
      <c r="K897" s="20" t="n">
        <v>5</v>
      </c>
      <c r="L897" s="4" t="inlineStr">
        <is>
          <t>https://www.gucci.com/jp/ja/pr/men/small-leather-goods-for-men/bifold-wallets-for-men/bi-fold-wallet-with-gucci-logo-p-771153AABXM1000</t>
        </is>
      </c>
      <c r="M897" s="5">
        <f t="array" ref="M897">_xlfn.IFS(J897="NOTFOUND",I897,J897&gt;=I897,J897)</f>
        <v/>
      </c>
    </row>
    <row r="898" ht="18" customHeight="1" s="16">
      <c r="A898" s="5" t="n">
        <v>897</v>
      </c>
      <c r="B898" s="5" t="inlineStr">
        <is>
          <t>GU-3149</t>
        </is>
      </c>
      <c r="D898" s="2" t="inlineStr">
        <is>
          <t>GUCCI ロゴ カードケース（名刺入れ）</t>
        </is>
      </c>
      <c r="E898" s="2" t="inlineStr">
        <is>
          <t>771152 AABXM 1000</t>
        </is>
      </c>
      <c r="F898" s="2" t="inlineStr">
        <is>
          <t>ブラック レザー</t>
        </is>
      </c>
      <c r="G898" s="10" t="inlineStr">
        <is>
          <t>OneSize</t>
        </is>
      </c>
      <c r="H898" s="17" t="inlineStr">
        <is>
          <t>OneSize</t>
        </is>
      </c>
      <c r="I898" s="18" t="n">
        <v>56100</v>
      </c>
      <c r="J898" s="19" t="n">
        <v>56100</v>
      </c>
      <c r="K898" s="20" t="n">
        <v>5</v>
      </c>
      <c r="L898" s="4" t="inlineStr">
        <is>
          <t>https://www.gucci.com/jp/ja/pr/men/small-leather-goods-for-men/card-holders-coin-cases-for-men/long-card-case-wallet-with-gucci-logo-p-771152AABXM1000</t>
        </is>
      </c>
      <c r="M898" s="5">
        <f t="array" ref="M898">_xlfn.IFS(J898="NOTFOUND",I898,J898&gt;=I898,J898)</f>
        <v/>
      </c>
    </row>
    <row r="899" ht="18" customHeight="1" s="16">
      <c r="A899" s="5" t="n">
        <v>898</v>
      </c>
      <c r="B899" s="5" t="inlineStr">
        <is>
          <t>GU-3150</t>
        </is>
      </c>
      <c r="D899" s="2" t="inlineStr">
        <is>
          <t>GUCCI ロゴ ロング コインウォレット 財布</t>
        </is>
      </c>
      <c r="E899" s="2" t="inlineStr">
        <is>
          <t>771151 AABXM 1000</t>
        </is>
      </c>
      <c r="F899" s="2" t="inlineStr">
        <is>
          <t xml:space="preserve">  -</t>
        </is>
      </c>
      <c r="G899" s="10" t="inlineStr">
        <is>
          <t>OneSize</t>
        </is>
      </c>
      <c r="H899" s="17" t="inlineStr">
        <is>
          <t>OneSize</t>
        </is>
      </c>
      <c r="I899" s="18" t="n">
        <v>101200</v>
      </c>
      <c r="J899" s="19" t="n">
        <v>101200</v>
      </c>
      <c r="K899" s="20" t="n">
        <v>5</v>
      </c>
      <c r="L899" s="4" t="inlineStr">
        <is>
          <t>https://www.gucci.com/jp/ja/pr/men/small-leather-goods-for-men/long-coin-wallet-with-gucci-logo-p-771151AABXM1000</t>
        </is>
      </c>
      <c r="M899" s="5">
        <f t="array" ref="M899">_xlfn.IFS(J899="NOTFOUND",I899,J899&gt;=I899,J899)</f>
        <v/>
      </c>
    </row>
    <row r="900" ht="18" customHeight="1" s="16">
      <c r="A900" s="5" t="n">
        <v>899</v>
      </c>
      <c r="B900" s="5" t="inlineStr">
        <is>
          <t>GU-3151</t>
        </is>
      </c>
      <c r="D900" s="2" t="inlineStr">
        <is>
          <t>ジップアラウンドウォレット 財布 グレー インテリア</t>
        </is>
      </c>
      <c r="E900" s="2" t="inlineStr">
        <is>
          <t>817044 AAEGG 3743</t>
        </is>
      </c>
      <c r="F900" s="2" t="inlineStr">
        <is>
          <t>グリーン レザー</t>
        </is>
      </c>
      <c r="G900" s="11" t="inlineStr">
        <is>
          <t>SOLD</t>
        </is>
      </c>
      <c r="H900" s="22" t="inlineStr">
        <is>
          <t>SOLD</t>
        </is>
      </c>
      <c r="I900" s="18" t="n">
        <v>124300</v>
      </c>
      <c r="J900" s="23" t="inlineStr">
        <is>
          <t>NOTFOUND</t>
        </is>
      </c>
      <c r="K900" s="20" t="n">
        <v>0</v>
      </c>
      <c r="L900" s="4" t="inlineStr">
        <is>
          <t>https://www.gucci.com/jp/ja/pr/men/small-leather-goods-for-men/zip-around-long-wallets-for-men/grey-interior-zip-around-wallet-p-817044AAEGG3743</t>
        </is>
      </c>
      <c r="M900" s="5">
        <f t="array" ref="M900">_xlfn.IFS(J900="NOTFOUND",I900,J900&gt;=I900,J900)</f>
        <v/>
      </c>
    </row>
    <row r="901" ht="18" customHeight="1" s="16">
      <c r="A901" s="5" t="n">
        <v>900</v>
      </c>
      <c r="B901" s="5" t="inlineStr">
        <is>
          <t>GU-3152</t>
        </is>
      </c>
      <c r="D901" s="2" t="inlineStr">
        <is>
          <t>ジップアラウンドウォレット 財布 オートミール インテリア</t>
        </is>
      </c>
      <c r="E901" s="2" t="inlineStr">
        <is>
          <t>817044 AAEGG 4043</t>
        </is>
      </c>
      <c r="F901" s="2" t="inlineStr">
        <is>
          <t>ダークブルー レザー</t>
        </is>
      </c>
      <c r="G901" s="11" t="inlineStr">
        <is>
          <t>SOLD</t>
        </is>
      </c>
      <c r="H901" s="22" t="inlineStr">
        <is>
          <t>SOLD</t>
        </is>
      </c>
      <c r="I901" s="18" t="n">
        <v>124300</v>
      </c>
      <c r="J901" s="23" t="inlineStr">
        <is>
          <t>NOTFOUND</t>
        </is>
      </c>
      <c r="K901" s="20" t="n">
        <v>0</v>
      </c>
      <c r="L901" s="4" t="inlineStr">
        <is>
          <t>https://www.gucci.com/jp/ja/pr/men/small-leather-goods-for-men/zip-around-long-wallets-for-men/oatmeal-interior-zip-around-wallet-p-817044AAEGG4043</t>
        </is>
      </c>
      <c r="M901" s="5">
        <f t="array" ref="M901">_xlfn.IFS(J901="NOTFOUND",I901,J901&gt;=I901,J901)</f>
        <v/>
      </c>
    </row>
    <row r="902" ht="18" customHeight="1" s="16">
      <c r="A902" s="5" t="n">
        <v>901</v>
      </c>
      <c r="B902" s="5" t="inlineStr">
        <is>
          <t>GU-3153</t>
        </is>
      </c>
      <c r="D902" s="2" t="inlineStr">
        <is>
          <t>コインウォレット 財布 グレー インテリア</t>
        </is>
      </c>
      <c r="E902" s="2" t="inlineStr">
        <is>
          <t>817021 AAEGG 3743</t>
        </is>
      </c>
      <c r="F902" s="2" t="inlineStr">
        <is>
          <t>グリーン レザー</t>
        </is>
      </c>
      <c r="G902" s="11" t="inlineStr">
        <is>
          <t>SOLD</t>
        </is>
      </c>
      <c r="H902" s="22" t="inlineStr">
        <is>
          <t>SOLD</t>
        </is>
      </c>
      <c r="I902" s="18" t="n">
        <v>90200</v>
      </c>
      <c r="J902" s="23" t="inlineStr">
        <is>
          <t>NOTFOUND</t>
        </is>
      </c>
      <c r="K902" s="20" t="n">
        <v>0</v>
      </c>
      <c r="L902" s="4" t="inlineStr">
        <is>
          <t>https://www.gucci.com/jp/ja/pr/men/small-leather-goods-for-men/card-holders-coin-cases-for-men/grey-interior-coin-wallet-p-817021AAEGG3743</t>
        </is>
      </c>
      <c r="M902" s="5">
        <f t="array" ref="M902">_xlfn.IFS(J902="NOTFOUND",I902,J902&gt;=I902,J902)</f>
        <v/>
      </c>
    </row>
    <row r="903" ht="18" customHeight="1" s="16">
      <c r="A903" s="5" t="n">
        <v>902</v>
      </c>
      <c r="B903" s="5" t="inlineStr">
        <is>
          <t>GU-3154</t>
        </is>
      </c>
      <c r="D903" s="2" t="inlineStr">
        <is>
          <t>コインウォレット 財布 オートミール インテリア</t>
        </is>
      </c>
      <c r="E903" s="2" t="inlineStr">
        <is>
          <t>817021 AAEGG 4043</t>
        </is>
      </c>
      <c r="F903" s="2" t="inlineStr">
        <is>
          <t>ダークブルー レザー</t>
        </is>
      </c>
      <c r="G903" s="11" t="inlineStr">
        <is>
          <t>SOLD</t>
        </is>
      </c>
      <c r="H903" s="22" t="inlineStr">
        <is>
          <t>SOLD</t>
        </is>
      </c>
      <c r="I903" s="18" t="n">
        <v>90200</v>
      </c>
      <c r="J903" s="23" t="inlineStr">
        <is>
          <t>NOTFOUND</t>
        </is>
      </c>
      <c r="K903" s="20" t="n">
        <v>0</v>
      </c>
      <c r="L903" s="4" t="inlineStr">
        <is>
          <t>https://www.gucci.com/jp/ja/pr/men/small-leather-goods-for-men/card-holders-coin-cases-for-men/oatmeal-interior-coin-wallet-p-817021AAEGG4043</t>
        </is>
      </c>
      <c r="M903" s="5">
        <f t="array" ref="M903">_xlfn.IFS(J903="NOTFOUND",I903,J903&gt;=I903,J903)</f>
        <v/>
      </c>
    </row>
    <row r="904" ht="18" customHeight="1" s="16">
      <c r="A904" s="5" t="n">
        <v>903</v>
      </c>
      <c r="B904" s="5" t="inlineStr">
        <is>
          <t>GU-3155</t>
        </is>
      </c>
      <c r="D904" s="2" t="inlineStr">
        <is>
          <t>オフィディア パスポートケース</t>
        </is>
      </c>
      <c r="E904" s="2" t="inlineStr">
        <is>
          <t>795158 96IWG 8745</t>
        </is>
      </c>
      <c r="F904" s="2" t="inlineStr">
        <is>
          <t xml:space="preserve">  -</t>
        </is>
      </c>
      <c r="G904" s="10" t="inlineStr">
        <is>
          <t>OneSize</t>
        </is>
      </c>
      <c r="H904" s="17" t="inlineStr">
        <is>
          <t>OneSize</t>
        </is>
      </c>
      <c r="I904" s="18" t="n">
        <v>62700</v>
      </c>
      <c r="J904" s="19" t="n">
        <v>62700</v>
      </c>
      <c r="K904" s="20" t="n">
        <v>5</v>
      </c>
      <c r="L904" s="4" t="inlineStr">
        <is>
          <t>https://www.gucci.com/jp/ja/pr/women/small-leather-goods-for-women/card-coin-cases-for-women/ophidia-passport-case-p-79515896IWG8745</t>
        </is>
      </c>
      <c r="M904" s="5">
        <f t="array" ref="M904">_xlfn.IFS(J904="NOTFOUND",I904,J904&gt;=I904,J904)</f>
        <v/>
      </c>
    </row>
    <row r="905" ht="18" customHeight="1" s="16">
      <c r="A905" s="5" t="n">
        <v>904</v>
      </c>
      <c r="B905" s="5" t="inlineStr">
        <is>
          <t>GU-3156</t>
        </is>
      </c>
      <c r="D905" s="2" t="inlineStr">
        <is>
          <t>オフィディア スモール ポーチ</t>
        </is>
      </c>
      <c r="E905" s="2" t="inlineStr">
        <is>
          <t>760243 96IWT 8745</t>
        </is>
      </c>
      <c r="F905" s="2" t="inlineStr">
        <is>
          <t>ベージュ＆エボニー</t>
        </is>
      </c>
      <c r="G905" s="11" t="inlineStr">
        <is>
          <t>SOLD</t>
        </is>
      </c>
      <c r="H905" s="17" t="inlineStr">
        <is>
          <t>OneSize</t>
        </is>
      </c>
      <c r="I905" s="18" t="n">
        <v>147400</v>
      </c>
      <c r="J905" s="19" t="n">
        <v>147400</v>
      </c>
      <c r="K905" s="20" t="n">
        <v>5</v>
      </c>
      <c r="L905" s="4" t="inlineStr">
        <is>
          <t>https://www.gucci.com/jp/ja/pr/men/small-leather-goods-for-men/small-bags-pouches/pouches-for-men/ophidia-small-pouch-p-76024396IWT8745</t>
        </is>
      </c>
      <c r="M905" s="5">
        <f t="array" ref="M905">_xlfn.IFS(J905="NOTFOUND",I905,J905&gt;=I905,J905)</f>
        <v/>
      </c>
    </row>
    <row r="906" ht="18" customHeight="1" s="16">
      <c r="A906" s="5" t="n">
        <v>905</v>
      </c>
      <c r="B906" s="5" t="inlineStr">
        <is>
          <t>GU-3157</t>
        </is>
      </c>
      <c r="D906" s="2" t="inlineStr">
        <is>
          <t>オフィディア GG トラベルケース</t>
        </is>
      </c>
      <c r="E906" s="2" t="inlineStr">
        <is>
          <t>751610 96IWT 8745</t>
        </is>
      </c>
      <c r="F906" s="2" t="inlineStr">
        <is>
          <t xml:space="preserve">  -</t>
        </is>
      </c>
      <c r="G906" s="10" t="inlineStr">
        <is>
          <t>OneSize</t>
        </is>
      </c>
      <c r="H906" s="17" t="inlineStr">
        <is>
          <t>OneSize</t>
        </is>
      </c>
      <c r="I906" s="18" t="n">
        <v>214500</v>
      </c>
      <c r="J906" s="19" t="n">
        <v>214500</v>
      </c>
      <c r="K906" s="20" t="n">
        <v>5</v>
      </c>
      <c r="L906" s="4" t="inlineStr">
        <is>
          <t>https://www.gucci.com/jp/ja/pr/men/small-leather-goods-for-men/small-bags-pouches/pouches-for-men/ophidia-travel-case-p-75161096IWT8745</t>
        </is>
      </c>
      <c r="M906" s="5">
        <f t="array" ref="M906">_xlfn.IFS(J906="NOTFOUND",I906,J906&gt;=I906,J906)</f>
        <v/>
      </c>
    </row>
    <row r="907" ht="18" customHeight="1" s="16">
      <c r="A907" s="5" t="n">
        <v>906</v>
      </c>
      <c r="B907" s="5" t="inlineStr">
        <is>
          <t>GU-3158</t>
        </is>
      </c>
      <c r="D907" s="2" t="inlineStr">
        <is>
          <t>オフィディア GGキーケース</t>
        </is>
      </c>
      <c r="E907" s="2" t="inlineStr">
        <is>
          <t>603732 96IWT 8745</t>
        </is>
      </c>
      <c r="F907" s="2" t="inlineStr">
        <is>
          <t xml:space="preserve">  -</t>
        </is>
      </c>
      <c r="G907" s="10" t="inlineStr">
        <is>
          <t>OneSize</t>
        </is>
      </c>
      <c r="H907" s="17" t="inlineStr">
        <is>
          <t>OneSize</t>
        </is>
      </c>
      <c r="I907" s="18" t="n">
        <v>46750</v>
      </c>
      <c r="J907" s="19" t="n">
        <v>46750</v>
      </c>
      <c r="K907" s="20" t="n">
        <v>5</v>
      </c>
      <c r="L907" s="4" t="inlineStr">
        <is>
          <t>https://www.gucci.com/jp/ja/pr/men/small-leather-goods-for-men/key-rings-key-cases-for-men/ophidia-key-case-p-60373296IWT8745</t>
        </is>
      </c>
      <c r="M907" s="5">
        <f t="array" ref="M907">_xlfn.IFS(J907="NOTFOUND",I907,J907&gt;=I907,J907)</f>
        <v/>
      </c>
    </row>
    <row r="908" ht="18" customHeight="1" s="16">
      <c r="A908" s="5" t="n">
        <v>907</v>
      </c>
      <c r="B908" s="5" t="inlineStr">
        <is>
          <t>GU-3159</t>
        </is>
      </c>
      <c r="D908" s="2" t="inlineStr">
        <is>
          <t>オフィディア GG ポーチ</t>
        </is>
      </c>
      <c r="E908" s="2" t="inlineStr">
        <is>
          <t>598234 96IWT 8745</t>
        </is>
      </c>
      <c r="F908" s="2" t="inlineStr">
        <is>
          <t xml:space="preserve">  -</t>
        </is>
      </c>
      <c r="G908" s="10" t="inlineStr">
        <is>
          <t>OneSize</t>
        </is>
      </c>
      <c r="H908" s="17" t="inlineStr">
        <is>
          <t>OneSize</t>
        </is>
      </c>
      <c r="I908" s="18" t="n">
        <v>127600</v>
      </c>
      <c r="J908" s="19" t="n">
        <v>127600</v>
      </c>
      <c r="K908" s="20" t="n">
        <v>5</v>
      </c>
      <c r="L908" s="4" t="inlineStr">
        <is>
          <t>https://www.gucci.com/jp/ja/pr/women/small-leather-goods-for-women/pouches-for-women/ophidia-pouch-p-59823496IWT8745</t>
        </is>
      </c>
      <c r="M908" s="5">
        <f t="array" ref="M908">_xlfn.IFS(J908="NOTFOUND",I908,J908&gt;=I908,J908)</f>
        <v/>
      </c>
    </row>
    <row r="909" ht="18" customHeight="1" s="16">
      <c r="A909" s="5" t="n">
        <v>908</v>
      </c>
      <c r="B909" s="5" t="inlineStr">
        <is>
          <t>GU-3160</t>
        </is>
      </c>
      <c r="D909" s="2" t="inlineStr">
        <is>
          <t>オフィディア GG ジップアラウンドウォレット 財布</t>
        </is>
      </c>
      <c r="E909" s="2" t="inlineStr">
        <is>
          <t>523154 96IWG 8745</t>
        </is>
      </c>
      <c r="F909" s="2" t="inlineStr">
        <is>
          <t>GGスプリーム</t>
        </is>
      </c>
      <c r="G909" s="10" t="inlineStr">
        <is>
          <t>OneSize</t>
        </is>
      </c>
      <c r="H909" s="17" t="inlineStr">
        <is>
          <t>OneSize</t>
        </is>
      </c>
      <c r="I909" s="18" t="n">
        <v>101200</v>
      </c>
      <c r="J909" s="19" t="n">
        <v>101200</v>
      </c>
      <c r="K909" s="20" t="n">
        <v>5</v>
      </c>
      <c r="L909" s="4" t="inlineStr">
        <is>
          <t>https://www.gucci.com/jp/ja/pr/women/small-leather-goods-for-women/zip-around-wallets-for-women/ophidia-zip-around-wallet-p-52315496IWG8745</t>
        </is>
      </c>
      <c r="M909" s="5">
        <f t="array" ref="M909">_xlfn.IFS(J909="NOTFOUND",I909,J909&gt;=I909,J909)</f>
        <v/>
      </c>
    </row>
    <row r="910" ht="18" customHeight="1" s="16">
      <c r="A910" s="5" t="n">
        <v>909</v>
      </c>
      <c r="B910" s="5" t="inlineStr">
        <is>
          <t>GU-3161</t>
        </is>
      </c>
      <c r="D910" s="2" t="inlineStr">
        <is>
          <t>オフィディア IPHONE 15 PRO ケース</t>
        </is>
      </c>
      <c r="E910" s="2" t="inlineStr">
        <is>
          <t>763801 K5I0G 9742</t>
        </is>
      </c>
      <c r="F910" s="2" t="inlineStr">
        <is>
          <t xml:space="preserve">  -</t>
        </is>
      </c>
      <c r="G910" s="11" t="inlineStr">
        <is>
          <t>SOLD</t>
        </is>
      </c>
      <c r="H910" s="22" t="inlineStr">
        <is>
          <t>SOLD</t>
        </is>
      </c>
      <c r="I910" s="18" t="n">
        <v>46200</v>
      </c>
      <c r="J910" s="19" t="n">
        <v>46200</v>
      </c>
      <c r="K910" s="20" t="n">
        <v>0</v>
      </c>
      <c r="L910" s="4" t="inlineStr">
        <is>
          <t>https://www.gucci.com/jp/ja/pr/men/small-leather-goods-for-men/tech-accessories-for-men/ophidia-case-for-iphone-15-pro-p-763801K5I0G9742</t>
        </is>
      </c>
      <c r="M910" s="5">
        <f t="array" ref="M910">_xlfn.IFS(J910="NOTFOUND",I910,J910&gt;=I910,J910)</f>
        <v/>
      </c>
    </row>
    <row r="911" ht="18" customHeight="1" s="16">
      <c r="A911" s="5" t="n">
        <v>910</v>
      </c>
      <c r="B911" s="5" t="inlineStr">
        <is>
          <t>GU-3162</t>
        </is>
      </c>
      <c r="D911" s="2" t="inlineStr">
        <is>
          <t>オフィディア IPHONE 15 ケース</t>
        </is>
      </c>
      <c r="E911" s="2" t="inlineStr">
        <is>
          <t>763787 K5I0G 9742</t>
        </is>
      </c>
      <c r="F911" s="2" t="inlineStr">
        <is>
          <t xml:space="preserve">  -</t>
        </is>
      </c>
      <c r="G911" s="11" t="inlineStr">
        <is>
          <t>SOLD</t>
        </is>
      </c>
      <c r="H911" s="22" t="inlineStr">
        <is>
          <t>SOLD</t>
        </is>
      </c>
      <c r="I911" s="18" t="n">
        <v>46200</v>
      </c>
      <c r="J911" s="23" t="inlineStr">
        <is>
          <t>NOTFOUND</t>
        </is>
      </c>
      <c r="K911" s="20" t="n">
        <v>0</v>
      </c>
      <c r="L911" s="4" t="inlineStr">
        <is>
          <t>https://www.gucci.com/jp/ja/pr/men/small-leather-goods-for-men/tech-accessories-for-men/ophidia-case-for-iphone-15-p-763787K5I0G9742</t>
        </is>
      </c>
      <c r="M911" s="5">
        <f t="array" ref="M911">_xlfn.IFS(J911="NOTFOUND",I911,J911&gt;=I911,J911)</f>
        <v/>
      </c>
    </row>
    <row r="912" ht="18" customHeight="1" s="16">
      <c r="A912" s="5" t="n">
        <v>911</v>
      </c>
      <c r="B912" s="5" t="inlineStr">
        <is>
          <t>GU-3163</t>
        </is>
      </c>
      <c r="D912" s="2" t="inlineStr">
        <is>
          <t>オフィディア スモール クロスボディバッグ</t>
        </is>
      </c>
      <c r="E912" s="2" t="inlineStr">
        <is>
          <t>699439 FADIC 9761</t>
        </is>
      </c>
      <c r="F912" s="2" t="inlineStr">
        <is>
          <t>ベージュ＆エボニー</t>
        </is>
      </c>
      <c r="G912" s="11" t="inlineStr">
        <is>
          <t>SOLD</t>
        </is>
      </c>
      <c r="H912" s="22" t="inlineStr">
        <is>
          <t>SOLD</t>
        </is>
      </c>
      <c r="I912" s="18" t="n">
        <v>250800</v>
      </c>
      <c r="J912" s="23" t="inlineStr">
        <is>
          <t>NOTFOUND</t>
        </is>
      </c>
      <c r="K912" s="20" t="n">
        <v>0</v>
      </c>
      <c r="L912" s="4" t="inlineStr">
        <is>
          <t>https://www.gucci.com/jp/ja/pr/women/handbags/crossbody-bags-for-women/ophidia-small-crossbody-bag-p-699439FADIC9761</t>
        </is>
      </c>
      <c r="M912" s="5">
        <f t="array" ref="M912">_xlfn.IFS(J912="NOTFOUND",I912,J912&gt;=I912,J912)</f>
        <v/>
      </c>
    </row>
    <row r="913" ht="18" customHeight="1" s="16">
      <c r="A913" s="5" t="n">
        <v>912</v>
      </c>
      <c r="B913" s="5" t="inlineStr">
        <is>
          <t>GU-3164</t>
        </is>
      </c>
      <c r="D913" s="2" t="inlineStr">
        <is>
          <t>オフィディア GG ジップアラウンドウォレット 財布</t>
        </is>
      </c>
      <c r="E913" s="2" t="inlineStr">
        <is>
          <t>523154 96IWN 4076</t>
        </is>
      </c>
      <c r="F913" s="2" t="inlineStr">
        <is>
          <t xml:space="preserve">ベージュ＆ブルー </t>
        </is>
      </c>
      <c r="G913" s="11" t="inlineStr">
        <is>
          <t>SOLD</t>
        </is>
      </c>
      <c r="H913" s="22" t="inlineStr">
        <is>
          <t>SOLD</t>
        </is>
      </c>
      <c r="I913" s="18" t="n">
        <v>101200</v>
      </c>
      <c r="J913" s="23" t="inlineStr">
        <is>
          <t>NOTFOUND</t>
        </is>
      </c>
      <c r="K913" s="20" t="n">
        <v>0</v>
      </c>
      <c r="L913" s="4" t="inlineStr">
        <is>
          <t>https://www.gucci.com/jp/ja/pr/women/small-leather-goods-for-women/zip-around-wallets-for-women/ophidia-zip-around-wallet-p-52315496IWN4076</t>
        </is>
      </c>
      <c r="M913" s="5">
        <f t="array" ref="M913">_xlfn.IFS(J913="NOTFOUND",I913,J913&gt;=I913,J913)</f>
        <v/>
      </c>
    </row>
    <row r="914" ht="18" customHeight="1" s="16">
      <c r="A914" s="5" t="n">
        <v>913</v>
      </c>
      <c r="B914" s="5" t="inlineStr">
        <is>
          <t>GU-3165</t>
        </is>
      </c>
      <c r="D914" s="2" t="inlineStr">
        <is>
          <t>オフィディア カードケース（名刺入れ）</t>
        </is>
      </c>
      <c r="E914" s="2" t="inlineStr">
        <is>
          <t>763286 UULBN 4055</t>
        </is>
      </c>
      <c r="F914" s="2" t="inlineStr">
        <is>
          <t xml:space="preserve">  -</t>
        </is>
      </c>
      <c r="G914" s="11" t="inlineStr">
        <is>
          <t>SOLD</t>
        </is>
      </c>
      <c r="H914" s="22" t="inlineStr">
        <is>
          <t>SOLD</t>
        </is>
      </c>
      <c r="I914" s="18" t="n">
        <v>45100</v>
      </c>
      <c r="J914" s="23" t="inlineStr">
        <is>
          <t>NOTFOUND</t>
        </is>
      </c>
      <c r="K914" s="20" t="n">
        <v>0</v>
      </c>
      <c r="L914" s="4" t="inlineStr">
        <is>
          <t>https://www.gucci.com/jp/ja/pr/men/small-leather-goods-for-men/card-holders-coin-cases-for-men/ophidia-card-case-p-763286UULBN4055</t>
        </is>
      </c>
      <c r="M914" s="5">
        <f t="array" ref="M914">_xlfn.IFS(J914="NOTFOUND",I914,J914&gt;=I914,J914)</f>
        <v/>
      </c>
    </row>
    <row r="915" ht="18" customHeight="1" s="16">
      <c r="A915" s="5" t="n">
        <v>914</v>
      </c>
      <c r="B915" s="5" t="inlineStr">
        <is>
          <t>GU-3166</t>
        </is>
      </c>
      <c r="D915" s="2" t="inlineStr">
        <is>
          <t>オフィディア GG ポーチ</t>
        </is>
      </c>
      <c r="E915" s="2" t="inlineStr">
        <is>
          <t>760243 UULBN 4055</t>
        </is>
      </c>
      <c r="F915" s="2" t="inlineStr">
        <is>
          <t>ブルー＆ダークブルー</t>
        </is>
      </c>
      <c r="G915" s="11" t="inlineStr">
        <is>
          <t>SOLD</t>
        </is>
      </c>
      <c r="H915" s="22" t="inlineStr">
        <is>
          <t>SOLD</t>
        </is>
      </c>
      <c r="I915" s="18" t="n">
        <v>147400</v>
      </c>
      <c r="J915" s="23" t="inlineStr">
        <is>
          <t>NOTFOUND</t>
        </is>
      </c>
      <c r="K915" s="20" t="n">
        <v>0</v>
      </c>
      <c r="L915" s="4" t="inlineStr">
        <is>
          <t>https://www.gucci.com/jp/ja/pr/men/small-leather-goods-for-men/small-bags-pouches/pouches-for-men/ophidia-pouch-p-760243UULBN4055</t>
        </is>
      </c>
      <c r="M915" s="5">
        <f t="array" ref="M915">_xlfn.IFS(J915="NOTFOUND",I915,J915&gt;=I915,J915)</f>
        <v/>
      </c>
    </row>
    <row r="916" ht="18" customHeight="1" s="16">
      <c r="A916" s="5" t="n">
        <v>915</v>
      </c>
      <c r="B916" s="5" t="inlineStr">
        <is>
          <t>GU-3167</t>
        </is>
      </c>
      <c r="D916" s="2" t="inlineStr">
        <is>
          <t>オフィディア GG カードケース</t>
        </is>
      </c>
      <c r="E916" s="2" t="inlineStr">
        <is>
          <t>732018 UULBN 4055</t>
        </is>
      </c>
      <c r="F916" s="2" t="inlineStr">
        <is>
          <t>ブルー＆ダークブルー</t>
        </is>
      </c>
      <c r="G916" s="11" t="inlineStr">
        <is>
          <t>SOLD</t>
        </is>
      </c>
      <c r="H916" s="22" t="inlineStr">
        <is>
          <t>SOLD</t>
        </is>
      </c>
      <c r="I916" s="18" t="n">
        <v>58300</v>
      </c>
      <c r="J916" s="23" t="inlineStr">
        <is>
          <t>NOTFOUND</t>
        </is>
      </c>
      <c r="K916" s="20" t="n">
        <v>0</v>
      </c>
      <c r="L916" s="4" t="inlineStr">
        <is>
          <t>https://www.gucci.com/jp/ja/pr/men/small-leather-goods-for-men/card-holders-coin-cases-for-men/ophidia-card-case-p-732018UULBN4055</t>
        </is>
      </c>
      <c r="M916" s="5">
        <f t="array" ref="M916">_xlfn.IFS(J916="NOTFOUND",I916,J916&gt;=I916,J916)</f>
        <v/>
      </c>
    </row>
    <row r="917" ht="18" customHeight="1" s="16">
      <c r="A917" s="5" t="n">
        <v>916</v>
      </c>
      <c r="B917" s="5" t="inlineStr">
        <is>
          <t>GU-3168</t>
        </is>
      </c>
      <c r="D917" s="2" t="inlineStr">
        <is>
          <t>オフィディア 二つ折り ウォレット 財布</t>
        </is>
      </c>
      <c r="E917" s="2" t="inlineStr">
        <is>
          <t>732016 UULBN 4055</t>
        </is>
      </c>
      <c r="F917" s="2" t="inlineStr">
        <is>
          <t>ブルー＆ダークブルー</t>
        </is>
      </c>
      <c r="G917" s="11" t="inlineStr">
        <is>
          <t>SOLD</t>
        </is>
      </c>
      <c r="H917" s="22" t="inlineStr">
        <is>
          <t>SOLD</t>
        </is>
      </c>
      <c r="I917" s="18" t="n">
        <v>63800</v>
      </c>
      <c r="J917" s="23" t="inlineStr">
        <is>
          <t>NOTFOUND</t>
        </is>
      </c>
      <c r="K917" s="20" t="n">
        <v>0</v>
      </c>
      <c r="L917" s="4" t="inlineStr">
        <is>
          <t>https://www.gucci.com/jp/ja/pr/men/small-leather-goods-for-men/bifold-wallets-for-men/ophidia-bi-fold-wallet-p-732016UULBN4055</t>
        </is>
      </c>
      <c r="M917" s="5">
        <f t="array" ref="M917">_xlfn.IFS(J917="NOTFOUND",I917,J917&gt;=I917,J917)</f>
        <v/>
      </c>
    </row>
    <row r="918" ht="18" customHeight="1" s="16">
      <c r="A918" s="5" t="n">
        <v>917</v>
      </c>
      <c r="B918" s="5" t="inlineStr">
        <is>
          <t>GU-3169</t>
        </is>
      </c>
      <c r="D918" s="2" t="inlineStr">
        <is>
          <t>オフィディア GG ジップアラウンドウォレット 財布</t>
        </is>
      </c>
      <c r="E918" s="2" t="inlineStr">
        <is>
          <t>706844 UULBN 4055</t>
        </is>
      </c>
      <c r="F918" s="2" t="inlineStr">
        <is>
          <t>ブルー＆ダークブルー</t>
        </is>
      </c>
      <c r="G918" s="11" t="inlineStr">
        <is>
          <t>SOLD</t>
        </is>
      </c>
      <c r="H918" s="22" t="inlineStr">
        <is>
          <t>SOLD</t>
        </is>
      </c>
      <c r="I918" s="18" t="n">
        <v>105600</v>
      </c>
      <c r="J918" s="23" t="inlineStr">
        <is>
          <t>NOTFOUND</t>
        </is>
      </c>
      <c r="K918" s="20" t="n">
        <v>0</v>
      </c>
      <c r="L918" s="4" t="inlineStr">
        <is>
          <t>https://www.gucci.com/jp/ja/pr/men/small-leather-goods-for-men/zip-around-long-wallets-for-men/ophidia-zip-around-wallet-p-706844UULBN4055</t>
        </is>
      </c>
      <c r="M918" s="5">
        <f t="array" ref="M918">_xlfn.IFS(J918="NOTFOUND",I918,J918&gt;=I918,J918)</f>
        <v/>
      </c>
    </row>
    <row r="919" ht="18" customHeight="1" s="16">
      <c r="A919" s="5" t="n">
        <v>918</v>
      </c>
      <c r="B919" s="5" t="inlineStr">
        <is>
          <t>GU-3170</t>
        </is>
      </c>
      <c r="D919" s="2" t="inlineStr">
        <is>
          <t>オフィディア カードケース</t>
        </is>
      </c>
      <c r="E919" s="2" t="inlineStr">
        <is>
          <t>732018 UULBN 1244</t>
        </is>
      </c>
      <c r="F919" s="2" t="inlineStr">
        <is>
          <t>グレー＆ブラック</t>
        </is>
      </c>
      <c r="G919" s="10" t="inlineStr">
        <is>
          <t>OneSize</t>
        </is>
      </c>
      <c r="H919" s="17" t="inlineStr">
        <is>
          <t>OneSize</t>
        </is>
      </c>
      <c r="I919" s="18" t="n">
        <v>58300</v>
      </c>
      <c r="J919" s="19" t="n">
        <v>58300</v>
      </c>
      <c r="K919" s="20" t="n">
        <v>5</v>
      </c>
      <c r="L919" s="4" t="inlineStr">
        <is>
          <t>https://www.gucci.com/jp/ja/pr/men/small-leather-goods-for-men/card-holders-coin-cases-for-men/ophidia-card-case-p-732018UULBN1244</t>
        </is>
      </c>
      <c r="M919" s="5">
        <f t="array" ref="M919">_xlfn.IFS(J919="NOTFOUND",I919,J919&gt;=I919,J919)</f>
        <v/>
      </c>
    </row>
    <row r="920" ht="18" customHeight="1" s="16">
      <c r="A920" s="5" t="n">
        <v>919</v>
      </c>
      <c r="B920" s="5" t="inlineStr">
        <is>
          <t>GU-3171</t>
        </is>
      </c>
      <c r="D920" s="2" t="inlineStr">
        <is>
          <t>オフィディア 二つ折り ウォレット 財布</t>
        </is>
      </c>
      <c r="E920" s="2" t="inlineStr">
        <is>
          <t>732016 UULBN 1244</t>
        </is>
      </c>
      <c r="F920" s="2" t="inlineStr">
        <is>
          <t>グレー＆ブラック</t>
        </is>
      </c>
      <c r="G920" s="10" t="inlineStr">
        <is>
          <t>OneSize</t>
        </is>
      </c>
      <c r="H920" s="17" t="inlineStr">
        <is>
          <t>OneSize</t>
        </is>
      </c>
      <c r="I920" s="18" t="n">
        <v>63800</v>
      </c>
      <c r="J920" s="19" t="n">
        <v>63800</v>
      </c>
      <c r="K920" s="20" t="n">
        <v>5</v>
      </c>
      <c r="L920" s="4" t="inlineStr">
        <is>
          <t>https://www.gucci.com/jp/ja/pr/men/small-leather-goods-for-men/bifold-wallets-for-men/ophidia-bi-fold-wallet-p-732016UULBN1244</t>
        </is>
      </c>
      <c r="M920" s="5">
        <f t="array" ref="M920">_xlfn.IFS(J920="NOTFOUND",I920,J920&gt;=I920,J920)</f>
        <v/>
      </c>
    </row>
    <row r="921" ht="18" customHeight="1" s="16">
      <c r="A921" s="5" t="n">
        <v>920</v>
      </c>
      <c r="B921" s="5" t="inlineStr">
        <is>
          <t>GU-3172</t>
        </is>
      </c>
      <c r="D921" s="2" t="inlineStr">
        <is>
          <t>オフィディア ジップアラウンドウォレット 財布</t>
        </is>
      </c>
      <c r="E921" s="2" t="inlineStr">
        <is>
          <t>706844 UULBN 1244</t>
        </is>
      </c>
      <c r="F921" s="2" t="inlineStr">
        <is>
          <t>グレー＆ブラック</t>
        </is>
      </c>
      <c r="G921" s="10" t="inlineStr">
        <is>
          <t>OneSize</t>
        </is>
      </c>
      <c r="H921" s="17" t="inlineStr">
        <is>
          <t>OneSize</t>
        </is>
      </c>
      <c r="I921" s="18" t="n">
        <v>105600</v>
      </c>
      <c r="J921" s="19" t="n">
        <v>105600</v>
      </c>
      <c r="K921" s="20" t="n">
        <v>5</v>
      </c>
      <c r="L921" s="4" t="inlineStr">
        <is>
          <t>https://www.gucci.com/jp/ja/pr/men/small-leather-goods-for-men/zip-around-long-wallets-for-men/ophidia-zip-around-wallet-p-706844UULBN1244</t>
        </is>
      </c>
      <c r="M921" s="5">
        <f t="array" ref="M921">_xlfn.IFS(J921="NOTFOUND",I921,J921&gt;=I921,J921)</f>
        <v/>
      </c>
    </row>
    <row r="922" ht="18" customHeight="1" s="16">
      <c r="A922" s="5" t="n">
        <v>921</v>
      </c>
      <c r="B922" s="5" t="inlineStr">
        <is>
          <t>GU-3173</t>
        </is>
      </c>
      <c r="D922" s="2" t="inlineStr">
        <is>
          <t>オフィディア GG コインウォレット 財布</t>
        </is>
      </c>
      <c r="E922" s="2" t="inlineStr">
        <is>
          <t>597609 UULBN 1244</t>
        </is>
      </c>
      <c r="F922" s="2" t="inlineStr">
        <is>
          <t>グレー＆ブラック</t>
        </is>
      </c>
      <c r="G922" s="10" t="inlineStr">
        <is>
          <t>OneSize</t>
        </is>
      </c>
      <c r="H922" s="17" t="inlineStr">
        <is>
          <t>OneSize</t>
        </is>
      </c>
      <c r="I922" s="18" t="n">
        <v>75900</v>
      </c>
      <c r="J922" s="19" t="n">
        <v>79200</v>
      </c>
      <c r="K922" s="20" t="n">
        <v>5</v>
      </c>
      <c r="L922" s="4" t="inlineStr">
        <is>
          <t>https://www.gucci.com/jp/ja/pr/men/small-leather-goods-for-men/bifold-wallets-for-men/ophidia-coin-wallet-p-597609UULBN1244</t>
        </is>
      </c>
      <c r="M922" s="5">
        <f t="array" ref="M922">_xlfn.IFS(J922="NOTFOUND",I922,J922&gt;=I922,J922)</f>
        <v/>
      </c>
    </row>
    <row r="923" ht="18" customHeight="1" s="16">
      <c r="A923" s="5" t="n">
        <v>922</v>
      </c>
      <c r="B923" s="5" t="inlineStr">
        <is>
          <t>GU-3174</t>
        </is>
      </c>
      <c r="D923" s="2" t="inlineStr">
        <is>
          <t>オフィディア ロングウォレット 財布</t>
        </is>
      </c>
      <c r="E923" s="2" t="inlineStr">
        <is>
          <t>791746 UULBN 1244</t>
        </is>
      </c>
      <c r="F923" s="2" t="inlineStr">
        <is>
          <t xml:space="preserve">  -</t>
        </is>
      </c>
      <c r="G923" s="10" t="inlineStr">
        <is>
          <t>OneSize</t>
        </is>
      </c>
      <c r="H923" s="17" t="inlineStr">
        <is>
          <t>OneSize</t>
        </is>
      </c>
      <c r="I923" s="18" t="n">
        <v>96800</v>
      </c>
      <c r="J923" s="19" t="n">
        <v>96800</v>
      </c>
      <c r="K923" s="20" t="n">
        <v>5</v>
      </c>
      <c r="L923" s="4" t="inlineStr">
        <is>
          <t>https://www.gucci.com/jp/ja/pr/men/small-leather-goods-for-men/ophidia-long-wallet-p-791746UULBN1244</t>
        </is>
      </c>
      <c r="M923" s="5">
        <f t="array" ref="M923">_xlfn.IFS(J923="NOTFOUND",I923,J923&gt;=I923,J923)</f>
        <v/>
      </c>
    </row>
    <row r="924" ht="18" customHeight="1" s="16">
      <c r="A924" s="5" t="n">
        <v>923</v>
      </c>
      <c r="B924" s="5" t="inlineStr">
        <is>
          <t>GU-3175</t>
        </is>
      </c>
      <c r="D924" s="2" t="inlineStr">
        <is>
          <t>オフィディア ミニ バッグ</t>
        </is>
      </c>
      <c r="E924" s="2" t="inlineStr">
        <is>
          <t>771174 2ZGMN 1244</t>
        </is>
      </c>
      <c r="F924" s="2" t="inlineStr">
        <is>
          <t xml:space="preserve">  -</t>
        </is>
      </c>
      <c r="G924" s="10" t="inlineStr">
        <is>
          <t>OneSize</t>
        </is>
      </c>
      <c r="H924" s="17" t="inlineStr">
        <is>
          <t>OneSize</t>
        </is>
      </c>
      <c r="I924" s="18" t="n">
        <v>209000</v>
      </c>
      <c r="J924" s="19" t="n">
        <v>209000</v>
      </c>
      <c r="K924" s="20" t="n">
        <v>5</v>
      </c>
      <c r="L924" s="4" t="inlineStr">
        <is>
          <t>https://www.gucci.com/jp/ja/pr/men/small-leather-goods-for-men/small-bags-pouches/small-bags/ophidia-mini-bag-p-7711742ZGMN1244</t>
        </is>
      </c>
      <c r="M924" s="5">
        <f t="array" ref="M924">_xlfn.IFS(J924="NOTFOUND",I924,J924&gt;=I924,J924)</f>
        <v/>
      </c>
    </row>
    <row r="925" ht="18" customHeight="1" s="16">
      <c r="A925" s="5" t="n">
        <v>924</v>
      </c>
      <c r="B925" s="5" t="inlineStr">
        <is>
          <t>GU-3176</t>
        </is>
      </c>
      <c r="D925" s="2" t="inlineStr">
        <is>
          <t>GG ミニ クロスボディバッグ</t>
        </is>
      </c>
      <c r="E925" s="2" t="inlineStr">
        <is>
          <t>802100 FADUS 9857</t>
        </is>
      </c>
      <c r="F925" s="2" t="inlineStr">
        <is>
          <t>ベージュ＆エボニー</t>
        </is>
      </c>
      <c r="G925" s="11" t="inlineStr">
        <is>
          <t>SOLD</t>
        </is>
      </c>
      <c r="H925" s="22" t="inlineStr">
        <is>
          <t>SOLD</t>
        </is>
      </c>
      <c r="I925" s="18" t="n">
        <v>264000</v>
      </c>
      <c r="J925" s="23" t="inlineStr">
        <is>
          <t>NOTFOUND</t>
        </is>
      </c>
      <c r="K925" s="20" t="n">
        <v>0</v>
      </c>
      <c r="L925" s="4" t="inlineStr">
        <is>
          <t>https://www.gucci.com/jp/ja/pr/men/bags-for-men/small-bags-pouches-for-men/small-bags/mini-gg-crossbody-bag-p-802100FADUS9857</t>
        </is>
      </c>
      <c r="M925" s="5">
        <f t="array" ref="M925">_xlfn.IFS(J925="NOTFOUND",I925,J925&gt;=I925,J925)</f>
        <v/>
      </c>
    </row>
    <row r="926" ht="18" customHeight="1" s="16">
      <c r="A926" s="5" t="n">
        <v>925</v>
      </c>
      <c r="B926" s="5" t="inlineStr">
        <is>
          <t>GU-3177</t>
        </is>
      </c>
      <c r="D926" s="2" t="inlineStr">
        <is>
          <t>GG ミニ クロスボディバッグ</t>
        </is>
      </c>
      <c r="E926" s="2" t="inlineStr">
        <is>
          <t>802100 FADUT 6246</t>
        </is>
      </c>
      <c r="F926" s="2" t="inlineStr">
        <is>
          <t>グッチ ロッソ アンコーラ（深い赤）</t>
        </is>
      </c>
      <c r="G926" s="11" t="inlineStr">
        <is>
          <t>SOLD</t>
        </is>
      </c>
      <c r="H926" s="22" t="inlineStr">
        <is>
          <t>SOLD</t>
        </is>
      </c>
      <c r="I926" s="18" t="n">
        <v>264000</v>
      </c>
      <c r="J926" s="23" t="inlineStr">
        <is>
          <t>NOTFOUND</t>
        </is>
      </c>
      <c r="K926" s="20" t="n">
        <v>0</v>
      </c>
      <c r="L926" s="4" t="inlineStr">
        <is>
          <t>https://www.gucci.com/jp/ja/pr/women/small-leather-goods-for-women/strap-chain-wallets/mini-gg-crossbody-bag-p-802100FADUT6246</t>
        </is>
      </c>
      <c r="M926" s="5">
        <f t="array" ref="M926">_xlfn.IFS(J926="NOTFOUND",I926,J926&gt;=I926,J926)</f>
        <v/>
      </c>
    </row>
    <row r="927" ht="18" customHeight="1" s="16">
      <c r="A927" s="5" t="n">
        <v>926</v>
      </c>
      <c r="B927" s="5" t="inlineStr">
        <is>
          <t>GU-3178</t>
        </is>
      </c>
      <c r="D927" s="2" t="inlineStr">
        <is>
          <t>ダブルG カードケース</t>
        </is>
      </c>
      <c r="E927" s="2" t="inlineStr">
        <is>
          <t>722734 1T56F 1000</t>
        </is>
      </c>
      <c r="F927" s="2" t="inlineStr">
        <is>
          <t xml:space="preserve">  -</t>
        </is>
      </c>
      <c r="G927" s="10" t="inlineStr">
        <is>
          <t>OneSize</t>
        </is>
      </c>
      <c r="H927" s="17" t="inlineStr">
        <is>
          <t>OneSize</t>
        </is>
      </c>
      <c r="I927" s="18" t="n">
        <v>60500</v>
      </c>
      <c r="J927" s="19" t="n">
        <v>60500</v>
      </c>
      <c r="K927" s="20" t="n">
        <v>5</v>
      </c>
      <c r="L927" s="4" t="inlineStr">
        <is>
          <t>https://www.gucci.com/jp/ja/pr/men/small-leather-goods-for-men/card-holders-coin-cases-for-men/gg-marmont-card-case-p-7227341T56F1000</t>
        </is>
      </c>
      <c r="M927" s="5">
        <f t="array" ref="M927">_xlfn.IFS(J927="NOTFOUND",I927,J927&gt;=I927,J927)</f>
        <v/>
      </c>
    </row>
    <row r="928" ht="18" customHeight="1" s="16">
      <c r="A928" s="5" t="n">
        <v>927</v>
      </c>
      <c r="B928" s="5" t="inlineStr">
        <is>
          <t>GU-3179</t>
        </is>
      </c>
      <c r="D928" s="2" t="inlineStr">
        <is>
          <t>ダブルG ジップアラウンドウォレット 財布</t>
        </is>
      </c>
      <c r="E928" s="2" t="inlineStr">
        <is>
          <t>800180 AADD7 1000</t>
        </is>
      </c>
      <c r="F928" s="2" t="inlineStr">
        <is>
          <t xml:space="preserve">  -</t>
        </is>
      </c>
      <c r="G928" s="11" t="inlineStr">
        <is>
          <t>SOLD</t>
        </is>
      </c>
      <c r="H928" s="22" t="inlineStr">
        <is>
          <t>SOLD</t>
        </is>
      </c>
      <c r="I928" s="18" t="n">
        <v>106700</v>
      </c>
      <c r="J928" s="23" t="inlineStr">
        <is>
          <t>NOTFOUND</t>
        </is>
      </c>
      <c r="K928" s="20" t="n">
        <v>0</v>
      </c>
      <c r="L928" s="4" t="inlineStr">
        <is>
          <t>https://www.gucci.com/jp/ja/pr/men/small-leather-goods-for-men/zip-around-long-wallets-for-men/zip-around-wallet-with-double-g-p-800180AADD71000</t>
        </is>
      </c>
      <c r="M928" s="5">
        <f t="array" ref="M928">_xlfn.IFS(J928="NOTFOUND",I928,J928&gt;=I928,J928)</f>
        <v/>
      </c>
    </row>
    <row r="929" ht="18" customHeight="1" s="16">
      <c r="A929" s="5" t="n">
        <v>928</v>
      </c>
      <c r="B929" s="5" t="inlineStr">
        <is>
          <t>GU-3180</t>
        </is>
      </c>
      <c r="D929" s="2" t="inlineStr">
        <is>
          <t>ダブルG付き カードケース（名刺入れ）</t>
        </is>
      </c>
      <c r="E929" s="2" t="inlineStr">
        <is>
          <t>795335 AADD7 1126</t>
        </is>
      </c>
      <c r="F929" s="2" t="inlineStr">
        <is>
          <t xml:space="preserve">  -</t>
        </is>
      </c>
      <c r="G929" s="11" t="inlineStr">
        <is>
          <t>SOLD</t>
        </is>
      </c>
      <c r="H929" s="22" t="inlineStr">
        <is>
          <t>SOLD</t>
        </is>
      </c>
      <c r="I929" s="18" t="n">
        <v>47300</v>
      </c>
      <c r="J929" s="23" t="inlineStr">
        <is>
          <t>NOTFOUND</t>
        </is>
      </c>
      <c r="K929" s="20" t="n">
        <v>0</v>
      </c>
      <c r="L929" s="4" t="inlineStr">
        <is>
          <t>https://www.gucci.com/jp/ja/pr/men/small-leather-goods-for-men/card-holders-coin-cases-for-men/card-case-with-double-g-p-795335AADD71126</t>
        </is>
      </c>
      <c r="M929" s="5">
        <f t="array" ref="M929">_xlfn.IFS(J929="NOTFOUND",I929,J929&gt;=I929,J929)</f>
        <v/>
      </c>
    </row>
    <row r="930" ht="18" customHeight="1" s="16">
      <c r="A930" s="5" t="n">
        <v>929</v>
      </c>
      <c r="B930" s="5" t="inlineStr">
        <is>
          <t>GU-3181</t>
        </is>
      </c>
      <c r="D930" s="2" t="inlineStr">
        <is>
          <t>ダブルG コイン ウォレット 財布</t>
        </is>
      </c>
      <c r="E930" s="2" t="inlineStr">
        <is>
          <t>795316 AADD7 1126</t>
        </is>
      </c>
      <c r="F930" s="2" t="inlineStr">
        <is>
          <t xml:space="preserve">  -</t>
        </is>
      </c>
      <c r="G930" s="11" t="inlineStr">
        <is>
          <t>SOLD</t>
        </is>
      </c>
      <c r="H930" s="22" t="inlineStr">
        <is>
          <t>SOLD</t>
        </is>
      </c>
      <c r="I930" s="18" t="n">
        <v>74800</v>
      </c>
      <c r="J930" s="23" t="inlineStr">
        <is>
          <t>NOTFOUND</t>
        </is>
      </c>
      <c r="K930" s="20" t="n">
        <v>0</v>
      </c>
      <c r="L930" s="4" t="inlineStr">
        <is>
          <t>https://www.gucci.com/jp/ja/pr/men/small-leather-goods-for-men/bifold-wallets-for-men/coin-wallet-with-double-g-p-795316AADD71126</t>
        </is>
      </c>
      <c r="M930" s="5">
        <f t="array" ref="M930">_xlfn.IFS(J930="NOTFOUND",I930,J930&gt;=I930,J930)</f>
        <v/>
      </c>
    </row>
    <row r="931" ht="18" customHeight="1" s="16">
      <c r="A931" s="5" t="n">
        <v>930</v>
      </c>
      <c r="B931" s="5" t="inlineStr">
        <is>
          <t>GU-3182</t>
        </is>
      </c>
      <c r="D931" s="2" t="inlineStr">
        <is>
          <t>グッチ ホースビット 1955 ミニバッグ</t>
        </is>
      </c>
      <c r="E931" s="2" t="inlineStr">
        <is>
          <t>699296 92TCG 8563</t>
        </is>
      </c>
      <c r="F931" s="2" t="inlineStr">
        <is>
          <t xml:space="preserve">ベージュ＆エボニー </t>
        </is>
      </c>
      <c r="G931" s="10" t="inlineStr">
        <is>
          <t>OneSize</t>
        </is>
      </c>
      <c r="H931" s="17" t="inlineStr">
        <is>
          <t>OneSize</t>
        </is>
      </c>
      <c r="I931" s="18" t="n">
        <v>192500</v>
      </c>
      <c r="J931" s="19" t="n">
        <v>192500</v>
      </c>
      <c r="K931" s="20" t="n">
        <v>5</v>
      </c>
      <c r="L931" s="4" t="inlineStr">
        <is>
          <t>https://www.gucci.com/jp/ja/pr/women/handbags/mini-bags-for-women/gucci-horsebit-1955-mini-bag-p-69929692TCG8563</t>
        </is>
      </c>
      <c r="M931" s="5">
        <f t="array" ref="M931">_xlfn.IFS(J931="NOTFOUND",I931,J931&gt;=I931,J931)</f>
        <v/>
      </c>
    </row>
    <row r="932" ht="18" customHeight="1" s="16">
      <c r="A932" s="5" t="n">
        <v>931</v>
      </c>
      <c r="B932" s="5" t="inlineStr">
        <is>
          <t>GU-3183</t>
        </is>
      </c>
      <c r="D932" s="2" t="inlineStr">
        <is>
          <t>グッチ ホースビット 1955 ミニバッグ</t>
        </is>
      </c>
      <c r="E932" s="2" t="inlineStr">
        <is>
          <t>699296 UULBG 9683</t>
        </is>
      </c>
      <c r="F932" s="2" t="inlineStr">
        <is>
          <t xml:space="preserve">ベージュ＆ホワイト </t>
        </is>
      </c>
      <c r="G932" s="10" t="inlineStr">
        <is>
          <t>OneSize</t>
        </is>
      </c>
      <c r="H932" s="17" t="inlineStr">
        <is>
          <t>OneSize</t>
        </is>
      </c>
      <c r="I932" s="18" t="n">
        <v>192500</v>
      </c>
      <c r="J932" s="19" t="n">
        <v>192500</v>
      </c>
      <c r="K932" s="20" t="n">
        <v>5</v>
      </c>
      <c r="L932" s="4" t="inlineStr">
        <is>
          <t>https://www.gucci.com/jp/ja/pr/women/handbags/mini-bags-for-women/gucci-horsebit-1955-mini-bag-p-699296UULBG9683</t>
        </is>
      </c>
      <c r="M932" s="5">
        <f t="array" ref="M932">_xlfn.IFS(J932="NOTFOUND",I932,J932&gt;=I932,J932)</f>
        <v/>
      </c>
    </row>
    <row r="933" ht="18" customHeight="1" s="16">
      <c r="A933" s="5" t="n">
        <v>932</v>
      </c>
      <c r="B933" s="5" t="inlineStr">
        <is>
          <t>GU-3184</t>
        </is>
      </c>
      <c r="D933" s="2" t="inlineStr">
        <is>
          <t>グッチ ホースビット 1955 ミニバッグ</t>
        </is>
      </c>
      <c r="E933" s="2" t="inlineStr">
        <is>
          <t>625615 92TCG 8563</t>
        </is>
      </c>
      <c r="F933" s="2" t="inlineStr">
        <is>
          <t xml:space="preserve">  -</t>
        </is>
      </c>
      <c r="G933" s="10" t="inlineStr">
        <is>
          <t>OneSize</t>
        </is>
      </c>
      <c r="H933" s="17" t="inlineStr">
        <is>
          <t>OneSize</t>
        </is>
      </c>
      <c r="I933" s="18" t="n">
        <v>171600</v>
      </c>
      <c r="J933" s="19" t="n">
        <v>171600</v>
      </c>
      <c r="K933" s="20" t="n">
        <v>5</v>
      </c>
      <c r="L933" s="4" t="inlineStr">
        <is>
          <t>https://www.gucci.com/jp/ja/pr/women/handbags/mini-bags-for-women/gucci-horsebit-1955-mini-bag-p-62561592TCG8563</t>
        </is>
      </c>
      <c r="M933" s="5">
        <f t="array" ref="M933">_xlfn.IFS(J933="NOTFOUND",I933,J933&gt;=I933,J933)</f>
        <v/>
      </c>
    </row>
    <row r="934" ht="18" customHeight="1" s="16">
      <c r="A934" s="5" t="n">
        <v>933</v>
      </c>
      <c r="B934" s="5" t="inlineStr">
        <is>
          <t>GU-3185</t>
        </is>
      </c>
      <c r="D934" s="2" t="inlineStr">
        <is>
          <t>アニマリエ レザー カードケース</t>
        </is>
      </c>
      <c r="E934" s="2" t="inlineStr">
        <is>
          <t>523685 DJ20T 1000</t>
        </is>
      </c>
      <c r="F934" s="2" t="inlineStr">
        <is>
          <t xml:space="preserve">  -</t>
        </is>
      </c>
      <c r="G934" s="10" t="inlineStr">
        <is>
          <t>OneSize</t>
        </is>
      </c>
      <c r="H934" s="17" t="inlineStr">
        <is>
          <t>OneSize</t>
        </is>
      </c>
      <c r="I934" s="18" t="n">
        <v>44000</v>
      </c>
      <c r="J934" s="19" t="n">
        <v>44000</v>
      </c>
      <c r="K934" s="20" t="n">
        <v>5</v>
      </c>
      <c r="L934" s="4" t="inlineStr">
        <is>
          <t>https://www.gucci.com/jp/ja/pr/men/small-leather-goods-for-men/card-holders-coin-cases-for-men/animalier-leather-card-case-p-523685DJ20T1000</t>
        </is>
      </c>
      <c r="M934" s="5">
        <f t="array" ref="M934">_xlfn.IFS(J934="NOTFOUND",I934,J934&gt;=I934,J934)</f>
        <v/>
      </c>
    </row>
    <row r="935" ht="18" customHeight="1" s="16">
      <c r="A935" s="5" t="n">
        <v>934</v>
      </c>
      <c r="B935" s="5" t="inlineStr">
        <is>
          <t>GU-3186</t>
        </is>
      </c>
      <c r="D935" s="2" t="inlineStr">
        <is>
          <t>キングスネーク プリント 二つ折りウォレット 財布</t>
        </is>
      </c>
      <c r="E935" s="2" t="inlineStr">
        <is>
          <t>451268 K551N 1058</t>
        </is>
      </c>
      <c r="F935" s="2" t="inlineStr">
        <is>
          <t xml:space="preserve">  -</t>
        </is>
      </c>
      <c r="G935" s="10" t="inlineStr">
        <is>
          <t>OneSize</t>
        </is>
      </c>
      <c r="H935" s="17" t="inlineStr">
        <is>
          <t>OneSize</t>
        </is>
      </c>
      <c r="I935" s="18" t="n">
        <v>67100</v>
      </c>
      <c r="J935" s="19" t="n">
        <v>67100</v>
      </c>
      <c r="K935" s="20" t="n">
        <v>5</v>
      </c>
      <c r="L935" s="4" t="inlineStr">
        <is>
          <t>https://www.gucci.com/jp/ja/pr/men/small-leather-goods-for-men/bifold-wallets-for-men/kingsnake-print-bi-fold-wallet-p-451268K551N1058</t>
        </is>
      </c>
      <c r="M935" s="5">
        <f t="array" ref="M935">_xlfn.IFS(J935="NOTFOUND",I935,J935&gt;=I935,J935)</f>
        <v/>
      </c>
    </row>
    <row r="936" ht="18" customHeight="1" s="16">
      <c r="A936" s="5" t="n">
        <v>935</v>
      </c>
      <c r="B936" s="5" t="inlineStr">
        <is>
          <t>GU-3187</t>
        </is>
      </c>
      <c r="D936" s="2" t="inlineStr">
        <is>
          <t>ジャンボGG ポーチ</t>
        </is>
      </c>
      <c r="E936" s="2" t="inlineStr">
        <is>
          <t>821102 AABY0 1000</t>
        </is>
      </c>
      <c r="F936" s="2" t="inlineStr">
        <is>
          <t xml:space="preserve">  -</t>
        </is>
      </c>
      <c r="G936" s="11" t="inlineStr">
        <is>
          <t>SOLD</t>
        </is>
      </c>
      <c r="H936" s="22" t="inlineStr">
        <is>
          <t>SOLD</t>
        </is>
      </c>
      <c r="I936" s="18" t="n">
        <v>121000</v>
      </c>
      <c r="J936" s="23" t="inlineStr">
        <is>
          <t>NOTFOUND</t>
        </is>
      </c>
      <c r="K936" s="20" t="n">
        <v>0</v>
      </c>
      <c r="L936" s="4" t="inlineStr">
        <is>
          <t>https://www.gucci.com/jp/ja/pr/men/small-leather-goods-for-men/small-bags-pouches/pouches-for-men/jumbo-gg-pouch-p-821102AABY01000</t>
        </is>
      </c>
      <c r="M936" s="5">
        <f t="array" ref="M936">_xlfn.IFS(J936="NOTFOUND",I936,J936&gt;=I936,J936)</f>
        <v/>
      </c>
    </row>
    <row r="937" ht="18" customHeight="1" s="16">
      <c r="A937" s="5" t="n">
        <v>936</v>
      </c>
      <c r="B937" s="5" t="inlineStr">
        <is>
          <t>GU-3188</t>
        </is>
      </c>
      <c r="D937" s="2" t="inlineStr">
        <is>
          <t>ジャンボ GG トラベルドキュメントケース</t>
        </is>
      </c>
      <c r="E937" s="2" t="inlineStr">
        <is>
          <t>751760 AABY0 1000</t>
        </is>
      </c>
      <c r="F937" s="2" t="inlineStr">
        <is>
          <t xml:space="preserve">  -</t>
        </is>
      </c>
      <c r="G937" s="10" t="inlineStr">
        <is>
          <t>OneSize</t>
        </is>
      </c>
      <c r="H937" s="17" t="inlineStr">
        <is>
          <t>OneSize</t>
        </is>
      </c>
      <c r="I937" s="18" t="n">
        <v>264000</v>
      </c>
      <c r="J937" s="19" t="n">
        <v>264000</v>
      </c>
      <c r="K937" s="20" t="n">
        <v>5</v>
      </c>
      <c r="L937" s="4" t="inlineStr">
        <is>
          <t>https://www.gucci.com/jp/ja/pr/men/small-leather-goods-for-men/zip-around-long-wallets-for-men/jumbo-gg-travel-document-case-p-751760AABY01000</t>
        </is>
      </c>
      <c r="M937" s="5">
        <f t="array" ref="M937">_xlfn.IFS(J937="NOTFOUND",I937,J937&gt;=I937,J937)</f>
        <v/>
      </c>
    </row>
    <row r="938" ht="18" customHeight="1" s="16">
      <c r="A938" s="5" t="n">
        <v>937</v>
      </c>
      <c r="B938" s="5" t="inlineStr">
        <is>
          <t>GU-3189</t>
        </is>
      </c>
      <c r="D938" s="2" t="inlineStr">
        <is>
          <t>ジャンボGG ポーチ</t>
        </is>
      </c>
      <c r="E938" s="2" t="inlineStr">
        <is>
          <t>739490 AABY0 1000</t>
        </is>
      </c>
      <c r="F938" s="2" t="inlineStr">
        <is>
          <t xml:space="preserve">  -</t>
        </is>
      </c>
      <c r="G938" s="10" t="inlineStr">
        <is>
          <t>OneSize</t>
        </is>
      </c>
      <c r="H938" s="17" t="inlineStr">
        <is>
          <t>OneSize</t>
        </is>
      </c>
      <c r="I938" s="18" t="n">
        <v>143000</v>
      </c>
      <c r="J938" s="19" t="n">
        <v>143000</v>
      </c>
      <c r="K938" s="20" t="n">
        <v>5</v>
      </c>
      <c r="L938" s="4" t="inlineStr">
        <is>
          <t>https://www.gucci.com/jp/ja/pr/men/small-leather-goods-for-men/small-bags-pouches/pouches-for-men/jumbo-gg-pouch-p-739490AABY01000</t>
        </is>
      </c>
      <c r="M938" s="5">
        <f t="array" ref="M938">_xlfn.IFS(J938="NOTFOUND",I938,J938&gt;=I938,J938)</f>
        <v/>
      </c>
    </row>
    <row r="939" ht="18" customHeight="1" s="16">
      <c r="A939" s="5" t="n">
        <v>938</v>
      </c>
      <c r="B939" s="5" t="inlineStr">
        <is>
          <t>GU-3190</t>
        </is>
      </c>
      <c r="D939" s="2" t="inlineStr">
        <is>
          <t>マキシGG コインウォレット 財布</t>
        </is>
      </c>
      <c r="E939" s="2" t="inlineStr">
        <is>
          <t>739479 AAECE 1046</t>
        </is>
      </c>
      <c r="F939" s="2" t="inlineStr">
        <is>
          <t>ダークグレー＆ブラック</t>
        </is>
      </c>
      <c r="G939" s="10" t="inlineStr">
        <is>
          <t>OneSize</t>
        </is>
      </c>
      <c r="H939" s="17" t="inlineStr">
        <is>
          <t>OneSize</t>
        </is>
      </c>
      <c r="I939" s="18" t="n">
        <v>89100</v>
      </c>
      <c r="J939" s="19" t="n">
        <v>89100</v>
      </c>
      <c r="K939" s="20" t="n">
        <v>5</v>
      </c>
      <c r="L939" s="4" t="inlineStr">
        <is>
          <t>https://www.gucci.com/jp/ja/pr/men/small-leather-goods-for-men/bifold-wallets-for-men/maxi-gg-coin-wallet-p-739479AAECE1046</t>
        </is>
      </c>
      <c r="M939" s="5">
        <f t="array" ref="M939">_xlfn.IFS(J939="NOTFOUND",I939,J939&gt;=I939,J939)</f>
        <v/>
      </c>
    </row>
    <row r="940" ht="18" customHeight="1" s="16">
      <c r="A940" s="5" t="n">
        <v>939</v>
      </c>
      <c r="B940" s="5" t="inlineStr">
        <is>
          <t>GU-3191</t>
        </is>
      </c>
      <c r="D940" s="2" t="inlineStr">
        <is>
          <t>ジャンボGG カードケース</t>
        </is>
      </c>
      <c r="E940" s="2" t="inlineStr">
        <is>
          <t>739478 AABY0 1000</t>
        </is>
      </c>
      <c r="F940" s="2" t="inlineStr">
        <is>
          <t xml:space="preserve">  -</t>
        </is>
      </c>
      <c r="G940" s="10" t="inlineStr">
        <is>
          <t>OneSize</t>
        </is>
      </c>
      <c r="H940" s="17" t="inlineStr">
        <is>
          <t>OneSize</t>
        </is>
      </c>
      <c r="I940" s="18" t="n">
        <v>70400</v>
      </c>
      <c r="J940" s="19" t="n">
        <v>70400</v>
      </c>
      <c r="K940" s="20" t="n">
        <v>5</v>
      </c>
      <c r="L940" s="4" t="inlineStr">
        <is>
          <t>https://www.gucci.com/jp/ja/pr/men/small-leather-goods-for-men/card-holders-coin-cases-for-men/jumbo-gg-card-case-p-739478AABY01000</t>
        </is>
      </c>
      <c r="M940" s="5">
        <f t="array" ref="M940">_xlfn.IFS(J940="NOTFOUND",I940,J940&gt;=I940,J940)</f>
        <v/>
      </c>
    </row>
    <row r="941" ht="18" customHeight="1" s="16">
      <c r="A941" s="5" t="n">
        <v>940</v>
      </c>
      <c r="B941" s="5" t="inlineStr">
        <is>
          <t>GU-3192</t>
        </is>
      </c>
      <c r="D941" s="2" t="inlineStr">
        <is>
          <t>GG ラバーエフェクト スーパーミニバッグ</t>
        </is>
      </c>
      <c r="E941" s="2" t="inlineStr">
        <is>
          <t>794062 AAC0G 1000</t>
        </is>
      </c>
      <c r="F941" s="2" t="inlineStr">
        <is>
          <t xml:space="preserve">  -</t>
        </is>
      </c>
      <c r="G941" s="11" t="inlineStr">
        <is>
          <t>SOLD</t>
        </is>
      </c>
      <c r="H941" s="22" t="inlineStr">
        <is>
          <t>SOLD</t>
        </is>
      </c>
      <c r="I941" s="18" t="n">
        <v>214500</v>
      </c>
      <c r="J941" s="23" t="inlineStr">
        <is>
          <t>NOTFOUND</t>
        </is>
      </c>
      <c r="K941" s="20" t="n">
        <v>0</v>
      </c>
      <c r="L941" s="4" t="inlineStr">
        <is>
          <t>https://www.gucci.com/jp/ja/pr/men/small-leather-goods-for-men/small-bags-pouches/small-bags/gg-rubber-effect-super-mini-bag-p-794062AAC0G1000</t>
        </is>
      </c>
      <c r="M941" s="5">
        <f t="array" ref="M941">_xlfn.IFS(J941="NOTFOUND",I941,J941&gt;=I941,J941)</f>
        <v/>
      </c>
    </row>
    <row r="942" ht="18" customHeight="1" s="16">
      <c r="A942" s="5" t="n">
        <v>941</v>
      </c>
      <c r="B942" s="5" t="inlineStr">
        <is>
          <t>GU-3193</t>
        </is>
      </c>
      <c r="D942" s="2" t="inlineStr">
        <is>
          <t>GG ラバーエフェクト ジップアラウンドウォレット 財布</t>
        </is>
      </c>
      <c r="E942" s="2" t="inlineStr">
        <is>
          <t>771421 AAC0L 1000</t>
        </is>
      </c>
      <c r="F942" s="2" t="inlineStr">
        <is>
          <t xml:space="preserve">  -</t>
        </is>
      </c>
      <c r="G942" s="11" t="inlineStr">
        <is>
          <t>SOLD</t>
        </is>
      </c>
      <c r="H942" s="22" t="inlineStr">
        <is>
          <t>SOLD</t>
        </is>
      </c>
      <c r="I942" s="18" t="n">
        <v>107800</v>
      </c>
      <c r="J942" s="23" t="inlineStr">
        <is>
          <t>NOTFOUND</t>
        </is>
      </c>
      <c r="K942" s="20" t="n">
        <v>0</v>
      </c>
      <c r="L942" s="4" t="inlineStr">
        <is>
          <t>https://www.gucci.com/jp/ja/pr/men/small-leather-goods-for-men/zip-around-long-wallets-for-men/gg-rubber-effect-zip-around-wallet-p-771421AAC0L1000</t>
        </is>
      </c>
      <c r="M942" s="5">
        <f t="array" ref="M942">_xlfn.IFS(J942="NOTFOUND",I942,J942&gt;=I942,J942)</f>
        <v/>
      </c>
    </row>
    <row r="943" ht="18" customHeight="1" s="16">
      <c r="A943" s="5" t="n">
        <v>942</v>
      </c>
      <c r="B943" s="5" t="inlineStr">
        <is>
          <t>GU-3194</t>
        </is>
      </c>
      <c r="D943" s="2" t="inlineStr">
        <is>
          <t>GG ラバーエフェクト カードケース</t>
        </is>
      </c>
      <c r="E943" s="2" t="inlineStr">
        <is>
          <t>771315 AAC0L 1000</t>
        </is>
      </c>
      <c r="F943" s="2" t="inlineStr">
        <is>
          <t xml:space="preserve">  -</t>
        </is>
      </c>
      <c r="G943" s="11" t="inlineStr">
        <is>
          <t>SOLD</t>
        </is>
      </c>
      <c r="H943" s="22" t="inlineStr">
        <is>
          <t>SOLD</t>
        </is>
      </c>
      <c r="I943" s="18" t="n">
        <v>44000</v>
      </c>
      <c r="J943" s="23" t="inlineStr">
        <is>
          <t>NOTFOUND</t>
        </is>
      </c>
      <c r="K943" s="20" t="n">
        <v>0</v>
      </c>
      <c r="L943" s="4" t="inlineStr">
        <is>
          <t>https://www.gucci.com/jp/ja/pr/men/small-leather-goods-for-men/card-holders-coin-cases-for-men/gg-rubber-effect-card-case-p-771315AAC0L1000</t>
        </is>
      </c>
      <c r="M943" s="5">
        <f t="array" ref="M943">_xlfn.IFS(J943="NOTFOUND",I943,J943&gt;=I943,J943)</f>
        <v/>
      </c>
    </row>
    <row r="944" ht="18" customHeight="1" s="16">
      <c r="A944" s="5" t="n">
        <v>943</v>
      </c>
      <c r="B944" s="5" t="inlineStr">
        <is>
          <t>GU-3195</t>
        </is>
      </c>
      <c r="D944" s="2" t="inlineStr">
        <is>
          <t>GG ラバーエフェクト ジップカードケース</t>
        </is>
      </c>
      <c r="E944" s="2" t="inlineStr">
        <is>
          <t>771314 AAC0L 1000</t>
        </is>
      </c>
      <c r="F944" s="2" t="inlineStr">
        <is>
          <t xml:space="preserve">  -</t>
        </is>
      </c>
      <c r="G944" s="11" t="inlineStr">
        <is>
          <t>SOLD</t>
        </is>
      </c>
      <c r="H944" s="22" t="inlineStr">
        <is>
          <t>SOLD</t>
        </is>
      </c>
      <c r="I944" s="18" t="n">
        <v>67100</v>
      </c>
      <c r="J944" s="23" t="inlineStr">
        <is>
          <t>NOTFOUND</t>
        </is>
      </c>
      <c r="K944" s="20" t="n">
        <v>0</v>
      </c>
      <c r="L944" s="4" t="inlineStr">
        <is>
          <t>https://www.gucci.com/jp/ja/pr/men/small-leather-goods-for-men/card-holders-coin-cases-for-men/gg-rubber-effect-zip-card-case-p-771314AAC0L1000</t>
        </is>
      </c>
      <c r="M944" s="5">
        <f t="array" ref="M944">_xlfn.IFS(J944="NOTFOUND",I944,J944&gt;=I944,J944)</f>
        <v/>
      </c>
    </row>
    <row r="945" ht="18" customHeight="1" s="16">
      <c r="A945" s="5" t="n">
        <v>944</v>
      </c>
      <c r="B945" s="5" t="inlineStr">
        <is>
          <t>GU-3196</t>
        </is>
      </c>
      <c r="D945" s="2" t="inlineStr">
        <is>
          <t>GG ラバーエフェクト コインウォレット 財布</t>
        </is>
      </c>
      <c r="E945" s="2" t="inlineStr">
        <is>
          <t>771311 AAC0L 1000</t>
        </is>
      </c>
      <c r="F945" s="2" t="inlineStr">
        <is>
          <t xml:space="preserve">  -</t>
        </is>
      </c>
      <c r="G945" s="11" t="inlineStr">
        <is>
          <t>SOLD</t>
        </is>
      </c>
      <c r="H945" s="22" t="inlineStr">
        <is>
          <t>SOLD</t>
        </is>
      </c>
      <c r="I945" s="18" t="n">
        <v>82500</v>
      </c>
      <c r="J945" s="23" t="inlineStr">
        <is>
          <t>NOTFOUND</t>
        </is>
      </c>
      <c r="K945" s="20" t="n">
        <v>0</v>
      </c>
      <c r="L945" s="4" t="inlineStr">
        <is>
          <t>https://www.gucci.com/jp/ja/pr/men/small-leather-goods-for-men/bifold-wallets-for-men/gg-rubber-effect-coin-wallet-p-771311AAC0L1000</t>
        </is>
      </c>
      <c r="M945" s="5">
        <f t="array" ref="M945">_xlfn.IFS(J945="NOTFOUND",I945,J945&gt;=I945,J945)</f>
        <v/>
      </c>
    </row>
    <row r="946" ht="18" customHeight="1" s="16">
      <c r="A946" s="5" t="n">
        <v>945</v>
      </c>
      <c r="B946" s="5" t="inlineStr">
        <is>
          <t>GU-3197</t>
        </is>
      </c>
      <c r="D946" s="2" t="inlineStr">
        <is>
          <t>GG カードケース（名刺入れ）</t>
        </is>
      </c>
      <c r="E946" s="2" t="inlineStr">
        <is>
          <t>772792 AADLO 1000</t>
        </is>
      </c>
      <c r="F946" s="2" t="inlineStr">
        <is>
          <t xml:space="preserve">  -</t>
        </is>
      </c>
      <c r="G946" s="11" t="inlineStr">
        <is>
          <t>SOLD</t>
        </is>
      </c>
      <c r="H946" s="22" t="inlineStr">
        <is>
          <t>SOLD</t>
        </is>
      </c>
      <c r="I946" s="18" t="n">
        <v>52800</v>
      </c>
      <c r="J946" s="23" t="inlineStr">
        <is>
          <t>NOTFOUND</t>
        </is>
      </c>
      <c r="K946" s="20" t="n">
        <v>0</v>
      </c>
      <c r="L946" s="4" t="inlineStr">
        <is>
          <t>https://www.gucci.com/jp/ja/pr/women/small-leather-goods-for-women/card-coin-cases-for-women/gg-card-case-p-772792AADLO1000</t>
        </is>
      </c>
      <c r="M946" s="5">
        <f t="array" ref="M946">_xlfn.IFS(J946="NOTFOUND",I946,J946&gt;=I946,J946)</f>
        <v/>
      </c>
    </row>
    <row r="947" ht="18" customHeight="1" s="16">
      <c r="A947" s="5" t="n">
        <v>946</v>
      </c>
      <c r="B947" s="5" t="inlineStr">
        <is>
          <t>GU-3198</t>
        </is>
      </c>
      <c r="D947" s="2" t="inlineStr">
        <is>
          <t>GUCCI スクリプト キーチェーン</t>
        </is>
      </c>
      <c r="E947" s="2" t="inlineStr">
        <is>
          <t>820540 J160Y 8053</t>
        </is>
      </c>
      <c r="F947" s="2" t="inlineStr">
        <is>
          <t xml:space="preserve">  -</t>
        </is>
      </c>
      <c r="G947" s="10" t="inlineStr">
        <is>
          <t>OneSize</t>
        </is>
      </c>
      <c r="H947" s="17" t="inlineStr">
        <is>
          <t>OneSize</t>
        </is>
      </c>
      <c r="I947" s="18" t="n">
        <v>68200</v>
      </c>
      <c r="J947" s="19" t="n">
        <v>68200</v>
      </c>
      <c r="K947" s="20" t="n">
        <v>5</v>
      </c>
      <c r="L947" s="4" t="inlineStr">
        <is>
          <t>https://www.gucci.com/jp/ja/pr/men/small-leather-goods-for-men/key-rings-key-cases-for-men/gucci-script-keychain-p-820540J160Y8053</t>
        </is>
      </c>
      <c r="M947" s="5">
        <f t="array" ref="M947">_xlfn.IFS(J947="NOTFOUND",I947,J947&gt;=I947,J947)</f>
        <v/>
      </c>
    </row>
    <row r="948" ht="18" customHeight="1" s="16">
      <c r="A948" s="5" t="n">
        <v>947</v>
      </c>
      <c r="B948" s="5" t="inlineStr">
        <is>
          <t>GU-3199</t>
        </is>
      </c>
      <c r="D948" s="2" t="inlineStr">
        <is>
          <t>インターロッキングG キーチェーン</t>
        </is>
      </c>
      <c r="E948" s="2" t="inlineStr">
        <is>
          <t>817380 J160N 8126</t>
        </is>
      </c>
      <c r="F948" s="2" t="inlineStr">
        <is>
          <t xml:space="preserve">  -</t>
        </is>
      </c>
      <c r="G948" s="10" t="inlineStr">
        <is>
          <t>OneSize</t>
        </is>
      </c>
      <c r="H948" s="17" t="inlineStr">
        <is>
          <t>OneSize</t>
        </is>
      </c>
      <c r="I948" s="18" t="n">
        <v>44000</v>
      </c>
      <c r="J948" s="19" t="n">
        <v>44000</v>
      </c>
      <c r="K948" s="20" t="n">
        <v>5</v>
      </c>
      <c r="L948" s="4" t="inlineStr">
        <is>
          <t>https://www.gucci.com/jp/ja/pr/men/small-leather-goods-for-men/key-rings-key-cases-for-men/interlocking-g-keychain-p-817380J160N8126</t>
        </is>
      </c>
      <c r="M948" s="5">
        <f t="array" ref="M948">_xlfn.IFS(J948="NOTFOUND",I948,J948&gt;=I948,J948)</f>
        <v/>
      </c>
    </row>
    <row r="949" ht="18" customHeight="1" s="16">
      <c r="A949" s="5" t="n">
        <v>948</v>
      </c>
      <c r="B949" s="5" t="inlineStr">
        <is>
          <t>GU-3200</t>
        </is>
      </c>
      <c r="D949" s="2" t="inlineStr">
        <is>
          <t>ダブルG キーチェーン</t>
        </is>
      </c>
      <c r="E949" s="2" t="inlineStr">
        <is>
          <t>817379 J1600 0866</t>
        </is>
      </c>
      <c r="F949" s="2" t="inlineStr">
        <is>
          <t>シルバートーン メタル</t>
        </is>
      </c>
      <c r="G949" s="10" t="inlineStr">
        <is>
          <t>OneSize</t>
        </is>
      </c>
      <c r="H949" s="17" t="inlineStr">
        <is>
          <t>OneSize</t>
        </is>
      </c>
      <c r="I949" s="18" t="n">
        <v>50600</v>
      </c>
      <c r="J949" s="19" t="n">
        <v>50600</v>
      </c>
      <c r="K949" s="20" t="n">
        <v>5</v>
      </c>
      <c r="L949" s="4" t="inlineStr">
        <is>
          <t>https://www.gucci.com/jp/ja/pr/men/small-leather-goods-for-men/key-rings-key-cases-for-men/double-g-keychain-p-817379J16000866</t>
        </is>
      </c>
      <c r="M949" s="5">
        <f t="array" ref="M949">_xlfn.IFS(J949="NOTFOUND",I949,J949&gt;=I949,J949)</f>
        <v/>
      </c>
    </row>
    <row r="950" ht="18" customHeight="1" s="16">
      <c r="A950" s="5" t="n">
        <v>949</v>
      </c>
      <c r="B950" s="5" t="inlineStr">
        <is>
          <t>GU-3201</t>
        </is>
      </c>
      <c r="D950" s="2" t="inlineStr">
        <is>
          <t>ダブルG キーチェーン</t>
        </is>
      </c>
      <c r="E950" s="2" t="inlineStr">
        <is>
          <t>817379 J160T 8233</t>
        </is>
      </c>
      <c r="F950" s="2" t="inlineStr">
        <is>
          <t>ゴールドトーン メタル</t>
        </is>
      </c>
      <c r="G950" s="10" t="inlineStr">
        <is>
          <t>OneSize</t>
        </is>
      </c>
      <c r="H950" s="17" t="inlineStr">
        <is>
          <t>OneSize</t>
        </is>
      </c>
      <c r="I950" s="18" t="n">
        <v>50600</v>
      </c>
      <c r="J950" s="19" t="n">
        <v>50600</v>
      </c>
      <c r="K950" s="20" t="n">
        <v>5</v>
      </c>
      <c r="L950" s="4" t="inlineStr">
        <is>
          <t>https://www.gucci.com/jp/ja/pr/men/small-leather-goods-for-men/key-rings-key-cases-for-men/double-g-keychain-p-817379J160T8233</t>
        </is>
      </c>
      <c r="M950" s="5">
        <f t="array" ref="M950">_xlfn.IFS(J950="NOTFOUND",I950,J950&gt;=I950,J950)</f>
        <v/>
      </c>
    </row>
    <row r="951" ht="18" customHeight="1" s="16">
      <c r="A951" s="5" t="n">
        <v>950</v>
      </c>
      <c r="B951" s="5" t="inlineStr">
        <is>
          <t>GU-3202</t>
        </is>
      </c>
      <c r="D951" s="2" t="inlineStr">
        <is>
          <t>インターロッキングG パンダ キーチェーン</t>
        </is>
      </c>
      <c r="E951" s="2" t="inlineStr">
        <is>
          <t>817302 I11DS 8947</t>
        </is>
      </c>
      <c r="F951" s="2" t="inlineStr">
        <is>
          <t xml:space="preserve">  -</t>
        </is>
      </c>
      <c r="G951" s="10" t="inlineStr">
        <is>
          <t>OneSize</t>
        </is>
      </c>
      <c r="H951" s="17" t="inlineStr">
        <is>
          <t>OneSize</t>
        </is>
      </c>
      <c r="I951" s="18" t="n">
        <v>79200</v>
      </c>
      <c r="J951" s="19" t="n">
        <v>79200</v>
      </c>
      <c r="K951" s="20" t="n">
        <v>5</v>
      </c>
      <c r="L951" s="4" t="inlineStr">
        <is>
          <t>https://www.gucci.com/jp/ja/pr/men/small-leather-goods-for-men/key-rings-key-cases-for-men/panda-keychan-with-interlocking-g-p-817302I11DS8947</t>
        </is>
      </c>
      <c r="M951" s="5">
        <f t="array" ref="M951">_xlfn.IFS(J951="NOTFOUND",I951,J951&gt;=I951,J951)</f>
        <v/>
      </c>
    </row>
    <row r="952" ht="18" customHeight="1" s="16">
      <c r="A952" s="5" t="n">
        <v>951</v>
      </c>
      <c r="B952" s="5" t="inlineStr">
        <is>
          <t>GU-3203</t>
        </is>
      </c>
      <c r="D952" s="2" t="inlineStr">
        <is>
          <t>インターロッキングG オウル（ふくろう）キーチェーン</t>
        </is>
      </c>
      <c r="E952" s="2" t="inlineStr">
        <is>
          <t>817301 I11DS 8946</t>
        </is>
      </c>
      <c r="F952" s="2" t="inlineStr">
        <is>
          <t xml:space="preserve">  -</t>
        </is>
      </c>
      <c r="G952" s="10" t="inlineStr">
        <is>
          <t>OneSize</t>
        </is>
      </c>
      <c r="H952" s="17" t="inlineStr">
        <is>
          <t>OneSize</t>
        </is>
      </c>
      <c r="I952" s="18" t="n">
        <v>79200</v>
      </c>
      <c r="J952" s="19" t="n">
        <v>79200</v>
      </c>
      <c r="K952" s="20" t="n">
        <v>5</v>
      </c>
      <c r="L952" s="4" t="inlineStr">
        <is>
          <t>https://www.gucci.com/jp/ja/pr/men/small-leather-goods-for-men/key-rings-key-cases-for-men/owl-keychain-with-interlocking-g-p-817301I11DS8946</t>
        </is>
      </c>
      <c r="M952" s="5">
        <f t="array" ref="M952">_xlfn.IFS(J952="NOTFOUND",I952,J952&gt;=I952,J952)</f>
        <v/>
      </c>
    </row>
    <row r="953" ht="18" customHeight="1" s="16">
      <c r="A953" s="5" t="n">
        <v>952</v>
      </c>
      <c r="B953" s="5" t="inlineStr">
        <is>
          <t>GU-3204</t>
        </is>
      </c>
      <c r="D953" s="2" t="inlineStr">
        <is>
          <t>インターロッキングG パロット キーチェーン</t>
        </is>
      </c>
      <c r="E953" s="2" t="inlineStr">
        <is>
          <t>817298 I11DS 8944</t>
        </is>
      </c>
      <c r="F953" s="2" t="inlineStr">
        <is>
          <t xml:space="preserve">  -</t>
        </is>
      </c>
      <c r="G953" s="10" t="inlineStr">
        <is>
          <t>OneSize</t>
        </is>
      </c>
      <c r="H953" s="17" t="inlineStr">
        <is>
          <t>OneSize</t>
        </is>
      </c>
      <c r="I953" s="18" t="n">
        <v>79200</v>
      </c>
      <c r="J953" s="19" t="n">
        <v>79200</v>
      </c>
      <c r="K953" s="20" t="n">
        <v>5</v>
      </c>
      <c r="L953" s="4" t="inlineStr">
        <is>
          <t>https://www.gucci.com/jp/ja/pr/men/small-leather-goods-for-men/key-rings-key-cases-for-men/parrot-keychain-with-interlocking-g-p-817298I11DS8944</t>
        </is>
      </c>
      <c r="M953" s="5">
        <f t="array" ref="M953">_xlfn.IFS(J953="NOTFOUND",I953,J953&gt;=I953,J953)</f>
        <v/>
      </c>
    </row>
    <row r="954" ht="18" customHeight="1" s="16">
      <c r="A954" s="5" t="n">
        <v>953</v>
      </c>
      <c r="B954" s="5" t="inlineStr">
        <is>
          <t>GU-3205</t>
        </is>
      </c>
      <c r="D954" s="2" t="inlineStr">
        <is>
          <t>フック クロージャー付き キーチェーン</t>
        </is>
      </c>
      <c r="E954" s="2" t="inlineStr">
        <is>
          <t>817297 JAAH6 8768</t>
        </is>
      </c>
      <c r="F954" s="2" t="inlineStr">
        <is>
          <t>グッチ ロッソ アンコーラ（深い赤）</t>
        </is>
      </c>
      <c r="G954" s="11" t="inlineStr">
        <is>
          <t>SOLD</t>
        </is>
      </c>
      <c r="H954" s="22" t="inlineStr">
        <is>
          <t>SOLD</t>
        </is>
      </c>
      <c r="I954" s="18" t="n">
        <v>52800</v>
      </c>
      <c r="J954" s="23" t="inlineStr">
        <is>
          <t>NOTFOUND</t>
        </is>
      </c>
      <c r="K954" s="20" t="n">
        <v>0</v>
      </c>
      <c r="L954" s="4" t="inlineStr">
        <is>
          <t>https://www.gucci.com/jp/ja/pr/men/small-leather-goods-for-men/key-rings-key-cases-for-men/keychain-with-hook-closure-p-817297JAAH68768</t>
        </is>
      </c>
      <c r="M954" s="5">
        <f t="array" ref="M954">_xlfn.IFS(J954="NOTFOUND",I954,J954&gt;=I954,J954)</f>
        <v/>
      </c>
    </row>
    <row r="955" ht="18" customHeight="1" s="16">
      <c r="A955" s="5" t="n">
        <v>954</v>
      </c>
      <c r="B955" s="5" t="inlineStr">
        <is>
          <t>GU-3206</t>
        </is>
      </c>
      <c r="D955" s="2" t="inlineStr">
        <is>
          <t>フック クロージャー付き キーチェーン</t>
        </is>
      </c>
      <c r="E955" s="2" t="inlineStr">
        <is>
          <t>817297 JAAH7 8770</t>
        </is>
      </c>
      <c r="F955" s="2" t="inlineStr">
        <is>
          <t xml:space="preserve">ブラック </t>
        </is>
      </c>
      <c r="G955" s="10" t="inlineStr">
        <is>
          <t>OneSize</t>
        </is>
      </c>
      <c r="H955" s="17" t="inlineStr">
        <is>
          <t>OneSize</t>
        </is>
      </c>
      <c r="I955" s="18" t="n">
        <v>52800</v>
      </c>
      <c r="J955" s="19" t="n">
        <v>52800</v>
      </c>
      <c r="K955" s="20" t="n">
        <v>5</v>
      </c>
      <c r="L955" s="4" t="inlineStr">
        <is>
          <t>https://www.gucci.com/jp/ja/pr/men/small-leather-goods-for-men/key-rings-key-cases-for-men/keychain-with-hook-closure-p-817297JAAH78770</t>
        </is>
      </c>
      <c r="M955" s="5">
        <f t="array" ref="M955">_xlfn.IFS(J955="NOTFOUND",I955,J955&gt;=I955,J955)</f>
        <v/>
      </c>
    </row>
    <row r="956" ht="18" customHeight="1" s="16">
      <c r="A956" s="5" t="n">
        <v>955</v>
      </c>
      <c r="B956" s="5" t="inlineStr">
        <is>
          <t>GU-3207</t>
        </is>
      </c>
      <c r="D956" s="2" t="inlineStr">
        <is>
          <t>インターロッキングG ドッグ キーチェーン</t>
        </is>
      </c>
      <c r="E956" s="2" t="inlineStr">
        <is>
          <t>817294 I11DS 8941</t>
        </is>
      </c>
      <c r="F956" s="2" t="inlineStr">
        <is>
          <t xml:space="preserve">  -</t>
        </is>
      </c>
      <c r="G956" s="10" t="inlineStr">
        <is>
          <t>OneSize</t>
        </is>
      </c>
      <c r="H956" s="17" t="inlineStr">
        <is>
          <t>OneSize</t>
        </is>
      </c>
      <c r="I956" s="18" t="n">
        <v>79200</v>
      </c>
      <c r="J956" s="19" t="n">
        <v>79200</v>
      </c>
      <c r="K956" s="20" t="n">
        <v>5</v>
      </c>
      <c r="L956" s="4" t="inlineStr">
        <is>
          <t>https://www.gucci.com/jp/ja/pr/men/small-leather-goods-for-men/key-rings-key-cases-for-men/dog-keychain-with-interlocking-g-p-817294I11DS8941</t>
        </is>
      </c>
      <c r="M956" s="5">
        <f t="array" ref="M956">_xlfn.IFS(J956="NOTFOUND",I956,J956&gt;=I956,J956)</f>
        <v/>
      </c>
    </row>
    <row r="957" ht="18" customHeight="1" s="16">
      <c r="A957" s="5" t="n">
        <v>956</v>
      </c>
      <c r="B957" s="5" t="inlineStr">
        <is>
          <t>GU-3208</t>
        </is>
      </c>
      <c r="D957" s="2" t="inlineStr">
        <is>
          <t>ウェブ ストライプ キーチェーン</t>
        </is>
      </c>
      <c r="E957" s="2" t="inlineStr">
        <is>
          <t>804040 JAAG1 8942</t>
        </is>
      </c>
      <c r="F957" s="2" t="inlineStr">
        <is>
          <t xml:space="preserve">  -</t>
        </is>
      </c>
      <c r="G957" s="10" t="inlineStr">
        <is>
          <t>OneSize</t>
        </is>
      </c>
      <c r="H957" s="17" t="inlineStr">
        <is>
          <t>OneSize</t>
        </is>
      </c>
      <c r="I957" s="18" t="n">
        <v>56100</v>
      </c>
      <c r="J957" s="19" t="n">
        <v>56100</v>
      </c>
      <c r="K957" s="20" t="n">
        <v>5</v>
      </c>
      <c r="L957" s="4" t="inlineStr">
        <is>
          <t>https://www.gucci.com/jp/ja/pr/men/small-leather-goods-for-men/key-rings-key-cases-for-men/web-keychain-p-804040JAAG18942</t>
        </is>
      </c>
      <c r="M957" s="5">
        <f t="array" ref="M957">_xlfn.IFS(J957="NOTFOUND",I957,J957&gt;=I957,J957)</f>
        <v/>
      </c>
    </row>
    <row r="958" ht="18" customHeight="1" s="16">
      <c r="A958" s="5" t="n">
        <v>957</v>
      </c>
      <c r="B958" s="5" t="inlineStr">
        <is>
          <t>GU-3209</t>
        </is>
      </c>
      <c r="D958" s="2" t="inlineStr">
        <is>
          <t>オフィディア キーチェーン</t>
        </is>
      </c>
      <c r="E958" s="2" t="inlineStr">
        <is>
          <t>523161 HE2NG 8742</t>
        </is>
      </c>
      <c r="F958" s="2" t="inlineStr">
        <is>
          <t xml:space="preserve">  -</t>
        </is>
      </c>
      <c r="G958" s="10" t="inlineStr">
        <is>
          <t>OneSize</t>
        </is>
      </c>
      <c r="H958" s="17" t="inlineStr">
        <is>
          <t>OneSize</t>
        </is>
      </c>
      <c r="I958" s="18" t="n">
        <v>33000</v>
      </c>
      <c r="J958" s="19" t="n">
        <v>33000</v>
      </c>
      <c r="K958" s="20" t="n">
        <v>5</v>
      </c>
      <c r="L958" s="4" t="inlineStr">
        <is>
          <t>https://www.gucci.com/jp/ja/pr/men/small-leather-goods-for-men/key-rings-key-cases-for-men/ophidia-keychain-p-523161HE2NG8742</t>
        </is>
      </c>
      <c r="M958" s="5">
        <f t="array" ref="M958">_xlfn.IFS(J958="NOTFOUND",I958,J958&gt;=I958,J958)</f>
        <v/>
      </c>
    </row>
    <row r="959" ht="18" customHeight="1" s="16">
      <c r="A959" s="5" t="n">
        <v>958</v>
      </c>
      <c r="B959" s="5" t="inlineStr">
        <is>
          <t>GU-3210</t>
        </is>
      </c>
      <c r="D959" s="2" t="inlineStr">
        <is>
          <t>バイカラー ジップアラウンドウォレット 財布</t>
        </is>
      </c>
      <c r="E959" s="2" t="inlineStr">
        <is>
          <t>822051 FACQC 1048</t>
        </is>
      </c>
      <c r="F959" s="2" t="inlineStr">
        <is>
          <t xml:space="preserve">グレー＆ブラック </t>
        </is>
      </c>
      <c r="G959" s="11" t="inlineStr">
        <is>
          <t>SOLD</t>
        </is>
      </c>
      <c r="H959" s="22" t="inlineStr">
        <is>
          <t>SOLD</t>
        </is>
      </c>
      <c r="I959" s="18" t="n">
        <v>112200</v>
      </c>
      <c r="J959" s="23" t="inlineStr">
        <is>
          <t>NOTFOUND</t>
        </is>
      </c>
      <c r="K959" s="20" t="n">
        <v>0</v>
      </c>
      <c r="L959" s="4" t="inlineStr">
        <is>
          <t>https://www.gucci.com/jp/ja/pr/men/small-leather-goods-for-men/zip-around-long-wallets-for-men/bi-color-zip-around-wallet-p-822051FACQC1048</t>
        </is>
      </c>
      <c r="M959" s="5">
        <f t="array" ref="M959">_xlfn.IFS(J959="NOTFOUND",I959,J959&gt;=I959,J959)</f>
        <v/>
      </c>
    </row>
    <row r="960" ht="18" customHeight="1" s="16">
      <c r="A960" s="5" t="n">
        <v>959</v>
      </c>
      <c r="B960" s="5" t="inlineStr">
        <is>
          <t>GU-3211</t>
        </is>
      </c>
      <c r="D960" s="2" t="inlineStr">
        <is>
          <t>GGエンブレム スモール ビジネスケース</t>
        </is>
      </c>
      <c r="E960" s="2" t="inlineStr">
        <is>
          <t>821156 FAD6M 1000</t>
        </is>
      </c>
      <c r="F960" s="2" t="inlineStr">
        <is>
          <t>ブラック</t>
        </is>
      </c>
      <c r="G960" s="10" t="inlineStr">
        <is>
          <t>OneSize</t>
        </is>
      </c>
      <c r="H960" s="17" t="inlineStr">
        <is>
          <t>OneSize</t>
        </is>
      </c>
      <c r="I960" s="18" t="n">
        <v>165000</v>
      </c>
      <c r="J960" s="19" t="n">
        <v>165000</v>
      </c>
      <c r="K960" s="20" t="n">
        <v>5</v>
      </c>
      <c r="L960" s="4" t="inlineStr">
        <is>
          <t>https://www.gucci.com/jp/ja/pr/men/small-leather-goods-for-men/small-bags-pouches/pouches-for-men/gg-emblem-small-business-case-p-821156FAD6M1000</t>
        </is>
      </c>
      <c r="M960" s="5">
        <f t="array" ref="M960">_xlfn.IFS(J960="NOTFOUND",I960,J960&gt;=I960,J960)</f>
        <v/>
      </c>
    </row>
    <row r="961" ht="18" customHeight="1" s="16">
      <c r="A961" s="5" t="n">
        <v>960</v>
      </c>
      <c r="B961" s="5" t="inlineStr">
        <is>
          <t>GU-3212</t>
        </is>
      </c>
      <c r="D961" s="2" t="inlineStr">
        <is>
          <t>GGエンブレム スモール ビジネスケース</t>
        </is>
      </c>
      <c r="E961" s="2" t="inlineStr">
        <is>
          <t>821156 FAED0 9786</t>
        </is>
      </c>
      <c r="F961" s="2" t="inlineStr">
        <is>
          <t>ベージュ＆ダークブラウン</t>
        </is>
      </c>
      <c r="G961" s="11" t="inlineStr">
        <is>
          <t>SOLD</t>
        </is>
      </c>
      <c r="H961" s="22" t="inlineStr">
        <is>
          <t>SOLD</t>
        </is>
      </c>
      <c r="I961" s="18" t="n">
        <v>165000</v>
      </c>
      <c r="J961" s="23" t="inlineStr">
        <is>
          <t>NOTFOUND</t>
        </is>
      </c>
      <c r="K961" s="20" t="n">
        <v>0</v>
      </c>
      <c r="L961" s="4" t="inlineStr">
        <is>
          <t>https://www.gucci.com/jp/ja/pr/men/small-leather-goods-for-men/small-bags-pouches/pouches-for-men/gg-emblem-small-business-case-p-821156FAED09786</t>
        </is>
      </c>
      <c r="M961" s="5">
        <f t="array" ref="M961">_xlfn.IFS(J961="NOTFOUND",I961,J961&gt;=I961,J961)</f>
        <v/>
      </c>
    </row>
    <row r="962" ht="18" customHeight="1" s="16">
      <c r="A962" s="5" t="n">
        <v>961</v>
      </c>
      <c r="B962" s="5" t="inlineStr">
        <is>
          <t>GU-3213</t>
        </is>
      </c>
      <c r="D962" s="2" t="inlineStr">
        <is>
          <t>バイカラー ジップ キーケース</t>
        </is>
      </c>
      <c r="E962" s="2" t="inlineStr">
        <is>
          <t>820666 FACQC 1048</t>
        </is>
      </c>
      <c r="F962" s="2" t="inlineStr">
        <is>
          <t xml:space="preserve">  -</t>
        </is>
      </c>
      <c r="G962" s="10" t="inlineStr">
        <is>
          <t>OneSize</t>
        </is>
      </c>
      <c r="H962" s="17" t="inlineStr">
        <is>
          <t>OneSize</t>
        </is>
      </c>
      <c r="I962" s="18" t="n">
        <v>46750</v>
      </c>
      <c r="J962" s="19" t="n">
        <v>46750</v>
      </c>
      <c r="K962" s="20" t="n">
        <v>5</v>
      </c>
      <c r="L962" s="4" t="inlineStr">
        <is>
          <t>https://www.gucci.com/jp/ja/pr/men/small-leather-goods-for-men/card-holders-coin-cases-for-men/bi-color-zip-key-case-p-820666FACQC1048</t>
        </is>
      </c>
      <c r="M962" s="5">
        <f t="array" ref="M962">_xlfn.IFS(J962="NOTFOUND",I962,J962&gt;=I962,J962)</f>
        <v/>
      </c>
    </row>
    <row r="963" ht="18" customHeight="1" s="16">
      <c r="A963" s="5" t="n">
        <v>962</v>
      </c>
      <c r="B963" s="5" t="inlineStr">
        <is>
          <t>GU-3214</t>
        </is>
      </c>
      <c r="D963" s="2" t="inlineStr">
        <is>
          <t>バイカラー マグネット カードケース</t>
        </is>
      </c>
      <c r="E963" s="2" t="inlineStr">
        <is>
          <t>817197 FACQC 1048</t>
        </is>
      </c>
      <c r="F963" s="2" t="inlineStr">
        <is>
          <t xml:space="preserve">グレー＆ブラック </t>
        </is>
      </c>
      <c r="G963" s="10" t="inlineStr">
        <is>
          <t>OneSize</t>
        </is>
      </c>
      <c r="H963" s="17" t="inlineStr">
        <is>
          <t>OneSize</t>
        </is>
      </c>
      <c r="I963" s="18" t="n">
        <v>57200</v>
      </c>
      <c r="J963" s="19" t="n">
        <v>57200</v>
      </c>
      <c r="K963" s="20" t="n">
        <v>5</v>
      </c>
      <c r="L963" s="4" t="inlineStr">
        <is>
          <t>https://www.gucci.com/jp/ja/pr/men/small-leather-goods-for-men/card-holders-coin-cases-for-men/bi-color-magnetic-card-case-p-817197FACQC1048</t>
        </is>
      </c>
      <c r="M963" s="5">
        <f t="array" ref="M963">_xlfn.IFS(J963="NOTFOUND",I963,J963&gt;=I963,J963)</f>
        <v/>
      </c>
    </row>
    <row r="964" ht="18" customHeight="1" s="16">
      <c r="A964" s="5" t="n">
        <v>963</v>
      </c>
      <c r="B964" s="5" t="inlineStr">
        <is>
          <t>GU-3215</t>
        </is>
      </c>
      <c r="D964" s="2" t="inlineStr">
        <is>
          <t>ウェブ ストライプ付き ミディアム ビジネスケース</t>
        </is>
      </c>
      <c r="E964" s="2" t="inlineStr">
        <is>
          <t>816755 AAEF6 1042</t>
        </is>
      </c>
      <c r="F964" s="2" t="inlineStr">
        <is>
          <t xml:space="preserve">  -</t>
        </is>
      </c>
      <c r="G964" s="11" t="inlineStr">
        <is>
          <t>SOLD</t>
        </is>
      </c>
      <c r="H964" s="22" t="inlineStr">
        <is>
          <t>SOLD</t>
        </is>
      </c>
      <c r="I964" s="18" t="n">
        <v>305800</v>
      </c>
      <c r="J964" s="23" t="inlineStr">
        <is>
          <t>NOTFOUND</t>
        </is>
      </c>
      <c r="K964" s="20" t="n">
        <v>0</v>
      </c>
      <c r="L964" s="4" t="inlineStr">
        <is>
          <t>https://www.gucci.com/jp/ja/pr/men/small-leather-goods-for-men/small-bags-pouches/pouches-for-men/medium-business-case-with-web-p-816755AAEF61042</t>
        </is>
      </c>
      <c r="M964" s="5">
        <f t="array" ref="M964">_xlfn.IFS(J964="NOTFOUND",I964,J964&gt;=I964,J964)</f>
        <v/>
      </c>
    </row>
    <row r="965" ht="18" customHeight="1" s="16">
      <c r="A965" s="5" t="n">
        <v>964</v>
      </c>
      <c r="B965" s="5" t="inlineStr">
        <is>
          <t>GU-3216</t>
        </is>
      </c>
      <c r="D965" s="2" t="inlineStr">
        <is>
          <t>GUCCI ロゴ入り キーチェーン</t>
        </is>
      </c>
      <c r="E965" s="2" t="inlineStr">
        <is>
          <t>795293 AABXM 1000</t>
        </is>
      </c>
      <c r="F965" s="2" t="inlineStr">
        <is>
          <t xml:space="preserve">  -</t>
        </is>
      </c>
      <c r="G965" s="10" t="inlineStr">
        <is>
          <t>OneSize</t>
        </is>
      </c>
      <c r="H965" s="17" t="inlineStr">
        <is>
          <t>OneSize</t>
        </is>
      </c>
      <c r="I965" s="18" t="n">
        <v>49500</v>
      </c>
      <c r="J965" s="19" t="n">
        <v>49500</v>
      </c>
      <c r="K965" s="20" t="n">
        <v>5</v>
      </c>
      <c r="L965" s="4" t="inlineStr">
        <is>
          <t>https://www.gucci.com/jp/ja/pr/men/small-leather-goods-for-men/key-rings-key-cases-for-men/keychain-with-gucci-logo-p-795293AABXM1000</t>
        </is>
      </c>
      <c r="M965" s="5">
        <f t="array" ref="M965">_xlfn.IFS(J965="NOTFOUND",I965,J965&gt;=I965,J965)</f>
        <v/>
      </c>
    </row>
    <row r="966" ht="18" customHeight="1" s="16">
      <c r="A966" s="5" t="n">
        <v>965</v>
      </c>
      <c r="B966" s="5" t="inlineStr">
        <is>
          <t>GU-3217</t>
        </is>
      </c>
      <c r="D966" s="2" t="inlineStr">
        <is>
          <t>オフィディア フック クロージャー付き キーチェーン</t>
        </is>
      </c>
      <c r="E966" s="2" t="inlineStr">
        <is>
          <t>794061 K9GST 8358</t>
        </is>
      </c>
      <c r="F966" s="2" t="inlineStr">
        <is>
          <t>ベージュ＆エボニー</t>
        </is>
      </c>
      <c r="G966" s="10" t="inlineStr">
        <is>
          <t>OneSize</t>
        </is>
      </c>
      <c r="H966" s="17" t="inlineStr">
        <is>
          <t>OneSize</t>
        </is>
      </c>
      <c r="I966" s="18" t="n">
        <v>42900</v>
      </c>
      <c r="J966" s="19" t="n">
        <v>42900</v>
      </c>
      <c r="K966" s="20" t="n">
        <v>5</v>
      </c>
      <c r="L966" s="4" t="inlineStr">
        <is>
          <t>https://www.gucci.com/jp/ja/pr/men/small-leather-goods-for-men/key-rings-key-cases-for-men/ophidia-keychain-with-hook-closure-p-794061K9GST8358</t>
        </is>
      </c>
      <c r="M966" s="5">
        <f t="array" ref="M966">_xlfn.IFS(J966="NOTFOUND",I966,J966&gt;=I966,J966)</f>
        <v/>
      </c>
    </row>
    <row r="967" ht="18" customHeight="1" s="16">
      <c r="A967" s="5" t="n">
        <v>966</v>
      </c>
      <c r="B967" s="5" t="inlineStr">
        <is>
          <t>GU-3218</t>
        </is>
      </c>
      <c r="D967" s="2" t="inlineStr">
        <is>
          <t>オフィディア フック クロージャー付き キーチェーン</t>
        </is>
      </c>
      <c r="E967" s="2" t="inlineStr">
        <is>
          <t>794061 UULBN 1244</t>
        </is>
      </c>
      <c r="F967" s="2" t="inlineStr">
        <is>
          <t>グレー＆ブラック</t>
        </is>
      </c>
      <c r="G967" s="10" t="inlineStr">
        <is>
          <t>OneSize</t>
        </is>
      </c>
      <c r="H967" s="17" t="inlineStr">
        <is>
          <t>OneSize</t>
        </is>
      </c>
      <c r="I967" s="18" t="n">
        <v>42900</v>
      </c>
      <c r="J967" s="19" t="n">
        <v>42900</v>
      </c>
      <c r="K967" s="20" t="n">
        <v>5</v>
      </c>
      <c r="L967" s="4" t="inlineStr">
        <is>
          <t>https://www.gucci.com/jp/ja/pr/men/small-leather-goods-for-men/key-rings-key-cases-for-men/ophidia-keychain-with-hook-closure-p-794061UULBN1244</t>
        </is>
      </c>
      <c r="M967" s="5">
        <f t="array" ref="M967">_xlfn.IFS(J967="NOTFOUND",I967,J967&gt;=I967,J967)</f>
        <v/>
      </c>
    </row>
    <row r="968" ht="18" customHeight="1" s="16">
      <c r="A968" s="5" t="n">
        <v>967</v>
      </c>
      <c r="B968" s="5" t="inlineStr">
        <is>
          <t>GU-3219</t>
        </is>
      </c>
      <c r="D968" s="2" t="inlineStr">
        <is>
          <t>GGマーモント レザー ジップアラウンドウォレット 財布</t>
        </is>
      </c>
      <c r="E968" s="2" t="inlineStr">
        <is>
          <t>428736 0YK0N 1000</t>
        </is>
      </c>
      <c r="F968" s="2" t="inlineStr">
        <is>
          <t xml:space="preserve">  -</t>
        </is>
      </c>
      <c r="G968" s="11" t="inlineStr">
        <is>
          <t>SOLD</t>
        </is>
      </c>
      <c r="H968" s="22" t="inlineStr">
        <is>
          <t>SOLD</t>
        </is>
      </c>
      <c r="I968" s="18" t="n">
        <v>110000</v>
      </c>
      <c r="J968" s="23" t="inlineStr">
        <is>
          <t>NOTFOUND</t>
        </is>
      </c>
      <c r="K968" s="20" t="n">
        <v>0</v>
      </c>
      <c r="L968" s="4" t="inlineStr">
        <is>
          <t>https://www.gucci.com/jp/ja/pr/men/small-leather-goods-for-men/zip-around-long-wallets-for-men/gg-marmont-leather-zip-around-wallet-p-4287360YK0N1000</t>
        </is>
      </c>
      <c r="M968" s="5">
        <f t="array" ref="M968">_xlfn.IFS(J968="NOTFOUND",I968,J968&gt;=I968,J968)</f>
        <v/>
      </c>
    </row>
    <row r="969" ht="18" customHeight="1" s="16">
      <c r="A969" s="5" t="n">
        <v>968</v>
      </c>
      <c r="B969" s="1" t="inlineStr">
        <is>
          <t>GU-3220</t>
        </is>
      </c>
      <c r="C969" s="2" t="n"/>
      <c r="D969" s="2" t="inlineStr">
        <is>
          <t>インターロッキング 18K チェーン ネックレス</t>
        </is>
      </c>
      <c r="E969" s="2" t="inlineStr">
        <is>
          <t>789340 J85L0 8093</t>
        </is>
      </c>
      <c r="F969" s="2" t="inlineStr">
        <is>
          <t xml:space="preserve">  -</t>
        </is>
      </c>
      <c r="G969" s="10" t="inlineStr">
        <is>
          <t>OneSize</t>
        </is>
      </c>
      <c r="H969" s="17" t="inlineStr">
        <is>
          <t>OneSize</t>
        </is>
      </c>
      <c r="I969" s="18" t="n">
        <v>379500</v>
      </c>
      <c r="J969" s="19" t="n">
        <v>390500</v>
      </c>
      <c r="K969" s="20" t="n">
        <v>5</v>
      </c>
      <c r="L969" s="4" t="inlineStr">
        <is>
          <t>https://www.gucci.com/jp/ja/pr/jewellery-watches/gold-jewellery/gold-necklaces/gucci-interlocking-18k-chain-necklace-p-789340J85L08093</t>
        </is>
      </c>
      <c r="M969" s="5">
        <f t="array" ref="M969">_xlfn.IFS(J969="NOTFOUND",I969,J969&gt;=I969,J969)</f>
        <v/>
      </c>
    </row>
    <row r="970" ht="18" customHeight="1" s="16">
      <c r="A970" s="5" t="n">
        <v>969</v>
      </c>
      <c r="B970" s="2" t="inlineStr">
        <is>
          <t>GU-3221</t>
        </is>
      </c>
      <c r="C970" s="2" t="n"/>
      <c r="D970" s="2" t="inlineStr">
        <is>
          <t>インターロッキング 18K スタッズピアス</t>
        </is>
      </c>
      <c r="E970" s="2" t="inlineStr">
        <is>
          <t>786554 J85F0 8030</t>
        </is>
      </c>
      <c r="F970" s="2" t="inlineStr">
        <is>
          <t xml:space="preserve">  -</t>
        </is>
      </c>
      <c r="G970" s="10" t="inlineStr">
        <is>
          <t>OneSize</t>
        </is>
      </c>
      <c r="H970" s="17" t="inlineStr">
        <is>
          <t>OneSize</t>
        </is>
      </c>
      <c r="I970" s="18" t="n">
        <v>302500</v>
      </c>
      <c r="J970" s="19" t="n">
        <v>313500</v>
      </c>
      <c r="K970" s="20" t="n">
        <v>5</v>
      </c>
      <c r="L970" s="4" t="inlineStr">
        <is>
          <t>https://www.gucci.com/jp/ja/pr/jewellery-watches/gold-jewellery/gold-earrings/gucci-interlocking-18k-stud-earrings-p-786554J85F08030</t>
        </is>
      </c>
      <c r="M970" s="5">
        <f t="array" ref="M970">_xlfn.IFS(J970="NOTFOUND",I970,J970&gt;=I970,J970)</f>
        <v/>
      </c>
    </row>
    <row r="971" ht="18" customHeight="1" s="16">
      <c r="A971" s="5" t="n">
        <v>970</v>
      </c>
      <c r="B971" s="2" t="inlineStr">
        <is>
          <t>GU-3222</t>
        </is>
      </c>
      <c r="C971" s="2" t="n"/>
      <c r="D971" s="2" t="inlineStr">
        <is>
          <t>インターロッキング 18K チェーン ブレスレット</t>
        </is>
      </c>
      <c r="E971" s="2" t="inlineStr">
        <is>
          <t>786556 J85L0 8093</t>
        </is>
      </c>
      <c r="F971" s="2" t="inlineStr">
        <is>
          <t xml:space="preserve">  -</t>
        </is>
      </c>
      <c r="G971" s="10" t="inlineStr">
        <is>
          <t>16_17</t>
        </is>
      </c>
      <c r="H971" s="17" t="inlineStr">
        <is>
          <t>16_17</t>
        </is>
      </c>
      <c r="I971" s="18" t="n">
        <v>302500</v>
      </c>
      <c r="J971" s="19" t="n">
        <v>313500</v>
      </c>
      <c r="K971" s="20" t="n">
        <v>5</v>
      </c>
      <c r="L971" s="4" t="inlineStr">
        <is>
          <t>https://www.gucci.com/jp/ja/pr/jewellery-watches/gold-jewellery/gold-bracelets/gucci-interlocking-18k-chain-bracelet-p-786556J85L08093</t>
        </is>
      </c>
      <c r="M971" s="5">
        <f t="array" ref="M971">_xlfn.IFS(J971="NOTFOUND",I971,J971&gt;=I971,J971)</f>
        <v/>
      </c>
    </row>
    <row r="972" ht="18" customHeight="1" s="16">
      <c r="A972" s="5" t="n">
        <v>971</v>
      </c>
      <c r="B972" s="2" t="inlineStr">
        <is>
          <t>GU-3223</t>
        </is>
      </c>
      <c r="C972" s="2" t="n"/>
      <c r="D972" s="2" t="inlineStr">
        <is>
          <t>インターロッキング 18K チェーン ブレスレット</t>
        </is>
      </c>
      <c r="E972" s="2" t="inlineStr">
        <is>
          <t>831910 JAAIR 8069</t>
        </is>
      </c>
      <c r="F972" s="2" t="inlineStr">
        <is>
          <t xml:space="preserve">  -</t>
        </is>
      </c>
      <c r="G972" s="10" t="inlineStr">
        <is>
          <t>16_17</t>
        </is>
      </c>
      <c r="H972" s="17" t="inlineStr">
        <is>
          <t>16_17</t>
        </is>
      </c>
      <c r="I972" s="18" t="n">
        <v>407000</v>
      </c>
      <c r="J972" s="19" t="n">
        <v>407000</v>
      </c>
      <c r="K972" s="20" t="n">
        <v>5</v>
      </c>
      <c r="L972" s="4" t="inlineStr">
        <is>
          <t>https://www.gucci.com/jp/ja/pr/jewellery-watches/gold-jewellery/gold-bracelets/gucci-interlocking-18k-chain-bracelet-p-831910JAAIR8069</t>
        </is>
      </c>
      <c r="M972" s="5">
        <f t="array" ref="M972">_xlfn.IFS(J972="NOTFOUND",I972,J972&gt;=I972,J972)</f>
        <v/>
      </c>
    </row>
    <row r="973" ht="18" customHeight="1" s="16">
      <c r="A973" s="5" t="n">
        <v>972</v>
      </c>
      <c r="B973" s="2" t="inlineStr">
        <is>
          <t>GU-3224</t>
        </is>
      </c>
      <c r="C973" s="2" t="n"/>
      <c r="D973" s="2" t="inlineStr">
        <is>
          <t>インターロッキング 18K ピアス</t>
        </is>
      </c>
      <c r="E973" s="2" t="inlineStr">
        <is>
          <t>832001 JAAIR 8069</t>
        </is>
      </c>
      <c r="F973" s="2" t="inlineStr">
        <is>
          <t xml:space="preserve">  -</t>
        </is>
      </c>
      <c r="G973" s="10" t="inlineStr">
        <is>
          <t>OneSize</t>
        </is>
      </c>
      <c r="H973" s="17" t="inlineStr">
        <is>
          <t>OneSize</t>
        </is>
      </c>
      <c r="I973" s="18" t="n">
        <v>473000</v>
      </c>
      <c r="J973" s="19" t="n">
        <v>473000</v>
      </c>
      <c r="K973" s="20" t="n">
        <v>5</v>
      </c>
      <c r="L973" s="4" t="inlineStr">
        <is>
          <t>https://www.gucci.com/jp/ja/pr/jewellery-watches/gold-jewellery/gold-earrings/gucci-interlocking-18k-earrings-p-832001JAAIR8069</t>
        </is>
      </c>
      <c r="M973" s="5">
        <f t="array" ref="M973">_xlfn.IFS(J973="NOTFOUND",I973,J973&gt;=I973,J973)</f>
        <v/>
      </c>
    </row>
    <row r="974" ht="18" customHeight="1" s="16">
      <c r="A974" s="5" t="n">
        <v>973</v>
      </c>
      <c r="B974" s="2" t="inlineStr">
        <is>
          <t>GU-3225</t>
        </is>
      </c>
      <c r="C974" s="2" t="n"/>
      <c r="D974" s="2" t="inlineStr">
        <is>
          <t>インターロッキング 18K ペンダント ネックレス</t>
        </is>
      </c>
      <c r="E974" s="2" t="inlineStr">
        <is>
          <t>832009 JAAIR 8069</t>
        </is>
      </c>
      <c r="F974" s="2" t="inlineStr">
        <is>
          <t xml:space="preserve">  -</t>
        </is>
      </c>
      <c r="G974" s="10" t="inlineStr">
        <is>
          <t>OneSize</t>
        </is>
      </c>
      <c r="H974" s="17" t="inlineStr">
        <is>
          <t>OneSize</t>
        </is>
      </c>
      <c r="I974" s="18" t="n">
        <v>484000</v>
      </c>
      <c r="J974" s="19" t="n">
        <v>484000</v>
      </c>
      <c r="K974" s="20" t="n">
        <v>5</v>
      </c>
      <c r="L974" s="4" t="inlineStr">
        <is>
          <t>https://www.gucci.com/jp/ja/pr/jewellery-watches/gold-jewellery/gold-necklaces/gucci-interlocking-18k-pendant-necklace-p-832009JAAIR8069</t>
        </is>
      </c>
      <c r="M974" s="5">
        <f t="array" ref="M974">_xlfn.IFS(J974="NOTFOUND",I974,J974&gt;=I974,J974)</f>
        <v/>
      </c>
    </row>
    <row r="975" ht="18" customHeight="1" s="16">
      <c r="A975" s="5" t="n">
        <v>974</v>
      </c>
      <c r="B975" s="2" t="inlineStr">
        <is>
          <t>GU-3226</t>
        </is>
      </c>
      <c r="C975" s="2" t="n"/>
      <c r="D975" s="2" t="inlineStr">
        <is>
          <t>ホースビット 18K ピアス</t>
        </is>
      </c>
      <c r="E975" s="2" t="inlineStr">
        <is>
          <t>795656 J8500 8000</t>
        </is>
      </c>
      <c r="F975" s="2" t="inlineStr">
        <is>
          <t xml:space="preserve">  -</t>
        </is>
      </c>
      <c r="G975" s="10" t="inlineStr">
        <is>
          <t>OneSize</t>
        </is>
      </c>
      <c r="H975" s="17" t="inlineStr">
        <is>
          <t>OneSize</t>
        </is>
      </c>
      <c r="I975" s="18" t="n">
        <v>506000</v>
      </c>
      <c r="J975" s="19" t="n">
        <v>506000</v>
      </c>
      <c r="K975" s="20" t="n">
        <v>5</v>
      </c>
      <c r="L975" s="4" t="inlineStr">
        <is>
          <t>https://www.gucci.com/jp/ja/pr/jewellery-watches/gold-jewellery/gold-earrings/18k-horsebit-earrings-p-795656J85008000</t>
        </is>
      </c>
      <c r="M975" s="5">
        <f t="array" ref="M975">_xlfn.IFS(J975="NOTFOUND",I975,J975&gt;=I975,J975)</f>
        <v/>
      </c>
    </row>
    <row r="976" ht="18" customHeight="1" s="16">
      <c r="A976" s="5" t="n">
        <v>975</v>
      </c>
      <c r="B976" s="2" t="inlineStr">
        <is>
          <t>GU-3227</t>
        </is>
      </c>
      <c r="C976" s="2" t="n"/>
      <c r="D976" s="2" t="inlineStr">
        <is>
          <t>ホースビット 18K リング</t>
        </is>
      </c>
      <c r="E976" s="2" t="inlineStr">
        <is>
          <t>795651 J8500 8000</t>
        </is>
      </c>
      <c r="F976" s="2" t="inlineStr">
        <is>
          <t xml:space="preserve">  -</t>
        </is>
      </c>
      <c r="G976" s="10" t="inlineStr">
        <is>
          <t>9_10_11_12_13_14_15_16_17</t>
        </is>
      </c>
      <c r="H976" s="17" t="inlineStr">
        <is>
          <t>9_10_11_12_13_14_15_16_17</t>
        </is>
      </c>
      <c r="I976" s="18" t="n">
        <v>346500</v>
      </c>
      <c r="J976" s="19" t="n">
        <v>357500</v>
      </c>
      <c r="K976" s="20" t="n">
        <v>5</v>
      </c>
      <c r="L976" s="4" t="inlineStr">
        <is>
          <t>https://www.gucci.com/jp/ja/pr/jewellery-watches/gold-jewellery/gold-rings/18k-horsebit-ring-p-795651J85008000</t>
        </is>
      </c>
      <c r="M976" s="5">
        <f t="array" ref="M976">_xlfn.IFS(J976="NOTFOUND",I976,J976&gt;=I976,J976)</f>
        <v/>
      </c>
    </row>
    <row r="977" ht="18" customHeight="1" s="16">
      <c r="A977" s="5" t="n">
        <v>976</v>
      </c>
      <c r="B977" s="2" t="inlineStr">
        <is>
          <t>GU-3228</t>
        </is>
      </c>
      <c r="C977" s="2" t="n"/>
      <c r="D977" s="2" t="inlineStr">
        <is>
          <t>ホースビット 18K ロング チェーン ネックレス</t>
        </is>
      </c>
      <c r="E977" s="2" t="inlineStr">
        <is>
          <t>796823 J8500 8000</t>
        </is>
      </c>
      <c r="F977" s="2" t="inlineStr">
        <is>
          <t xml:space="preserve">  -</t>
        </is>
      </c>
      <c r="G977" s="10" t="inlineStr">
        <is>
          <t>OneSize</t>
        </is>
      </c>
      <c r="H977" s="17" t="inlineStr">
        <is>
          <t>OneSize</t>
        </is>
      </c>
      <c r="I977" s="18" t="n">
        <v>1122000</v>
      </c>
      <c r="J977" s="19" t="n">
        <v>1122000</v>
      </c>
      <c r="K977" s="20" t="n">
        <v>5</v>
      </c>
      <c r="L977" s="4" t="inlineStr">
        <is>
          <t>https://www.gucci.com/jp/ja/pr/jewellery-watches/gold-jewellery/gold-necklaces/18k-horsebit-long-chain-necklace-p-796823J85008000</t>
        </is>
      </c>
      <c r="M977" s="5">
        <f t="array" ref="M977">_xlfn.IFS(J977="NOTFOUND",I977,J977&gt;=I977,J977)</f>
        <v/>
      </c>
    </row>
    <row r="978" ht="18" customHeight="1" s="16">
      <c r="A978" s="5" t="n">
        <v>977</v>
      </c>
      <c r="B978" s="2" t="inlineStr">
        <is>
          <t>GU-3229</t>
        </is>
      </c>
      <c r="C978" s="2" t="n"/>
      <c r="D978" s="2" t="inlineStr">
        <is>
          <t>ホースビット 18K チェーン ネックレス</t>
        </is>
      </c>
      <c r="E978" s="2" t="inlineStr">
        <is>
          <t>795818 J8500 8000</t>
        </is>
      </c>
      <c r="F978" s="2" t="inlineStr">
        <is>
          <t xml:space="preserve">  -</t>
        </is>
      </c>
      <c r="G978" s="10" t="inlineStr">
        <is>
          <t>OneSize</t>
        </is>
      </c>
      <c r="H978" s="17" t="inlineStr">
        <is>
          <t>OneSize</t>
        </is>
      </c>
      <c r="I978" s="18" t="n">
        <v>506000</v>
      </c>
      <c r="J978" s="19" t="n">
        <v>506000</v>
      </c>
      <c r="K978" s="20" t="n">
        <v>5</v>
      </c>
      <c r="L978" s="4" t="inlineStr">
        <is>
          <t>https://www.gucci.com/jp/ja/pr/jewellery-watches/gold-jewellery/gold-necklaces/18k-horsebit-chain-necklace-p-795818J85008000</t>
        </is>
      </c>
      <c r="M978" s="5">
        <f t="array" ref="M978">_xlfn.IFS(J978="NOTFOUND",I978,J978&gt;=I978,J978)</f>
        <v/>
      </c>
    </row>
    <row r="979" ht="18" customHeight="1" s="16">
      <c r="A979" s="5" t="n">
        <v>978</v>
      </c>
      <c r="B979" s="2" t="inlineStr">
        <is>
          <t>GU-3230</t>
        </is>
      </c>
      <c r="C979" s="2" t="n"/>
      <c r="D979" s="2" t="inlineStr">
        <is>
          <t>ホースビット 18K チェーン ブレスレット</t>
        </is>
      </c>
      <c r="E979" s="2" t="inlineStr">
        <is>
          <t>795812 J8500 8000</t>
        </is>
      </c>
      <c r="F979" s="2" t="inlineStr">
        <is>
          <t xml:space="preserve">  -</t>
        </is>
      </c>
      <c r="G979" s="10" t="inlineStr">
        <is>
          <t>16_17_18</t>
        </is>
      </c>
      <c r="H979" s="17" t="inlineStr">
        <is>
          <t>16_17_18</t>
        </is>
      </c>
      <c r="I979" s="18" t="n">
        <v>456500</v>
      </c>
      <c r="J979" s="19" t="n">
        <v>473000</v>
      </c>
      <c r="K979" s="20" t="n">
        <v>5</v>
      </c>
      <c r="L979" s="4" t="inlineStr">
        <is>
          <t>https://www.gucci.com/jp/ja/pr/jewellery-watches/gold-jewellery/gold-bracelets/18k-horsebit-chain-bracelet-p-795812J85008000</t>
        </is>
      </c>
      <c r="M979" s="5">
        <f t="array" ref="M979">_xlfn.IFS(J979="NOTFOUND",I979,J979&gt;=I979,J979)</f>
        <v/>
      </c>
    </row>
    <row r="980" ht="18" customHeight="1" s="16">
      <c r="A980" s="5" t="n">
        <v>979</v>
      </c>
      <c r="B980" s="2" t="inlineStr">
        <is>
          <t>GU-3231</t>
        </is>
      </c>
      <c r="C980" s="2" t="n"/>
      <c r="D980" s="2" t="inlineStr">
        <is>
          <t>ホースビット 18K ペンダント ネックレス</t>
        </is>
      </c>
      <c r="E980" s="2" t="inlineStr">
        <is>
          <t>795850 J8500 8000</t>
        </is>
      </c>
      <c r="F980" s="2" t="inlineStr">
        <is>
          <t xml:space="preserve">  -</t>
        </is>
      </c>
      <c r="G980" s="10" t="inlineStr">
        <is>
          <t>OneSize</t>
        </is>
      </c>
      <c r="H980" s="17" t="inlineStr">
        <is>
          <t>OneSize</t>
        </is>
      </c>
      <c r="I980" s="18" t="n">
        <v>748000</v>
      </c>
      <c r="J980" s="19" t="n">
        <v>781000</v>
      </c>
      <c r="K980" s="20" t="n">
        <v>5</v>
      </c>
      <c r="L980" s="4" t="inlineStr">
        <is>
          <t>https://www.gucci.com/jp/ja/pr/jewellery-watches/gold-jewellery/gold-necklaces/18k-horsebit-pendant-necklace-p-795850J85008000</t>
        </is>
      </c>
      <c r="M980" s="5">
        <f t="array" ref="M980">_xlfn.IFS(J980="NOTFOUND",I980,J980&gt;=I980,J980)</f>
        <v/>
      </c>
    </row>
    <row r="981" ht="18" customHeight="1" s="16">
      <c r="A981" s="5" t="n">
        <v>980</v>
      </c>
      <c r="B981" s="2" t="inlineStr">
        <is>
          <t>GU-3232</t>
        </is>
      </c>
      <c r="C981" s="2" t="n"/>
      <c r="D981" s="2" t="inlineStr">
        <is>
          <t>ホースビット 18K ダイヤモンド リング</t>
        </is>
      </c>
      <c r="E981" s="2" t="inlineStr">
        <is>
          <t>796168 J8540 5702</t>
        </is>
      </c>
      <c r="F981" s="2" t="inlineStr">
        <is>
          <t xml:space="preserve">  -</t>
        </is>
      </c>
      <c r="G981" s="10" t="inlineStr">
        <is>
          <t>8_9_10_11_12_13_14_15</t>
        </is>
      </c>
      <c r="H981" s="17" t="inlineStr">
        <is>
          <t>8_9_10_11_12_13_14_15</t>
        </is>
      </c>
      <c r="I981" s="18" t="n">
        <v>220000</v>
      </c>
      <c r="J981" s="19" t="n">
        <v>231000</v>
      </c>
      <c r="K981" s="20" t="n">
        <v>5</v>
      </c>
      <c r="L981" s="4" t="inlineStr">
        <is>
          <t>https://www.gucci.com/jp/ja/pr/jewellery-watches/gold-jewellery/gold-rings/18k-horsebit-diamond-ring-p-796168J85405702</t>
        </is>
      </c>
      <c r="M981" s="5">
        <f t="array" ref="M981">_xlfn.IFS(J981="NOTFOUND",I981,J981&gt;=I981,J981)</f>
        <v/>
      </c>
    </row>
    <row r="982" ht="18" customHeight="1" s="16">
      <c r="A982" s="5" t="n">
        <v>981</v>
      </c>
      <c r="B982" s="2" t="inlineStr">
        <is>
          <t>GU-3233</t>
        </is>
      </c>
      <c r="C982" s="2" t="n"/>
      <c r="D982" s="2" t="inlineStr">
        <is>
          <t>ホースビット 18K ダイヤモンド スタッズ ピアス</t>
        </is>
      </c>
      <c r="E982" s="2" t="inlineStr">
        <is>
          <t>796166 J8540 5702</t>
        </is>
      </c>
      <c r="F982" s="2" t="inlineStr">
        <is>
          <t xml:space="preserve">  -</t>
        </is>
      </c>
      <c r="G982" s="10" t="inlineStr">
        <is>
          <t>OneSize</t>
        </is>
      </c>
      <c r="H982" s="17" t="inlineStr">
        <is>
          <t>OneSize</t>
        </is>
      </c>
      <c r="I982" s="18" t="n">
        <v>236500</v>
      </c>
      <c r="J982" s="19" t="n">
        <v>253000</v>
      </c>
      <c r="K982" s="20" t="n">
        <v>5</v>
      </c>
      <c r="L982" s="4" t="inlineStr">
        <is>
          <t>https://www.gucci.com/jp/ja/pr/jewellery-watches/gold-jewellery/gold-earrings/18k-horsebit-diamond-stud-earrings-p-796166J85405702</t>
        </is>
      </c>
      <c r="M982" s="5">
        <f t="array" ref="M982">_xlfn.IFS(J982="NOTFOUND",I982,J982&gt;=I982,J982)</f>
        <v/>
      </c>
    </row>
    <row r="983" ht="18" customHeight="1" s="16">
      <c r="A983" s="5" t="n">
        <v>982</v>
      </c>
      <c r="B983" s="2" t="inlineStr">
        <is>
          <t>GU-3234</t>
        </is>
      </c>
      <c r="C983" s="2" t="n"/>
      <c r="D983" s="2" t="inlineStr">
        <is>
          <t>ホースビット 18K ダイヤモンド チェーン ブレスレット</t>
        </is>
      </c>
      <c r="E983" s="2" t="inlineStr">
        <is>
          <t>796174 J8540 5702</t>
        </is>
      </c>
      <c r="F983" s="2" t="inlineStr">
        <is>
          <t xml:space="preserve">  -</t>
        </is>
      </c>
      <c r="G983" s="10" t="inlineStr">
        <is>
          <t>16_17</t>
        </is>
      </c>
      <c r="H983" s="17" t="inlineStr">
        <is>
          <t>16_17</t>
        </is>
      </c>
      <c r="I983" s="18" t="n">
        <v>280500</v>
      </c>
      <c r="J983" s="19" t="n">
        <v>291500</v>
      </c>
      <c r="K983" s="20" t="n">
        <v>5</v>
      </c>
      <c r="L983" s="4" t="inlineStr">
        <is>
          <t>https://www.gucci.com/jp/ja/pr/jewellery-watches/gold-jewellery/gold-bracelets/18k-horsebit-diamond-chain-bracelet-p-796174J85405702</t>
        </is>
      </c>
      <c r="M983" s="5">
        <f t="array" ref="M983">_xlfn.IFS(J983="NOTFOUND",I983,J983&gt;=I983,J983)</f>
        <v/>
      </c>
    </row>
    <row r="984" ht="18" customHeight="1" s="16">
      <c r="A984" s="5" t="n">
        <v>983</v>
      </c>
      <c r="B984" s="2" t="inlineStr">
        <is>
          <t>GU-3235</t>
        </is>
      </c>
      <c r="C984" s="2" t="n"/>
      <c r="D984" s="2" t="inlineStr">
        <is>
          <t>ホースビット 18K ダイヤモンド ピアス</t>
        </is>
      </c>
      <c r="E984" s="2" t="inlineStr">
        <is>
          <t>796167 J8540 5702</t>
        </is>
      </c>
      <c r="F984" s="2" t="inlineStr">
        <is>
          <t xml:space="preserve">  -</t>
        </is>
      </c>
      <c r="G984" s="10" t="inlineStr">
        <is>
          <t>OneSize</t>
        </is>
      </c>
      <c r="H984" s="17" t="inlineStr">
        <is>
          <t>OneSize</t>
        </is>
      </c>
      <c r="I984" s="18" t="n">
        <v>280500</v>
      </c>
      <c r="J984" s="19" t="n">
        <v>291500</v>
      </c>
      <c r="K984" s="20" t="n">
        <v>5</v>
      </c>
      <c r="L984" s="4" t="inlineStr">
        <is>
          <t>https://www.gucci.com/jp/ja/pr/jewellery-watches/gold-jewellery/gold-earrings/18k-horsebit-diamond-earrings-p-796167J85405702</t>
        </is>
      </c>
      <c r="M984" s="5">
        <f t="array" ref="M984">_xlfn.IFS(J984="NOTFOUND",I984,J984&gt;=I984,J984)</f>
        <v/>
      </c>
    </row>
    <row r="985" ht="18" customHeight="1" s="16">
      <c r="A985" s="5" t="n">
        <v>984</v>
      </c>
      <c r="B985" s="2" t="inlineStr">
        <is>
          <t>GU-3236</t>
        </is>
      </c>
      <c r="C985" s="2" t="n"/>
      <c r="D985" s="2" t="inlineStr">
        <is>
          <t>ホースビット 18K ダイヤモンド ブレスレット</t>
        </is>
      </c>
      <c r="E985" s="2" t="inlineStr">
        <is>
          <t>796178 J8540 5702</t>
        </is>
      </c>
      <c r="F985" s="2" t="inlineStr">
        <is>
          <t xml:space="preserve">  -</t>
        </is>
      </c>
      <c r="G985" s="10" t="inlineStr">
        <is>
          <t>16_17</t>
        </is>
      </c>
      <c r="H985" s="17" t="inlineStr">
        <is>
          <t>16_17</t>
        </is>
      </c>
      <c r="I985" s="18" t="n">
        <v>704000</v>
      </c>
      <c r="J985" s="19" t="n">
        <v>737000</v>
      </c>
      <c r="K985" s="20" t="n">
        <v>5</v>
      </c>
      <c r="L985" s="4" t="inlineStr">
        <is>
          <t>https://www.gucci.com/jp/ja/pr/jewellery-watches/gold-jewellery/gold-bracelets/18k-horsebit-diamond-bracelet-p-796178J85405702</t>
        </is>
      </c>
      <c r="M985" s="5">
        <f t="array" ref="M985">_xlfn.IFS(J985="NOTFOUND",I985,J985&gt;=I985,J985)</f>
        <v/>
      </c>
    </row>
    <row r="986" ht="18" customHeight="1" s="16">
      <c r="A986" s="5" t="n">
        <v>985</v>
      </c>
      <c r="B986" s="2" t="inlineStr">
        <is>
          <t>GU-3237</t>
        </is>
      </c>
      <c r="C986" s="2" t="n"/>
      <c r="D986" s="2" t="inlineStr">
        <is>
          <t>ホースビット 18K ダイヤモンド チェーン ネックレス</t>
        </is>
      </c>
      <c r="E986" s="2" t="inlineStr">
        <is>
          <t>796833 J8540 5702</t>
        </is>
      </c>
      <c r="F986" s="2" t="inlineStr">
        <is>
          <t xml:space="preserve">  -</t>
        </is>
      </c>
      <c r="G986" s="10" t="inlineStr">
        <is>
          <t>OneSize</t>
        </is>
      </c>
      <c r="H986" s="17" t="inlineStr">
        <is>
          <t>OneSize</t>
        </is>
      </c>
      <c r="I986" s="18" t="n">
        <v>363000</v>
      </c>
      <c r="J986" s="19" t="n">
        <v>374000</v>
      </c>
      <c r="K986" s="20" t="n">
        <v>5</v>
      </c>
      <c r="L986" s="4" t="inlineStr">
        <is>
          <t>https://www.gucci.com/jp/ja/pr/jewellery-watches/gold-jewellery/gold-necklaces/18k-horsebit-diamond-chain-necklace-p-796833J85405702</t>
        </is>
      </c>
      <c r="M986" s="5">
        <f t="array" ref="M986">_xlfn.IFS(J986="NOTFOUND",I986,J986&gt;=I986,J986)</f>
        <v/>
      </c>
    </row>
    <row r="987" ht="18" customHeight="1" s="16">
      <c r="A987" s="5" t="n">
        <v>986</v>
      </c>
      <c r="B987" s="2" t="inlineStr">
        <is>
          <t>GU-3238</t>
        </is>
      </c>
      <c r="C987" s="2" t="n"/>
      <c r="D987" s="2" t="inlineStr">
        <is>
          <t>アイコン GG 18K ネックレス</t>
        </is>
      </c>
      <c r="E987" s="2" t="inlineStr">
        <is>
          <t>804368 J8500 8000</t>
        </is>
      </c>
      <c r="F987" s="2" t="inlineStr">
        <is>
          <t xml:space="preserve">  -</t>
        </is>
      </c>
      <c r="G987" s="10" t="inlineStr">
        <is>
          <t>OneSize</t>
        </is>
      </c>
      <c r="H987" s="17" t="inlineStr">
        <is>
          <t>OneSize</t>
        </is>
      </c>
      <c r="I987" s="18" t="n">
        <v>418000</v>
      </c>
      <c r="J987" s="19" t="n">
        <v>429000</v>
      </c>
      <c r="K987" s="20" t="n">
        <v>5</v>
      </c>
      <c r="L987" s="4" t="inlineStr">
        <is>
          <t>https://www.gucci.com/jp/ja/pr/jewellery-watches/gold-jewellery/gold-necklaces/icon-18k-gg-necklace-p-804368J85008000</t>
        </is>
      </c>
      <c r="M987" s="5">
        <f t="array" ref="M987">_xlfn.IFS(J987="NOTFOUND",I987,J987&gt;=I987,J987)</f>
        <v/>
      </c>
    </row>
    <row r="988" ht="18" customHeight="1" s="16">
      <c r="A988" s="5" t="n">
        <v>987</v>
      </c>
      <c r="B988" s="2" t="inlineStr">
        <is>
          <t>GU-3239</t>
        </is>
      </c>
      <c r="C988" s="2" t="n"/>
      <c r="D988" s="2" t="inlineStr">
        <is>
          <t>アイコン GG 18K フープピアス</t>
        </is>
      </c>
      <c r="E988" s="2" t="inlineStr">
        <is>
          <t>804361 J8500 8000</t>
        </is>
      </c>
      <c r="F988" s="2" t="inlineStr">
        <is>
          <t xml:space="preserve">  -</t>
        </is>
      </c>
      <c r="G988" s="10" t="inlineStr">
        <is>
          <t>OneSize</t>
        </is>
      </c>
      <c r="H988" s="17" t="inlineStr">
        <is>
          <t>OneSize</t>
        </is>
      </c>
      <c r="I988" s="18" t="n">
        <v>346500</v>
      </c>
      <c r="J988" s="19" t="n">
        <v>357500</v>
      </c>
      <c r="K988" s="20" t="n">
        <v>5</v>
      </c>
      <c r="L988" s="4" t="inlineStr">
        <is>
          <t>https://www.gucci.com/jp/ja/pr/jewellery-watches/gold-jewellery/gold-earrings/icon-18k-gg-hoop-earrings-p-804361J85008000</t>
        </is>
      </c>
      <c r="M988" s="5">
        <f t="array" ref="M988">_xlfn.IFS(J988="NOTFOUND",I988,J988&gt;=I988,J988)</f>
        <v/>
      </c>
    </row>
    <row r="989" ht="18" customHeight="1" s="16">
      <c r="A989" s="5" t="n">
        <v>988</v>
      </c>
      <c r="B989" s="2" t="inlineStr">
        <is>
          <t>GU-3240</t>
        </is>
      </c>
      <c r="C989" s="2" t="n"/>
      <c r="D989" s="2" t="inlineStr">
        <is>
          <t>アイコン 18K スリムリング</t>
        </is>
      </c>
      <c r="E989" s="2" t="inlineStr">
        <is>
          <t>152045 J8500 5702</t>
        </is>
      </c>
      <c r="F989" s="2" t="inlineStr">
        <is>
          <t xml:space="preserve">  -</t>
        </is>
      </c>
      <c r="G989" s="10" t="inlineStr">
        <is>
          <t>6_7_8_9_10_11_12_13_14_15_16_17_18_19_20_21_22_23_24</t>
        </is>
      </c>
      <c r="H989" s="17" t="inlineStr">
        <is>
          <t>6_7_8_9_10_11_12_13_14_15_16_17_18_19_20_21_22_23_24</t>
        </is>
      </c>
      <c r="I989" s="18" t="n">
        <v>165000</v>
      </c>
      <c r="J989" s="19" t="n">
        <v>173800</v>
      </c>
      <c r="K989" s="20" t="n">
        <v>5</v>
      </c>
      <c r="L989" s="4" t="inlineStr">
        <is>
          <t>https://www.gucci.com/jp/ja/pr/jewellery-watches/gold-jewellery/gold-jewellery-for-women/icon-18k-thin-band-p-152045J85005702</t>
        </is>
      </c>
      <c r="M989" s="5">
        <f t="array" ref="M989">_xlfn.IFS(J989="NOTFOUND",I989,J989&gt;=I989,J989)</f>
        <v/>
      </c>
    </row>
    <row r="990" ht="18" customHeight="1" s="16">
      <c r="A990" s="5" t="n">
        <v>989</v>
      </c>
      <c r="B990" s="2" t="inlineStr">
        <is>
          <t>GU-3241</t>
        </is>
      </c>
      <c r="C990" s="2" t="n"/>
      <c r="D990" s="2" t="inlineStr">
        <is>
          <t>アイコン GG 18K スリムリング</t>
        </is>
      </c>
      <c r="E990" s="2" t="inlineStr">
        <is>
          <t>804335 J8500 8000</t>
        </is>
      </c>
      <c r="F990" s="2" t="inlineStr">
        <is>
          <t xml:space="preserve">  -</t>
        </is>
      </c>
      <c r="G990" s="10" t="inlineStr">
        <is>
          <t>8_9_10_11_12_13_14_15_16_17_18_19_20_21_22_23_24</t>
        </is>
      </c>
      <c r="H990" s="17" t="inlineStr">
        <is>
          <t>8_9_10_11_12_13_14_15_16_17_18_19_20_21_22_23_24</t>
        </is>
      </c>
      <c r="I990" s="18" t="n">
        <v>264000</v>
      </c>
      <c r="J990" s="19" t="n">
        <v>275000</v>
      </c>
      <c r="K990" s="20" t="n">
        <v>5</v>
      </c>
      <c r="L990" s="4" t="inlineStr">
        <is>
          <t>https://www.gucci.com/jp/ja/pr/jewellery-watches/gold-jewellery/gold-rings/icon-18k-gg-thin-ring-p-804335J85008000</t>
        </is>
      </c>
      <c r="M990" s="5">
        <f t="array" ref="M990">_xlfn.IFS(J990="NOTFOUND",I990,J990&gt;=I990,J990)</f>
        <v/>
      </c>
    </row>
    <row r="991" ht="18" customHeight="1" s="16">
      <c r="A991" s="5" t="n">
        <v>990</v>
      </c>
      <c r="B991" s="2" t="inlineStr">
        <is>
          <t>GU-3242</t>
        </is>
      </c>
      <c r="C991" s="2" t="n"/>
      <c r="D991" s="2" t="inlineStr">
        <is>
          <t>アイコン  シンバンド ホワイトゴールド/ブラックコランダム</t>
        </is>
      </c>
      <c r="E991" s="2" t="inlineStr">
        <is>
          <t>225985 I19A1 8061</t>
        </is>
      </c>
      <c r="F991" s="2" t="inlineStr">
        <is>
          <t xml:space="preserve">  -</t>
        </is>
      </c>
      <c r="G991" s="10" t="inlineStr">
        <is>
          <t>7_8_9_10_11_12_13_14_15_16_17_18_19_20_21_22</t>
        </is>
      </c>
      <c r="H991" s="17" t="inlineStr">
        <is>
          <t>7_8_9_10_11_12_13_14_15_16_17_18_19_20_21_22</t>
        </is>
      </c>
      <c r="I991" s="18" t="n">
        <v>107800</v>
      </c>
      <c r="J991" s="19" t="n">
        <v>118800</v>
      </c>
      <c r="K991" s="20" t="n">
        <v>5</v>
      </c>
      <c r="L991" s="4" t="inlineStr">
        <is>
          <t>https://www.gucci.com/jp/ja/pr/jewellery-watches/gold-jewellery/gold-jewellery-for-women/icon-thin-band-in-white-gold-p-225985I19A18061</t>
        </is>
      </c>
      <c r="M991" s="5">
        <f t="array" ref="M991">_xlfn.IFS(J991="NOTFOUND",I991,J991&gt;=I991,J991)</f>
        <v/>
      </c>
    </row>
    <row r="992" ht="18" customHeight="1" s="16">
      <c r="A992" s="5" t="n">
        <v>991</v>
      </c>
      <c r="B992" s="2" t="inlineStr">
        <is>
          <t>GU-3243</t>
        </is>
      </c>
      <c r="C992" s="2" t="n"/>
      <c r="D992" s="2" t="inlineStr">
        <is>
          <t>アイコン  イエローゴールド/ホワイトジルコニアパウダー リング</t>
        </is>
      </c>
      <c r="E992" s="2" t="inlineStr">
        <is>
          <t>325964 J85V5 8062</t>
        </is>
      </c>
      <c r="F992" s="2" t="inlineStr">
        <is>
          <t xml:space="preserve">  -</t>
        </is>
      </c>
      <c r="G992" s="10" t="inlineStr">
        <is>
          <t>7_8_9_10_11_12_13_14_15_16_17_18_19_20_21_22_23_24_25_26</t>
        </is>
      </c>
      <c r="H992" s="17" t="inlineStr">
        <is>
          <t>7_8_9_10_11_12_13_14_15_16_17_18_19_20_21_22_23_24_25_26</t>
        </is>
      </c>
      <c r="I992" s="18" t="n">
        <v>107800</v>
      </c>
      <c r="J992" s="19" t="n">
        <v>118800</v>
      </c>
      <c r="K992" s="20" t="n">
        <v>5</v>
      </c>
      <c r="L992" s="4" t="inlineStr">
        <is>
          <t>https://www.gucci.com/jp/ja/pr/jewellery-watches/gold-jewellery/gold-jewellery-for-women/icon-ring-in-yellow-gold-p-325964J85V58062</t>
        </is>
      </c>
      <c r="M992" s="5">
        <f t="array" ref="M992">_xlfn.IFS(J992="NOTFOUND",I992,J992&gt;=I992,J992)</f>
        <v/>
      </c>
    </row>
    <row r="993" ht="18" customHeight="1" s="16">
      <c r="A993" s="5" t="n">
        <v>992</v>
      </c>
      <c r="B993" s="2" t="inlineStr">
        <is>
          <t>GU-3244</t>
        </is>
      </c>
      <c r="C993" s="2" t="n"/>
      <c r="D993" s="2" t="inlineStr">
        <is>
          <t>LINK TO LOVE スタッズ リング</t>
        </is>
      </c>
      <c r="E993" s="2" t="inlineStr">
        <is>
          <t>662188 J8502 9000</t>
        </is>
      </c>
      <c r="F993" s="2" t="inlineStr">
        <is>
          <t xml:space="preserve">  -</t>
        </is>
      </c>
      <c r="G993" s="10" t="inlineStr">
        <is>
          <t>10_11_12_13_14_15_16_17_18_19_20_21_22_23</t>
        </is>
      </c>
      <c r="H993" s="17" t="inlineStr">
        <is>
          <t>10_11_12_13_14_15_16_17_18_19_20_21_22_23</t>
        </is>
      </c>
      <c r="I993" s="18" t="n">
        <v>302500</v>
      </c>
      <c r="J993" s="19" t="n">
        <v>313500</v>
      </c>
      <c r="K993" s="20" t="n">
        <v>5</v>
      </c>
      <c r="L993" s="4" t="inlineStr">
        <is>
          <t>https://www.gucci.com/jp/ja/pr/jewellery-watches/gold-jewellery/gold-jewellery-for-women/gucci-link-to-love-studded-ring-p-662188J85029000</t>
        </is>
      </c>
      <c r="M993" s="5">
        <f t="array" ref="M993">_xlfn.IFS(J993="NOTFOUND",I993,J993&gt;=I993,J993)</f>
        <v/>
      </c>
    </row>
    <row r="994" ht="18" customHeight="1" s="16">
      <c r="A994" s="5" t="n">
        <v>993</v>
      </c>
      <c r="B994" s="2" t="inlineStr">
        <is>
          <t>GU-3245</t>
        </is>
      </c>
      <c r="C994" s="2" t="n"/>
      <c r="D994" s="2" t="inlineStr">
        <is>
          <t>LINK TO LOVE 18K ダイヤモンド リング</t>
        </is>
      </c>
      <c r="E994" s="2" t="inlineStr">
        <is>
          <t>662140 J8568 9066</t>
        </is>
      </c>
      <c r="F994" s="2" t="inlineStr">
        <is>
          <t xml:space="preserve">  -</t>
        </is>
      </c>
      <c r="G994" s="10" t="inlineStr">
        <is>
          <t>6_7_8_9_10_11_12_13_14_15_16_17</t>
        </is>
      </c>
      <c r="H994" s="17" t="inlineStr">
        <is>
          <t>6_7_8_9_10_11_12_13_14_15_16_17</t>
        </is>
      </c>
      <c r="I994" s="18" t="n">
        <v>327800</v>
      </c>
      <c r="J994" s="19" t="n">
        <v>341000</v>
      </c>
      <c r="K994" s="20" t="n">
        <v>5</v>
      </c>
      <c r="L994" s="4" t="inlineStr">
        <is>
          <t>https://www.gucci.com/jp/ja/pr/jewellery-watches/gold-jewellery/gold-jewellery-for-women/gucci-link-to-love-18k-diamond-ring-p-662140J85689066</t>
        </is>
      </c>
      <c r="M994" s="5">
        <f t="array" ref="M994">_xlfn.IFS(J994="NOTFOUND",I994,J994&gt;=I994,J994)</f>
        <v/>
      </c>
    </row>
    <row r="995" ht="18" customHeight="1" s="16">
      <c r="A995" s="5" t="n">
        <v>994</v>
      </c>
      <c r="B995" s="2" t="inlineStr">
        <is>
          <t>GU-3246</t>
        </is>
      </c>
      <c r="C995" s="2" t="n"/>
      <c r="D995" s="2" t="inlineStr">
        <is>
          <t>LINK TO LOVE スタッズ リング</t>
        </is>
      </c>
      <c r="E995" s="2" t="inlineStr">
        <is>
          <t>662177 J8502 9000</t>
        </is>
      </c>
      <c r="F995" s="2" t="inlineStr">
        <is>
          <t>18K ホワイトゴールド</t>
        </is>
      </c>
      <c r="G995" s="10" t="inlineStr">
        <is>
          <t>8_9_10_11_12_13_14_15_16_17_18_19_20_21_22_23</t>
        </is>
      </c>
      <c r="H995" s="17" t="inlineStr">
        <is>
          <t>8_9_10_11_12_13_14_15_16_17_18_19_20_21_22_23</t>
        </is>
      </c>
      <c r="I995" s="18" t="n">
        <v>253000</v>
      </c>
      <c r="J995" s="19" t="n">
        <v>264000</v>
      </c>
      <c r="K995" s="20" t="n">
        <v>5</v>
      </c>
      <c r="L995" s="4" t="inlineStr">
        <is>
          <t>https://www.gucci.com/jp/ja/pr/jewellery-watches/gold-jewellery/gold-jewellery-for-women/gucci-link-to-love-studded-ring-p-662177J85029000</t>
        </is>
      </c>
      <c r="M995" s="5">
        <f t="array" ref="M995">_xlfn.IFS(J995="NOTFOUND",I995,J995&gt;=I995,J995)</f>
        <v/>
      </c>
    </row>
    <row r="996" ht="18" customHeight="1" s="16">
      <c r="A996" s="5" t="n">
        <v>995</v>
      </c>
      <c r="B996" s="2" t="inlineStr">
        <is>
          <t>GU-3247</t>
        </is>
      </c>
      <c r="C996" s="2" t="n"/>
      <c r="D996" s="2" t="inlineStr">
        <is>
          <t>LINK TO LOVE ミラー リング</t>
        </is>
      </c>
      <c r="E996" s="2" t="inlineStr">
        <is>
          <t>662194 J8500 5702</t>
        </is>
      </c>
      <c r="F996" s="2" t="inlineStr">
        <is>
          <t>18K ピンクゴールド</t>
        </is>
      </c>
      <c r="G996" s="10" t="inlineStr">
        <is>
          <t>7_8_9_10_11_12_13_14_15_16_17_18_19_20_21_22_23</t>
        </is>
      </c>
      <c r="H996" s="17" t="inlineStr">
        <is>
          <t>7_8_9_10_11_12_13_14_15_16_17_18_19_20_21_22_23</t>
        </is>
      </c>
      <c r="I996" s="18" t="n">
        <v>152900</v>
      </c>
      <c r="J996" s="19" t="n">
        <v>165000</v>
      </c>
      <c r="K996" s="20" t="n">
        <v>5</v>
      </c>
      <c r="L996" s="4" t="inlineStr">
        <is>
          <t>https://www.gucci.com/jp/ja/pr/jewellery-watches/gold-jewellery/gold-jewellery-for-women/gucci-link-to-love-mirrored-ring-p-662194J85005702</t>
        </is>
      </c>
      <c r="M996" s="5">
        <f t="array" ref="M996">_xlfn.IFS(J996="NOTFOUND",I996,J996&gt;=I996,J996)</f>
        <v/>
      </c>
    </row>
    <row r="997" ht="18" customHeight="1" s="16">
      <c r="A997" s="5" t="n">
        <v>996</v>
      </c>
      <c r="B997" s="2" t="inlineStr">
        <is>
          <t>GU-3248</t>
        </is>
      </c>
      <c r="C997" s="2" t="n"/>
      <c r="D997" s="2" t="inlineStr">
        <is>
          <t>LINK TO LOVE ブレスレット</t>
        </is>
      </c>
      <c r="E997" s="2" t="inlineStr">
        <is>
          <t>744562 J8500 5702</t>
        </is>
      </c>
      <c r="F997" s="2" t="inlineStr">
        <is>
          <t>18K ローズゴールド</t>
        </is>
      </c>
      <c r="G997" s="10" t="inlineStr">
        <is>
          <t>16</t>
        </is>
      </c>
      <c r="H997" s="17" t="inlineStr">
        <is>
          <t>16</t>
        </is>
      </c>
      <c r="I997" s="18" t="n">
        <v>264000</v>
      </c>
      <c r="J997" s="19" t="n">
        <v>275000</v>
      </c>
      <c r="K997" s="20" t="n">
        <v>5</v>
      </c>
      <c r="L997" s="4" t="inlineStr">
        <is>
          <t>https://www.gucci.com/jp/ja/pr/jewellery-watches/gold-jewellery/gold-jewellery-for-women/gucci-link-to-love-bracelet-p-744562J85005702</t>
        </is>
      </c>
      <c r="M997" s="5">
        <f t="array" ref="M997">_xlfn.IFS(J997="NOTFOUND",I997,J997&gt;=I997,J997)</f>
        <v/>
      </c>
    </row>
    <row r="998" ht="18" customHeight="1" s="16">
      <c r="A998" s="5" t="n">
        <v>997</v>
      </c>
      <c r="B998" s="2" t="inlineStr">
        <is>
          <t>GU-3249</t>
        </is>
      </c>
      <c r="C998" s="2" t="n"/>
      <c r="D998" s="2" t="inlineStr">
        <is>
          <t>LINK TO LOVE チェーン ネックレス</t>
        </is>
      </c>
      <c r="E998" s="2" t="inlineStr">
        <is>
          <t>745654 J8500 5702</t>
        </is>
      </c>
      <c r="F998" s="2" t="inlineStr">
        <is>
          <t>18K ピンクゴールド</t>
        </is>
      </c>
      <c r="G998" s="10" t="inlineStr">
        <is>
          <t>OneSize</t>
        </is>
      </c>
      <c r="H998" s="17" t="inlineStr">
        <is>
          <t>OneSize</t>
        </is>
      </c>
      <c r="I998" s="18" t="n">
        <v>473000</v>
      </c>
      <c r="J998" s="19" t="n">
        <v>484000</v>
      </c>
      <c r="K998" s="20" t="n">
        <v>5</v>
      </c>
      <c r="L998" s="4" t="inlineStr">
        <is>
          <t>https://www.gucci.com/jp/ja/pr/jewellery-watches/gold-jewellery/gold-jewellery-for-women/gucci-link-to-love-chain-necklace-p-745654J85005702</t>
        </is>
      </c>
      <c r="M998" s="5">
        <f t="array" ref="M998">_xlfn.IFS(J998="NOTFOUND",I998,J998&gt;=I998,J998)</f>
        <v/>
      </c>
    </row>
    <row r="999" ht="18" customHeight="1" s="16">
      <c r="A999" s="5" t="n">
        <v>998</v>
      </c>
      <c r="B999" s="2" t="inlineStr">
        <is>
          <t>GU-3250</t>
        </is>
      </c>
      <c r="C999" s="2" t="n"/>
      <c r="D999" s="2" t="inlineStr">
        <is>
          <t>LINK TO LOVE スタッズ ピアス</t>
        </is>
      </c>
      <c r="E999" s="2" t="inlineStr">
        <is>
          <t>786727 J8500 8000</t>
        </is>
      </c>
      <c r="F999" s="2" t="inlineStr">
        <is>
          <t>18K イエローゴールド</t>
        </is>
      </c>
      <c r="G999" s="10" t="inlineStr">
        <is>
          <t>OneSize</t>
        </is>
      </c>
      <c r="H999" s="17" t="inlineStr">
        <is>
          <t>OneSize</t>
        </is>
      </c>
      <c r="I999" s="18" t="n">
        <v>313500</v>
      </c>
      <c r="J999" s="19" t="n">
        <v>324500</v>
      </c>
      <c r="K999" s="20" t="n">
        <v>5</v>
      </c>
      <c r="L999" s="4" t="inlineStr">
        <is>
          <t>https://www.gucci.com/jp/ja/pr/jewellery-watches/gold-jewellery/gold-earrings/gucci-link-to-love-studded-earrings-p-786727J85008000</t>
        </is>
      </c>
      <c r="M999" s="5">
        <f t="array" ref="M999">_xlfn.IFS(J999="NOTFOUND",I999,J999&gt;=I999,J999)</f>
        <v/>
      </c>
    </row>
    <row r="1000" ht="18" customHeight="1" s="16">
      <c r="A1000" s="5" t="n">
        <v>999</v>
      </c>
      <c r="B1000" s="2" t="inlineStr">
        <is>
          <t>GU-3251</t>
        </is>
      </c>
      <c r="C1000" s="2" t="n"/>
      <c r="D1000" s="2" t="inlineStr">
        <is>
          <t>GGランニング 18K カフブレスレット</t>
        </is>
      </c>
      <c r="E1000" s="2" t="inlineStr">
        <is>
          <t>481663 J8500 5702</t>
        </is>
      </c>
      <c r="F1000" s="2" t="inlineStr">
        <is>
          <t>18K ピンクゴールド</t>
        </is>
      </c>
      <c r="G1000" s="10" t="inlineStr">
        <is>
          <t>16_17</t>
        </is>
      </c>
      <c r="H1000" s="17" t="inlineStr">
        <is>
          <t>16_17</t>
        </is>
      </c>
      <c r="I1000" s="18" t="n">
        <v>225500</v>
      </c>
      <c r="J1000" s="19" t="n">
        <v>236500</v>
      </c>
      <c r="K1000" s="20" t="n">
        <v>5</v>
      </c>
      <c r="L1000" s="4" t="inlineStr">
        <is>
          <t>https://www.gucci.com/jp/ja/pr/jewellery-watches/gold-jewellery/gold-jewellery-for-women/gg-running-18k-cuff-bracelet-p-481663J85005702</t>
        </is>
      </c>
      <c r="M1000" s="5">
        <f t="array" ref="M1000">_xlfn.IFS(J1000="NOTFOUND",I1000,J1000&gt;=I1000,J1000)</f>
        <v/>
      </c>
    </row>
    <row r="1001" ht="18" customHeight="1" s="16">
      <c r="A1001" s="5" t="n">
        <v>1000</v>
      </c>
      <c r="B1001" s="2" t="inlineStr">
        <is>
          <t>GU-3252</t>
        </is>
      </c>
      <c r="C1001" s="2" t="n"/>
      <c r="D1001" s="2" t="inlineStr">
        <is>
          <t>GGランニング 18K ネックレス</t>
        </is>
      </c>
      <c r="E1001" s="2" t="inlineStr">
        <is>
          <t>687118 J8500 5702</t>
        </is>
      </c>
      <c r="F1001" s="2" t="inlineStr">
        <is>
          <t>18K ピンクゴールド</t>
        </is>
      </c>
      <c r="G1001" s="10" t="inlineStr">
        <is>
          <t>OneSize</t>
        </is>
      </c>
      <c r="H1001" s="17" t="inlineStr">
        <is>
          <t>OneSize</t>
        </is>
      </c>
      <c r="I1001" s="18" t="n">
        <v>187000</v>
      </c>
      <c r="J1001" s="19" t="n">
        <v>198000</v>
      </c>
      <c r="K1001" s="20" t="n">
        <v>5</v>
      </c>
      <c r="L1001" s="4" t="inlineStr">
        <is>
          <t>https://www.gucci.com/jp/ja/pr/jewellery-watches/gold-jewellery/gold-jewellery-for-women/gg-running-18k-necklace-p-687118J85005702</t>
        </is>
      </c>
      <c r="M1001" s="5">
        <f t="array" ref="M1001">_xlfn.IFS(J1001="NOTFOUND",I1001,J1001&gt;=I1001,J1001)</f>
        <v/>
      </c>
    </row>
    <row r="1002" ht="18" customHeight="1" s="16">
      <c r="A1002" s="5" t="n">
        <v>1001</v>
      </c>
      <c r="B1002" s="2" t="inlineStr">
        <is>
          <t>GU-3253</t>
        </is>
      </c>
      <c r="C1002" s="2" t="n"/>
      <c r="D1002" s="2" t="inlineStr">
        <is>
          <t>GGランニング 18K ピアス</t>
        </is>
      </c>
      <c r="E1002" s="2" t="inlineStr">
        <is>
          <t>702801 J8500 5702</t>
        </is>
      </c>
      <c r="F1002" s="2" t="inlineStr">
        <is>
          <t xml:space="preserve">  -</t>
        </is>
      </c>
      <c r="G1002" s="10" t="inlineStr">
        <is>
          <t>OneSize</t>
        </is>
      </c>
      <c r="H1002" s="17" t="inlineStr">
        <is>
          <t>OneSize</t>
        </is>
      </c>
      <c r="I1002" s="18" t="n">
        <v>115500</v>
      </c>
      <c r="J1002" s="19" t="n">
        <v>121000</v>
      </c>
      <c r="K1002" s="20" t="n">
        <v>5</v>
      </c>
      <c r="L1002" s="4" t="inlineStr">
        <is>
          <t>https://www.gucci.com/jp/ja/pr/jewellery-watches/gold-jewellery/gold-jewellery-for-women/gg-running-18k-earrings-p-702801J85005702</t>
        </is>
      </c>
      <c r="M1002" s="5">
        <f t="array" ref="M1002">_xlfn.IFS(J1002="NOTFOUND",I1002,J1002&gt;=I1002,J1002)</f>
        <v/>
      </c>
    </row>
    <row r="1003" ht="18" customHeight="1" s="16">
      <c r="A1003" s="5" t="n">
        <v>1002</v>
      </c>
      <c r="B1003" s="2" t="inlineStr">
        <is>
          <t>GU-3254</t>
        </is>
      </c>
      <c r="C1003" s="2" t="n"/>
      <c r="D1003" s="2" t="inlineStr">
        <is>
          <t>GGランニング スタッズ ピアス</t>
        </is>
      </c>
      <c r="E1003" s="2" t="inlineStr">
        <is>
          <t>094074 09850 8000</t>
        </is>
      </c>
      <c r="F1003" s="2" t="inlineStr">
        <is>
          <t>18K イエローゴールド</t>
        </is>
      </c>
      <c r="G1003" s="10" t="inlineStr">
        <is>
          <t>OneSize</t>
        </is>
      </c>
      <c r="H1003" s="22" t="inlineStr">
        <is>
          <t>SOLD</t>
        </is>
      </c>
      <c r="I1003" s="18" t="n">
        <v>115500</v>
      </c>
      <c r="J1003" s="19" t="n">
        <v>121000</v>
      </c>
      <c r="K1003" s="20" t="n">
        <v>0</v>
      </c>
      <c r="L1003" s="4" t="inlineStr">
        <is>
          <t>https://www.gucci.com/jp/ja/pr/jewellery-watches/gold-jewellery/gold-jewellery-for-women/gg-running-stud-earrings-p-094074098508000</t>
        </is>
      </c>
      <c r="M1003" s="5">
        <f t="array" ref="M1003">_xlfn.IFS(J1003="NOTFOUND",I1003,J1003&gt;=I1003,J1003)</f>
        <v/>
      </c>
    </row>
    <row r="1004" ht="18" customHeight="1" s="16">
      <c r="A1004" s="5" t="n">
        <v>1003</v>
      </c>
      <c r="B1004" s="2" t="inlineStr">
        <is>
          <t>GU-3255</t>
        </is>
      </c>
      <c r="C1004" s="2" t="n"/>
      <c r="D1004" s="2" t="inlineStr">
        <is>
          <t>GGランニング 18K ネックレス</t>
        </is>
      </c>
      <c r="E1004" s="2" t="inlineStr">
        <is>
          <t>687118 J8500 8000</t>
        </is>
      </c>
      <c r="F1004" s="2" t="inlineStr">
        <is>
          <t>18K イエローゴールド</t>
        </is>
      </c>
      <c r="G1004" s="10" t="inlineStr">
        <is>
          <t>OneSize</t>
        </is>
      </c>
      <c r="H1004" s="17" t="inlineStr">
        <is>
          <t>OneSize</t>
        </is>
      </c>
      <c r="I1004" s="18" t="n">
        <v>187000</v>
      </c>
      <c r="J1004" s="19" t="n">
        <v>198000</v>
      </c>
      <c r="K1004" s="20" t="n">
        <v>5</v>
      </c>
      <c r="L1004" s="4" t="inlineStr">
        <is>
          <t>https://www.gucci.com/jp/ja/pr/jewellery-watches/gold-jewellery/gold-jewellery-for-women/gg-running-18k-necklace-p-687118J85008000</t>
        </is>
      </c>
      <c r="M1004" s="5">
        <f t="array" ref="M1004">_xlfn.IFS(J1004="NOTFOUND",I1004,J1004&gt;=I1004,J1004)</f>
        <v/>
      </c>
    </row>
    <row r="1005" ht="18" customHeight="1" s="16">
      <c r="A1005" s="5" t="n">
        <v>1004</v>
      </c>
      <c r="B1005" s="2" t="inlineStr">
        <is>
          <t>GU-3256</t>
        </is>
      </c>
      <c r="C1005" s="2" t="n"/>
      <c r="D1005" s="2" t="inlineStr">
        <is>
          <t>ダブルG イエローゴールドブレスレット</t>
        </is>
      </c>
      <c r="E1005" s="2" t="inlineStr">
        <is>
          <t>481663 J8500 8000</t>
        </is>
      </c>
      <c r="F1005" s="2" t="inlineStr">
        <is>
          <t>18K イエローゴールド</t>
        </is>
      </c>
      <c r="G1005" s="10" t="inlineStr">
        <is>
          <t>16_17_18</t>
        </is>
      </c>
      <c r="H1005" s="17" t="inlineStr">
        <is>
          <t>16_17_18</t>
        </is>
      </c>
      <c r="I1005" s="18" t="n">
        <v>225500</v>
      </c>
      <c r="J1005" s="19" t="n">
        <v>236500</v>
      </c>
      <c r="K1005" s="20" t="n">
        <v>5</v>
      </c>
      <c r="L1005" s="4" t="inlineStr">
        <is>
          <t>https://www.gucci.com/jp/ja/pr/jewellery-watches/gold-jewellery/gold-jewellery-for-women/gg-running-yellow-gold-cuff-p-481663J85008000</t>
        </is>
      </c>
      <c r="M1005" s="5">
        <f t="array" ref="M1005">_xlfn.IFS(J1005="NOTFOUND",I1005,J1005&gt;=I1005,J1005)</f>
        <v/>
      </c>
    </row>
    <row r="1006" ht="18" customHeight="1" s="16">
      <c r="A1006" s="5" t="n">
        <v>1005</v>
      </c>
      <c r="B1006" s="2" t="inlineStr">
        <is>
          <t>GU-3257</t>
        </is>
      </c>
      <c r="C1006" s="2" t="n"/>
      <c r="D1006" s="2" t="inlineStr">
        <is>
          <t>インターロッキング 18K ダイヤモンド リング</t>
        </is>
      </c>
      <c r="E1006" s="2" t="inlineStr">
        <is>
          <t>786764 J85I0 8070</t>
        </is>
      </c>
      <c r="F1006" s="2" t="inlineStr">
        <is>
          <t xml:space="preserve">  -</t>
        </is>
      </c>
      <c r="G1006" s="10" t="inlineStr">
        <is>
          <t>8_9_10_11_12_13_14_15_16</t>
        </is>
      </c>
      <c r="H1006" s="17" t="inlineStr">
        <is>
          <t>8_9_10_11_12_13_14_15_16</t>
        </is>
      </c>
      <c r="I1006" s="18" t="n">
        <v>379500</v>
      </c>
      <c r="J1006" s="19" t="n">
        <v>390500</v>
      </c>
      <c r="K1006" s="20" t="n">
        <v>5</v>
      </c>
      <c r="L1006" s="4" t="inlineStr">
        <is>
          <t>https://www.gucci.com/jp/ja/pr/jewellery-watches/gold-jewellery/gold-rings/gucci-interlocking-18k-diamond-ring-p-786764J85I08070</t>
        </is>
      </c>
      <c r="M1006" s="5">
        <f t="array" ref="M1006">_xlfn.IFS(J1006="NOTFOUND",I1006,J1006&gt;=I1006,J1006)</f>
        <v/>
      </c>
    </row>
    <row r="1007" ht="18" customHeight="1" s="16">
      <c r="A1007" s="5" t="n">
        <v>1006</v>
      </c>
      <c r="B1007" s="2" t="inlineStr">
        <is>
          <t>GU-3258</t>
        </is>
      </c>
      <c r="C1007" s="2" t="n"/>
      <c r="D1007" s="2" t="inlineStr">
        <is>
          <t>インターロッキング 18K ダイヤモンド ブレスレット</t>
        </is>
      </c>
      <c r="E1007" s="2" t="inlineStr">
        <is>
          <t>786749 J85I0 8070</t>
        </is>
      </c>
      <c r="F1007" s="2" t="inlineStr">
        <is>
          <t xml:space="preserve">  -</t>
        </is>
      </c>
      <c r="G1007" s="10" t="inlineStr">
        <is>
          <t>16_17</t>
        </is>
      </c>
      <c r="H1007" s="17" t="inlineStr">
        <is>
          <t>16_17</t>
        </is>
      </c>
      <c r="I1007" s="18" t="n">
        <v>391600</v>
      </c>
      <c r="J1007" s="19" t="n">
        <v>407000</v>
      </c>
      <c r="K1007" s="20" t="n">
        <v>5</v>
      </c>
      <c r="L1007" s="4" t="inlineStr">
        <is>
          <t>https://www.gucci.com/jp/ja/pr/jewellery-watches/gold-jewellery/gold-bracelets/gucci-interlocking-18k-diamond-bracelet-p-786749J85I08070</t>
        </is>
      </c>
      <c r="M1007" s="5">
        <f t="array" ref="M1007">_xlfn.IFS(J1007="NOTFOUND",I1007,J1007&gt;=I1007,J1007)</f>
        <v/>
      </c>
    </row>
    <row r="1008" ht="18" customHeight="1" s="16">
      <c r="A1008" s="5" t="n">
        <v>1007</v>
      </c>
      <c r="B1008" s="2" t="inlineStr">
        <is>
          <t>GU-3259</t>
        </is>
      </c>
      <c r="C1008" s="2" t="n"/>
      <c r="D1008" s="2" t="inlineStr">
        <is>
          <t>インターロッキング ダイヤモンド リング</t>
        </is>
      </c>
      <c r="E1008" s="2" t="inlineStr">
        <is>
          <t>729412 J8540 8000</t>
        </is>
      </c>
      <c r="F1008" s="2" t="inlineStr">
        <is>
          <t>18K イエローゴールド</t>
        </is>
      </c>
      <c r="G1008" s="10" t="inlineStr">
        <is>
          <t>7_8_9_10_11_12_13_14</t>
        </is>
      </c>
      <c r="H1008" s="17" t="inlineStr">
        <is>
          <t>7_8_9_10_11_12_13_14</t>
        </is>
      </c>
      <c r="I1008" s="18" t="n">
        <v>258500</v>
      </c>
      <c r="J1008" s="19" t="n">
        <v>269500</v>
      </c>
      <c r="K1008" s="20" t="n">
        <v>5</v>
      </c>
      <c r="L1008" s="4" t="inlineStr">
        <is>
          <t>https://www.gucci.com/jp/ja/pr/jewellery-watches/gold-jewellery/gold-jewellery-for-women/gucci-interlocking-diamond-ring-p-729412J85408000</t>
        </is>
      </c>
      <c r="M1008" s="5">
        <f t="array" ref="M1008">_xlfn.IFS(J1008="NOTFOUND",I1008,J1008&gt;=I1008,J1008)</f>
        <v/>
      </c>
    </row>
    <row r="1009" ht="18" customHeight="1" s="16">
      <c r="A1009" s="5" t="n">
        <v>1008</v>
      </c>
      <c r="B1009" s="2" t="inlineStr">
        <is>
          <t>GU-3260</t>
        </is>
      </c>
      <c r="C1009" s="2" t="n"/>
      <c r="D1009" s="2" t="inlineStr">
        <is>
          <t>インターロッキング ダイヤモンド付き スタッズ</t>
        </is>
      </c>
      <c r="E1009" s="2" t="inlineStr">
        <is>
          <t>729408 J8540 8000</t>
        </is>
      </c>
      <c r="F1009" s="2" t="inlineStr">
        <is>
          <t>18K イエローゴールド</t>
        </is>
      </c>
      <c r="G1009" s="10" t="inlineStr">
        <is>
          <t>OneSize</t>
        </is>
      </c>
      <c r="H1009" s="17" t="inlineStr">
        <is>
          <t>OneSize</t>
        </is>
      </c>
      <c r="I1009" s="18" t="n">
        <v>462000</v>
      </c>
      <c r="J1009" s="19" t="n">
        <v>478500</v>
      </c>
      <c r="K1009" s="20" t="n">
        <v>5</v>
      </c>
      <c r="L1009" s="4" t="inlineStr">
        <is>
          <t>https://www.gucci.com/jp/ja/pr/jewellery-watches/gold-jewellery/gold-jewellery-for-women/gucci-interlocking-studs-with-diamonds-p-729408J85408000</t>
        </is>
      </c>
      <c r="M1009" s="5">
        <f t="array" ref="M1009">_xlfn.IFS(J1009="NOTFOUND",I1009,J1009&gt;=I1009,J1009)</f>
        <v/>
      </c>
    </row>
    <row r="1010" ht="18" customHeight="1" s="16">
      <c r="A1010" s="5" t="n">
        <v>1009</v>
      </c>
      <c r="B1010" s="2" t="inlineStr">
        <is>
          <t>GU-3261</t>
        </is>
      </c>
      <c r="C1010" s="2" t="n"/>
      <c r="D1010" s="2" t="inlineStr">
        <is>
          <t>インターロッキング ダイヤモンド ブレスレット</t>
        </is>
      </c>
      <c r="E1010" s="2" t="inlineStr">
        <is>
          <t>729403 J8540 8000</t>
        </is>
      </c>
      <c r="F1010" s="2" t="inlineStr">
        <is>
          <t>18K イエローゴールド</t>
        </is>
      </c>
      <c r="G1010" s="10" t="inlineStr">
        <is>
          <t>16_17</t>
        </is>
      </c>
      <c r="H1010" s="17" t="inlineStr">
        <is>
          <t>16_17</t>
        </is>
      </c>
      <c r="I1010" s="18" t="n">
        <v>379500</v>
      </c>
      <c r="J1010" s="19" t="n">
        <v>390500</v>
      </c>
      <c r="K1010" s="20" t="n">
        <v>5</v>
      </c>
      <c r="L1010" s="4" t="inlineStr">
        <is>
          <t>https://www.gucci.com/jp/ja/pr/jewellery-watches/gold-jewellery/gold-jewellery-for-women/gucci-interlocking-diamond-bracelet-p-729403J85408000</t>
        </is>
      </c>
      <c r="M1010" s="5">
        <f t="array" ref="M1010">_xlfn.IFS(J1010="NOTFOUND",I1010,J1010&gt;=I1010,J1010)</f>
        <v/>
      </c>
    </row>
    <row r="1011" ht="18" customHeight="1" s="16">
      <c r="A1011" s="5" t="n">
        <v>1010</v>
      </c>
      <c r="B1011" s="2" t="inlineStr">
        <is>
          <t>GU-3262</t>
        </is>
      </c>
      <c r="C1011" s="2" t="n"/>
      <c r="D1011" s="2" t="inlineStr">
        <is>
          <t>インターロッキング ダイヤモンド ネックレス</t>
        </is>
      </c>
      <c r="E1011" s="2" t="inlineStr">
        <is>
          <t>729402 J8540 8000</t>
        </is>
      </c>
      <c r="F1011" s="2" t="inlineStr">
        <is>
          <t>18K イエローゴールド</t>
        </is>
      </c>
      <c r="G1011" s="10" t="inlineStr">
        <is>
          <t>OneSize</t>
        </is>
      </c>
      <c r="H1011" s="17" t="inlineStr">
        <is>
          <t>OneSize</t>
        </is>
      </c>
      <c r="I1011" s="18" t="n">
        <v>473000</v>
      </c>
      <c r="J1011" s="19" t="n">
        <v>484000</v>
      </c>
      <c r="K1011" s="20" t="n">
        <v>5</v>
      </c>
      <c r="L1011" s="4" t="inlineStr">
        <is>
          <t>https://www.gucci.com/jp/ja/pr/jewellery-watches/gold-jewellery/gold-jewellery-for-women/gucci-interlocking-diamond-necklace-p-729402J85408000</t>
        </is>
      </c>
      <c r="M1011" s="5">
        <f t="array" ref="M1011">_xlfn.IFS(J1011="NOTFOUND",I1011,J1011&gt;=I1011,J1011)</f>
        <v/>
      </c>
    </row>
    <row r="1012" ht="18" customHeight="1" s="16">
      <c r="A1012" s="5" t="n">
        <v>1011</v>
      </c>
      <c r="B1012" s="2" t="inlineStr">
        <is>
          <t>GU-3263</t>
        </is>
      </c>
      <c r="C1012" s="2" t="n"/>
      <c r="D1012" s="2" t="inlineStr">
        <is>
          <t>アイコン ダイヤモンド付き 18K ハート リング</t>
        </is>
      </c>
      <c r="E1012" s="2" t="inlineStr">
        <is>
          <t>727892 J8540 5702</t>
        </is>
      </c>
      <c r="F1012" s="2" t="inlineStr">
        <is>
          <t>18K ピンクゴールド</t>
        </is>
      </c>
      <c r="G1012" s="10" t="inlineStr">
        <is>
          <t>9_10_11_12_13_14_15_16_17</t>
        </is>
      </c>
      <c r="H1012" s="17" t="inlineStr">
        <is>
          <t>9_10_11_12_13_14_15_16_17</t>
        </is>
      </c>
      <c r="I1012" s="18" t="n">
        <v>225500</v>
      </c>
      <c r="J1012" s="19" t="n">
        <v>236500</v>
      </c>
      <c r="K1012" s="20" t="n">
        <v>5</v>
      </c>
      <c r="L1012" s="4" t="inlineStr">
        <is>
          <t>https://www.gucci.com/jp/ja/pr/jewellery-watches/gold-jewellery/gold-jewellery-for-women/icon-18k-diamond-heart-ring-p-727892J85405702</t>
        </is>
      </c>
      <c r="M1012" s="5">
        <f t="array" ref="M1012">_xlfn.IFS(J1012="NOTFOUND",I1012,J1012&gt;=I1012,J1012)</f>
        <v/>
      </c>
    </row>
    <row r="1013" ht="18" customHeight="1" s="16">
      <c r="A1013" s="5" t="n">
        <v>1012</v>
      </c>
      <c r="B1013" s="2" t="inlineStr">
        <is>
          <t>GU-3264</t>
        </is>
      </c>
      <c r="C1013" s="2" t="n"/>
      <c r="D1013" s="2" t="inlineStr">
        <is>
          <t>アイコン ダイヤモンド付き 18K ハート リング</t>
        </is>
      </c>
      <c r="E1013" s="2" t="inlineStr">
        <is>
          <t>727892 J8540 8000</t>
        </is>
      </c>
      <c r="F1013" s="2" t="inlineStr">
        <is>
          <t>18K イエローゴールド</t>
        </is>
      </c>
      <c r="G1013" s="10" t="inlineStr">
        <is>
          <t>8_9_10_11_12_13_14_15_16_17_20</t>
        </is>
      </c>
      <c r="H1013" s="17" t="inlineStr">
        <is>
          <t>8_9_10_11_12_13_14_15_16_17</t>
        </is>
      </c>
      <c r="I1013" s="18" t="n">
        <v>225500</v>
      </c>
      <c r="J1013" s="19" t="n">
        <v>236500</v>
      </c>
      <c r="K1013" s="20" t="n">
        <v>5</v>
      </c>
      <c r="L1013" s="4" t="inlineStr">
        <is>
          <t>https://www.gucci.com/jp/ja/pr/jewellery-watches/gold-jewellery/gold-jewellery-for-women/icon-18k-diamond-heart-ring-p-727892J85408000</t>
        </is>
      </c>
      <c r="M1013" s="5">
        <f t="array" ref="M1013">_xlfn.IFS(J1013="NOTFOUND",I1013,J1013&gt;=I1013,J1013)</f>
        <v/>
      </c>
    </row>
    <row r="1014" ht="18" customHeight="1" s="16">
      <c r="A1014" s="5" t="n">
        <v>1013</v>
      </c>
      <c r="B1014" s="2" t="inlineStr">
        <is>
          <t>GU-3265</t>
        </is>
      </c>
      <c r="C1014" s="2" t="n"/>
      <c r="D1014" s="2" t="inlineStr">
        <is>
          <t>アイコン  18K スリムリング</t>
        </is>
      </c>
      <c r="E1014" s="2" t="inlineStr">
        <is>
          <t>660070 J8502 9000</t>
        </is>
      </c>
      <c r="F1014" s="2" t="inlineStr">
        <is>
          <t>ホワイトゴールド</t>
        </is>
      </c>
      <c r="G1014" s="10" t="inlineStr">
        <is>
          <t>5_6_7_8_9_10_11_12_13_14_15_16_17_18_19_20_21_22_23_24_3</t>
        </is>
      </c>
      <c r="H1014" s="17" t="inlineStr">
        <is>
          <t>5_6_7_8_9_10_11_12_13_14_15_16_17_18_19_20_21_22_23_24_3</t>
        </is>
      </c>
      <c r="I1014" s="18" t="n">
        <v>176000</v>
      </c>
      <c r="J1014" s="19" t="n">
        <v>187000</v>
      </c>
      <c r="K1014" s="20" t="n">
        <v>5</v>
      </c>
      <c r="L1014" s="4" t="inlineStr">
        <is>
          <t>https://www.gucci.com/jp/ja/pr/jewellery-watches/gold-jewellery/gold-jewellery-for-women/icon-thin-18k-ring-p-660070J85029000</t>
        </is>
      </c>
      <c r="M1014" s="5">
        <f t="array" ref="M1014">_xlfn.IFS(J1014="NOTFOUND",I1014,J1014&gt;=I1014,J1014)</f>
        <v/>
      </c>
    </row>
    <row r="1015" ht="18" customHeight="1" s="16">
      <c r="A1015" s="5" t="n">
        <v>1014</v>
      </c>
      <c r="B1015" s="2" t="inlineStr">
        <is>
          <t>GU-3266</t>
        </is>
      </c>
      <c r="C1015" s="2" t="n"/>
      <c r="D1015" s="2" t="inlineStr">
        <is>
          <t>アイコン イエローゴールド リング</t>
        </is>
      </c>
      <c r="E1015" s="2" t="inlineStr">
        <is>
          <t>660070 J8500 8000</t>
        </is>
      </c>
      <c r="F1015" s="2" t="inlineStr">
        <is>
          <t>18K イエローゴールド</t>
        </is>
      </c>
      <c r="G1015" s="10" t="inlineStr">
        <is>
          <t>7_8_9_10_11_12_13_14_15_16_17_18_19_20_21_22_23_24_25</t>
        </is>
      </c>
      <c r="H1015" s="17" t="inlineStr">
        <is>
          <t>7_8_9_10_11_12_13_14_15_16_17_18_19_20_21_22_23_24_25</t>
        </is>
      </c>
      <c r="I1015" s="18" t="n">
        <v>165000</v>
      </c>
      <c r="J1015" s="19" t="n">
        <v>173800</v>
      </c>
      <c r="K1015" s="20" t="n">
        <v>5</v>
      </c>
      <c r="L1015" s="4" t="inlineStr">
        <is>
          <t>https://www.gucci.com/jp/ja/pr/jewellery-watches/gold-jewellery/gold-jewellery-for-women/icon-thin-band-p-660070J85008000</t>
        </is>
      </c>
      <c r="M1015" s="5">
        <f t="array" ref="M1015">_xlfn.IFS(J1015="NOTFOUND",I1015,J1015&gt;=I1015,J1015)</f>
        <v/>
      </c>
    </row>
    <row r="1016" ht="18" customHeight="1" s="16">
      <c r="A1016" s="5" t="n">
        <v>1015</v>
      </c>
      <c r="B1016" s="2" t="inlineStr">
        <is>
          <t>GU-3267</t>
        </is>
      </c>
      <c r="C1016" s="2" t="n"/>
      <c r="D1016" s="2" t="inlineStr">
        <is>
          <t>アイコン スター ホワイトゴールド リング</t>
        </is>
      </c>
      <c r="E1016" s="2" t="inlineStr">
        <is>
          <t>607339 J8502 9000</t>
        </is>
      </c>
      <c r="F1016" s="2" t="inlineStr">
        <is>
          <t>18K ホワイトゴールド</t>
        </is>
      </c>
      <c r="G1016" s="10" t="inlineStr">
        <is>
          <t>8_9_10_11_12_13_14_15_16_17_18_19_20_21_22_23</t>
        </is>
      </c>
      <c r="H1016" s="17" t="inlineStr">
        <is>
          <t>8_9_10_11_12_13_14_15_16_17_18_19_20_21_22_23</t>
        </is>
      </c>
      <c r="I1016" s="18" t="n">
        <v>181500</v>
      </c>
      <c r="J1016" s="19" t="n">
        <v>192500</v>
      </c>
      <c r="K1016" s="20" t="n">
        <v>5</v>
      </c>
      <c r="L1016" s="4" t="inlineStr">
        <is>
          <t>https://www.gucci.com/jp/ja/pr/jewellery-watches/gold-jewellery/gold-jewellery-for-women/icon-white-gold-ring-with-stars-p-607339J85029000</t>
        </is>
      </c>
      <c r="M1016" s="5">
        <f t="array" ref="M1016">_xlfn.IFS(J1016="NOTFOUND",I1016,J1016&gt;=I1016,J1016)</f>
        <v/>
      </c>
    </row>
    <row r="1017" ht="18" customHeight="1" s="16">
      <c r="A1017" s="5" t="n">
        <v>1016</v>
      </c>
      <c r="B1017" s="2" t="inlineStr">
        <is>
          <t>GU-3268</t>
        </is>
      </c>
      <c r="C1017" s="2" t="n"/>
      <c r="D1017" s="2" t="inlineStr">
        <is>
          <t>アイコン スター イエローゴールド リング</t>
        </is>
      </c>
      <c r="E1017" s="2" t="inlineStr">
        <is>
          <t>607339 J8500 8000</t>
        </is>
      </c>
      <c r="F1017" s="2" t="inlineStr">
        <is>
          <t>18K ホワイトゴールド</t>
        </is>
      </c>
      <c r="G1017" s="10" t="inlineStr">
        <is>
          <t>8_9_10_11_12_13_14_15_16_17_18_19_20_21_22_23</t>
        </is>
      </c>
      <c r="H1017" s="17" t="inlineStr">
        <is>
          <t>8_9_10_11_12_13_14_15_16_17_18_19_20_21_22_23</t>
        </is>
      </c>
      <c r="I1017" s="18" t="n">
        <v>176000</v>
      </c>
      <c r="J1017" s="19" t="n">
        <v>187000</v>
      </c>
      <c r="K1017" s="20" t="n">
        <v>5</v>
      </c>
      <c r="L1017" s="4" t="inlineStr">
        <is>
          <t>https://www.gucci.com/jp/ja/pr/jewellery-watches/gold-jewellery/gold-jewellery-for-women/icon-yellow-gold-ring-with-stars-p-607339J85008000</t>
        </is>
      </c>
      <c r="M1017" s="5">
        <f t="array" ref="M1017">_xlfn.IFS(J1017="NOTFOUND",I1017,J1017&gt;=I1017,J1017)</f>
        <v/>
      </c>
    </row>
    <row r="1018" ht="18" customHeight="1" s="16">
      <c r="A1018" s="5" t="n">
        <v>1017</v>
      </c>
      <c r="B1018" s="2" t="inlineStr">
        <is>
          <t>GU-3269</t>
        </is>
      </c>
      <c r="C1018" s="2" t="n"/>
      <c r="D1018" s="2" t="inlineStr">
        <is>
          <t>LINK TO LOVE スタッズ ピアス</t>
        </is>
      </c>
      <c r="E1018" s="2" t="inlineStr">
        <is>
          <t>786727 J8500 5702</t>
        </is>
      </c>
      <c r="F1018" s="2" t="inlineStr">
        <is>
          <t>18K ピンクゴールド</t>
        </is>
      </c>
      <c r="G1018" s="10" t="inlineStr">
        <is>
          <t>OneSize</t>
        </is>
      </c>
      <c r="H1018" s="17" t="inlineStr">
        <is>
          <t>OneSize</t>
        </is>
      </c>
      <c r="I1018" s="18" t="n">
        <v>313500</v>
      </c>
      <c r="J1018" s="19" t="n">
        <v>324500</v>
      </c>
      <c r="K1018" s="20" t="n">
        <v>5</v>
      </c>
      <c r="L1018" s="4" t="inlineStr">
        <is>
          <t>https://www.gucci.com/jp/ja/pr/jewellery-watches/gold-jewellery/gold-earrings/gucci-link-to-love-studded-earrings-p-786727J85005702</t>
        </is>
      </c>
      <c r="M1018" s="5">
        <f t="array" ref="M1018">_xlfn.IFS(J1018="NOTFOUND",I1018,J1018&gt;=I1018,J1018)</f>
        <v/>
      </c>
    </row>
    <row r="1019" ht="18" customHeight="1" s="16">
      <c r="A1019" s="5" t="n">
        <v>1018</v>
      </c>
      <c r="B1019" s="2" t="inlineStr">
        <is>
          <t>GU-3270</t>
        </is>
      </c>
      <c r="C1019" s="2" t="n"/>
      <c r="D1019" s="2" t="inlineStr">
        <is>
          <t>LINK TO LOVE 18K ネックレス</t>
        </is>
      </c>
      <c r="E1019" s="2" t="inlineStr">
        <is>
          <t>745654 J8500 8000</t>
        </is>
      </c>
      <c r="F1019" s="2" t="inlineStr">
        <is>
          <t>18K イエローゴールド</t>
        </is>
      </c>
      <c r="G1019" s="10" t="inlineStr">
        <is>
          <t>OneSize</t>
        </is>
      </c>
      <c r="H1019" s="17" t="inlineStr">
        <is>
          <t>OneSize</t>
        </is>
      </c>
      <c r="I1019" s="18" t="n">
        <v>473000</v>
      </c>
      <c r="J1019" s="19" t="n">
        <v>484000</v>
      </c>
      <c r="K1019" s="20" t="n">
        <v>5</v>
      </c>
      <c r="L1019" s="4" t="inlineStr">
        <is>
          <t>https://www.gucci.com/jp/ja/pr/jewellery-watches/gold-jewellery/gold-jewellery-for-women/gucci-link-to-love-18k-necklace-p-745654J85008000</t>
        </is>
      </c>
      <c r="M1019" s="5">
        <f t="array" ref="M1019">_xlfn.IFS(J1019="NOTFOUND",I1019,J1019&gt;=I1019,J1019)</f>
        <v/>
      </c>
    </row>
    <row r="1020" ht="18" customHeight="1" s="16">
      <c r="A1020" s="5" t="n">
        <v>1019</v>
      </c>
      <c r="B1020" s="2" t="inlineStr">
        <is>
          <t>GU-3271</t>
        </is>
      </c>
      <c r="C1020" s="2" t="n"/>
      <c r="D1020" s="2" t="inlineStr">
        <is>
          <t>LINK TO LOVE 18K ブレスレット</t>
        </is>
      </c>
      <c r="E1020" s="2" t="inlineStr">
        <is>
          <t>744562 J8500 8000</t>
        </is>
      </c>
      <c r="F1020" s="2" t="inlineStr">
        <is>
          <t>18K イエローゴールド</t>
        </is>
      </c>
      <c r="G1020" s="10" t="inlineStr">
        <is>
          <t>16_17</t>
        </is>
      </c>
      <c r="H1020" s="17" t="inlineStr">
        <is>
          <t>16_17_18</t>
        </is>
      </c>
      <c r="I1020" s="18" t="n">
        <v>264000</v>
      </c>
      <c r="J1020" s="19" t="n">
        <v>275000</v>
      </c>
      <c r="K1020" s="20" t="n">
        <v>5</v>
      </c>
      <c r="L1020" s="4" t="inlineStr">
        <is>
          <t>https://www.gucci.com/jp/ja/pr/jewellery-watches/gold-jewellery/gold-jewellery-for-women/gucci-link-to-love-18k-bracelet-p-744562J85008000</t>
        </is>
      </c>
      <c r="M1020" s="5">
        <f t="array" ref="M1020">_xlfn.IFS(J1020="NOTFOUND",I1020,J1020&gt;=I1020,J1020)</f>
        <v/>
      </c>
    </row>
    <row r="1021" ht="18" customHeight="1" s="16">
      <c r="A1021" s="5" t="n">
        <v>1020</v>
      </c>
      <c r="B1021" s="2" t="inlineStr">
        <is>
          <t>GU-3272</t>
        </is>
      </c>
      <c r="C1021" s="2" t="n"/>
      <c r="D1021" s="2" t="inlineStr">
        <is>
          <t>LINK TO LOVE トルマリン リング</t>
        </is>
      </c>
      <c r="E1021" s="2" t="inlineStr">
        <is>
          <t>662256 J85H0 8268</t>
        </is>
      </c>
      <c r="F1021" s="2" t="inlineStr">
        <is>
          <t xml:space="preserve">  -</t>
        </is>
      </c>
      <c r="G1021" s="10" t="inlineStr">
        <is>
          <t>6_7_8_9_10_11_12_13_14_15_18</t>
        </is>
      </c>
      <c r="H1021" s="17" t="inlineStr">
        <is>
          <t>6_7_8_9_10_11_12_13_14_15_18</t>
        </is>
      </c>
      <c r="I1021" s="18" t="n">
        <v>391600</v>
      </c>
      <c r="J1021" s="19" t="n">
        <v>407000</v>
      </c>
      <c r="K1021" s="20" t="n">
        <v>5</v>
      </c>
      <c r="L1021" s="4" t="inlineStr">
        <is>
          <t>https://www.gucci.com/jp/ja/pr/jewellery-watches/gold-jewellery/gold-jewellery-for-women/gucci-link-to-love-tourmaline-ring-p-662256J85H08268</t>
        </is>
      </c>
      <c r="M1021" s="5">
        <f t="array" ref="M1021">_xlfn.IFS(J1021="NOTFOUND",I1021,J1021&gt;=I1021,J1021)</f>
        <v/>
      </c>
    </row>
    <row r="1022" ht="18" customHeight="1" s="16">
      <c r="A1022" s="5" t="n">
        <v>1021</v>
      </c>
      <c r="B1022" s="2" t="inlineStr">
        <is>
          <t>GU-3273</t>
        </is>
      </c>
      <c r="C1022" s="2" t="n"/>
      <c r="D1022" s="2" t="inlineStr">
        <is>
          <t>LINK TO LOVE ミラー リング</t>
        </is>
      </c>
      <c r="E1022" s="2" t="inlineStr">
        <is>
          <t>662194 J8502 9000</t>
        </is>
      </c>
      <c r="F1022" s="2" t="inlineStr">
        <is>
          <t>18K ホワイトゴールド</t>
        </is>
      </c>
      <c r="G1022" s="10" t="inlineStr">
        <is>
          <t>7_8_9_10_11_12_13_14_15_16_17_18_19_20_21_22_23_24</t>
        </is>
      </c>
      <c r="H1022" s="17" t="inlineStr">
        <is>
          <t>7_8_9_10_11_12_13_14_15_16_17_18_19_20_21_22_23_24</t>
        </is>
      </c>
      <c r="I1022" s="18" t="n">
        <v>159500</v>
      </c>
      <c r="J1022" s="19" t="n">
        <v>170500</v>
      </c>
      <c r="K1022" s="20" t="n">
        <v>5</v>
      </c>
      <c r="L1022" s="4" t="inlineStr">
        <is>
          <t>https://www.gucci.com/jp/ja/pr/jewellery-watches/gold-jewellery/gold-jewellery-for-women/gucci-link-to-love-mirrored-ring-p-662194J85029000</t>
        </is>
      </c>
      <c r="M1022" s="5">
        <f t="array" ref="M1022">_xlfn.IFS(J1022="NOTFOUND",I1022,J1022&gt;=I1022,J1022)</f>
        <v/>
      </c>
    </row>
    <row r="1023" ht="18" customHeight="1" s="16">
      <c r="A1023" s="5" t="n">
        <v>1022</v>
      </c>
      <c r="B1023" s="2" t="inlineStr">
        <is>
          <t>GU-3274</t>
        </is>
      </c>
      <c r="C1023" s="2" t="n"/>
      <c r="D1023" s="2" t="inlineStr">
        <is>
          <t>LINK TO LOVE ミラー リング</t>
        </is>
      </c>
      <c r="E1023" s="2" t="inlineStr">
        <is>
          <t>662194 J8500 8000</t>
        </is>
      </c>
      <c r="F1023" s="2" t="inlineStr">
        <is>
          <t>18K イエローゴールド</t>
        </is>
      </c>
      <c r="G1023" s="10" t="inlineStr">
        <is>
          <t>6_8_9_10_11_12_13_14_15_16_17_18_19_20_21_22_23_24</t>
        </is>
      </c>
      <c r="H1023" s="17" t="inlineStr">
        <is>
          <t>8_9_10_11_12_13_14_15_16_17_18_19_20_21_22_23_24</t>
        </is>
      </c>
      <c r="I1023" s="18" t="n">
        <v>152900</v>
      </c>
      <c r="J1023" s="19" t="n">
        <v>165000</v>
      </c>
      <c r="K1023" s="20" t="n">
        <v>5</v>
      </c>
      <c r="L1023" s="4" t="inlineStr">
        <is>
          <t>https://www.gucci.com/jp/ja/pr/jewellery-watches/gold-jewellery/gold-jewellery-for-women/gucci-link-to-love-mirrored-ring-p-662194J85008000</t>
        </is>
      </c>
      <c r="M1023" s="5">
        <f t="array" ref="M1023">_xlfn.IFS(J1023="NOTFOUND",I1023,J1023&gt;=I1023,J1023)</f>
        <v/>
      </c>
    </row>
    <row r="1024" ht="18" customHeight="1" s="16">
      <c r="A1024" s="5" t="n">
        <v>1023</v>
      </c>
      <c r="B1024" s="2" t="inlineStr">
        <is>
          <t>GU-3275</t>
        </is>
      </c>
      <c r="C1024" s="2" t="n"/>
      <c r="D1024" s="2" t="inlineStr">
        <is>
          <t>LINK TO LOVE スタッズ リング</t>
        </is>
      </c>
      <c r="E1024" s="2" t="inlineStr">
        <is>
          <t>662188 J8500 8000</t>
        </is>
      </c>
      <c r="F1024" s="2" t="inlineStr">
        <is>
          <t>18K イエローゴールド</t>
        </is>
      </c>
      <c r="G1024" s="10" t="inlineStr">
        <is>
          <t>10_11_12_13_14_15_16_17_18_19_20_21_22</t>
        </is>
      </c>
      <c r="H1024" s="17" t="inlineStr">
        <is>
          <t>10_11_12_13_14_15_16_17_18_19_20_21_22</t>
        </is>
      </c>
      <c r="I1024" s="18" t="n">
        <v>280500</v>
      </c>
      <c r="J1024" s="19" t="n">
        <v>291500</v>
      </c>
      <c r="K1024" s="20" t="n">
        <v>5</v>
      </c>
      <c r="L1024" s="4" t="inlineStr">
        <is>
          <t>https://www.gucci.com/jp/ja/pr/jewellery-watches/gold-jewellery/gold-jewellery-for-women/gucci-link-to-love-studded-ring-p-662188J85008000</t>
        </is>
      </c>
      <c r="M1024" s="5">
        <f t="array" ref="M1024">_xlfn.IFS(J1024="NOTFOUND",I1024,J1024&gt;=I1024,J1024)</f>
        <v/>
      </c>
    </row>
    <row r="1025" ht="18" customHeight="1" s="16">
      <c r="A1025" s="5" t="n">
        <v>1024</v>
      </c>
      <c r="B1025" s="2" t="inlineStr">
        <is>
          <t>GU-3276</t>
        </is>
      </c>
      <c r="C1025" s="2" t="n"/>
      <c r="D1025" s="2" t="inlineStr">
        <is>
          <t>LINK TO LOVE スタッズ リング</t>
        </is>
      </c>
      <c r="E1025" s="2" t="inlineStr">
        <is>
          <t>662184 J8500 8000</t>
        </is>
      </c>
      <c r="F1025" s="2" t="inlineStr">
        <is>
          <t xml:space="preserve">  -</t>
        </is>
      </c>
      <c r="G1025" s="10" t="inlineStr">
        <is>
          <t>10_11_12_13_14_15_16_17_18_19_22</t>
        </is>
      </c>
      <c r="H1025" s="17" t="inlineStr">
        <is>
          <t>10_11_12_13_14_15_16_17_18_19</t>
        </is>
      </c>
      <c r="I1025" s="18" t="n">
        <v>308000</v>
      </c>
      <c r="J1025" s="19" t="n">
        <v>319000</v>
      </c>
      <c r="K1025" s="20" t="n">
        <v>5</v>
      </c>
      <c r="L1025" s="4" t="inlineStr">
        <is>
          <t>https://www.gucci.com/jp/ja/pr/jewellery-watches/gold-jewellery/gold-jewellery-for-women/gucci-link-to-love-studded-ring-p-662184J85008000</t>
        </is>
      </c>
      <c r="M1025" s="5">
        <f t="array" ref="M1025">_xlfn.IFS(J1025="NOTFOUND",I1025,J1025&gt;=I1025,J1025)</f>
        <v/>
      </c>
    </row>
    <row r="1026" ht="18" customHeight="1" s="16">
      <c r="A1026" s="5" t="n">
        <v>1025</v>
      </c>
      <c r="B1026" s="2" t="inlineStr">
        <is>
          <t>GU-3277</t>
        </is>
      </c>
      <c r="C1026" s="2" t="n"/>
      <c r="D1026" s="2" t="inlineStr">
        <is>
          <t>LINK TO LOVE スタッズ リング</t>
        </is>
      </c>
      <c r="E1026" s="2" t="inlineStr">
        <is>
          <t>662177 J8500 8000</t>
        </is>
      </c>
      <c r="F1026" s="2" t="inlineStr">
        <is>
          <t>18K イエローゴールド</t>
        </is>
      </c>
      <c r="G1026" s="10" t="inlineStr">
        <is>
          <t>8_9_10_11_12_13_14_15_16_17_18_19_20_21_22</t>
        </is>
      </c>
      <c r="H1026" s="17" t="inlineStr">
        <is>
          <t>8_9_10_11_12_13_14_15_16_17_18_19_20_21_22</t>
        </is>
      </c>
      <c r="I1026" s="18" t="n">
        <v>236500</v>
      </c>
      <c r="J1026" s="19" t="n">
        <v>253000</v>
      </c>
      <c r="K1026" s="20" t="n">
        <v>5</v>
      </c>
      <c r="L1026" s="4" t="inlineStr">
        <is>
          <t>https://www.gucci.com/jp/ja/pr/jewellery-watches/gold-jewellery/gold-jewellery-for-women/gucci-link-to-love-studded-ring-p-662177J85008000</t>
        </is>
      </c>
      <c r="M1026" s="5">
        <f t="array" ref="M1026">_xlfn.IFS(J1026="NOTFOUND",I1026,J1026&gt;=I1026,J1026)</f>
        <v/>
      </c>
    </row>
    <row r="1027" ht="18" customHeight="1" s="16">
      <c r="A1027" s="5" t="n">
        <v>1026</v>
      </c>
      <c r="B1027" s="2" t="inlineStr">
        <is>
          <t>GU-3278</t>
        </is>
      </c>
      <c r="C1027" s="2" t="n"/>
      <c r="D1027" s="2" t="inlineStr">
        <is>
          <t>フローラ ダイヤモンド付き 18K リング</t>
        </is>
      </c>
      <c r="E1027" s="2" t="inlineStr">
        <is>
          <t>629827 J8568 9066</t>
        </is>
      </c>
      <c r="F1027" s="2" t="inlineStr">
        <is>
          <t>ホワイトゴールド</t>
        </is>
      </c>
      <c r="G1027" s="10" t="inlineStr">
        <is>
          <t>7_8_9_10_11_12_13_14_15_16_17_18</t>
        </is>
      </c>
      <c r="H1027" s="17" t="inlineStr">
        <is>
          <t>7_8_9_10_11_12_13_14_15_16_17_18</t>
        </is>
      </c>
      <c r="I1027" s="18" t="n">
        <v>225500</v>
      </c>
      <c r="J1027" s="19" t="n">
        <v>236500</v>
      </c>
      <c r="K1027" s="20" t="n">
        <v>5</v>
      </c>
      <c r="L1027" s="4" t="inlineStr">
        <is>
          <t>https://www.gucci.com/jp/ja/pr/jewellery-watches/gold-jewellery/gold-jewellery-for-women/gucci-flora-18k-ring-with-diamonds-p-629827J85689066</t>
        </is>
      </c>
      <c r="M1027" s="5">
        <f t="array" ref="M1027">_xlfn.IFS(J1027="NOTFOUND",I1027,J1027&gt;=I1027,J1027)</f>
        <v/>
      </c>
    </row>
    <row r="1028" ht="18" customHeight="1" s="16">
      <c r="A1028" s="5" t="n">
        <v>1027</v>
      </c>
      <c r="B1028" s="2" t="inlineStr">
        <is>
          <t>GU-3279</t>
        </is>
      </c>
      <c r="C1028" s="2" t="n"/>
      <c r="D1028" s="2" t="inlineStr">
        <is>
          <t>フローラ ダイヤモンド付き 18K リング</t>
        </is>
      </c>
      <c r="E1028" s="2" t="inlineStr">
        <is>
          <t>629827 J8540 8000</t>
        </is>
      </c>
      <c r="F1028" s="2" t="inlineStr">
        <is>
          <t>イエローゴールド</t>
        </is>
      </c>
      <c r="G1028" s="10" t="inlineStr">
        <is>
          <t>7_8_9_10_11_12_13_14_15_16_17_18</t>
        </is>
      </c>
      <c r="H1028" s="17" t="inlineStr">
        <is>
          <t>7_8_9_10_11_12_13_14_15_16_17_18</t>
        </is>
      </c>
      <c r="I1028" s="18" t="n">
        <v>203500</v>
      </c>
      <c r="J1028" s="19" t="n">
        <v>214500</v>
      </c>
      <c r="K1028" s="20" t="n">
        <v>5</v>
      </c>
      <c r="L1028" s="4" t="inlineStr">
        <is>
          <t>https://www.gucci.com/jp/ja/pr/jewellery-watches/gold-jewellery/gold-jewellery-for-women/gucci-flora-18k-ring-with-diamonds-p-629827J85408000</t>
        </is>
      </c>
      <c r="M1028" s="5">
        <f t="array" ref="M1028">_xlfn.IFS(J1028="NOTFOUND",I1028,J1028&gt;=I1028,J1028)</f>
        <v/>
      </c>
    </row>
    <row r="1029" ht="18" customHeight="1" s="16">
      <c r="A1029" s="5" t="n">
        <v>1028</v>
      </c>
      <c r="B1029" s="2" t="inlineStr">
        <is>
          <t>GU-3280</t>
        </is>
      </c>
      <c r="C1029" s="2" t="n"/>
      <c r="D1029" s="2" t="inlineStr">
        <is>
          <t>インターロッキング スタッズピアス</t>
        </is>
      </c>
      <c r="E1029" s="2" t="inlineStr">
        <is>
          <t>748543 J8500 8000</t>
        </is>
      </c>
      <c r="F1029" s="2" t="inlineStr">
        <is>
          <t>18K イエローゴールド</t>
        </is>
      </c>
      <c r="G1029" s="10" t="inlineStr">
        <is>
          <t>OneSize</t>
        </is>
      </c>
      <c r="H1029" s="17" t="inlineStr">
        <is>
          <t>OneSize</t>
        </is>
      </c>
      <c r="I1029" s="18" t="n">
        <v>187000</v>
      </c>
      <c r="J1029" s="19" t="n">
        <v>198000</v>
      </c>
      <c r="K1029" s="20" t="n">
        <v>5</v>
      </c>
      <c r="L1029" s="4" t="inlineStr">
        <is>
          <t>https://www.gucci.com/jp/ja/pr/jewellery-watches/gold-jewellery/gold-jewellery-for-women/gucci-interlocking-stud-earrings-p-748543J85008000</t>
        </is>
      </c>
      <c r="M1029" s="5">
        <f t="array" ref="M1029">_xlfn.IFS(J1029="NOTFOUND",I1029,J1029&gt;=I1029,J1029)</f>
        <v/>
      </c>
    </row>
    <row r="1030" ht="18" customHeight="1" s="16">
      <c r="A1030" s="5" t="n">
        <v>1029</v>
      </c>
      <c r="B1030" s="2" t="inlineStr">
        <is>
          <t>GU-3281</t>
        </is>
      </c>
      <c r="C1030" s="2" t="n"/>
      <c r="D1030" s="2" t="inlineStr">
        <is>
          <t>インターロッキング リング</t>
        </is>
      </c>
      <c r="E1030" s="2" t="inlineStr">
        <is>
          <t>679115 J8500 8000</t>
        </is>
      </c>
      <c r="F1030" s="2" t="inlineStr">
        <is>
          <t xml:space="preserve">  -</t>
        </is>
      </c>
      <c r="G1030" s="10" t="inlineStr">
        <is>
          <t>6_7_8_9_10_11_12_13_14_15_16_17_18_19_20_3</t>
        </is>
      </c>
      <c r="H1030" s="17" t="inlineStr">
        <is>
          <t>6_7_8_9_10_11_12_13_14_15_16_17_18_19_20_3</t>
        </is>
      </c>
      <c r="I1030" s="18" t="n">
        <v>132000</v>
      </c>
      <c r="J1030" s="19" t="n">
        <v>137500</v>
      </c>
      <c r="K1030" s="20" t="n">
        <v>5</v>
      </c>
      <c r="L1030" s="4" t="inlineStr">
        <is>
          <t>https://www.gucci.com/jp/ja/pr/jewellery-watches/gold-jewellery/gold-jewellery-for-women/gucci-interlocking-ring-p-679115J85008000</t>
        </is>
      </c>
      <c r="M1030" s="5">
        <f t="array" ref="M1030">_xlfn.IFS(J1030="NOTFOUND",I1030,J1030&gt;=I1030,J1030)</f>
        <v/>
      </c>
    </row>
    <row r="1031" ht="18" customHeight="1" s="16">
      <c r="A1031" s="5" t="n">
        <v>1030</v>
      </c>
      <c r="B1031" s="2" t="inlineStr">
        <is>
          <t>GU-3282</t>
        </is>
      </c>
      <c r="C1031" s="2" t="n"/>
      <c r="D1031" s="2" t="inlineStr">
        <is>
          <t>インターロッキング 18K ゴールド ピアス</t>
        </is>
      </c>
      <c r="E1031" s="2" t="inlineStr">
        <is>
          <t>662111 J8500 8000</t>
        </is>
      </c>
      <c r="F1031" s="2" t="inlineStr">
        <is>
          <t>18K イエローゴールド</t>
        </is>
      </c>
      <c r="G1031" s="10" t="inlineStr">
        <is>
          <t>OneSize</t>
        </is>
      </c>
      <c r="H1031" s="17" t="inlineStr">
        <is>
          <t>OneSize</t>
        </is>
      </c>
      <c r="I1031" s="18" t="n">
        <v>115500</v>
      </c>
      <c r="J1031" s="19" t="n">
        <v>121000</v>
      </c>
      <c r="K1031" s="20" t="n">
        <v>5</v>
      </c>
      <c r="L1031" s="4" t="inlineStr">
        <is>
          <t>https://www.gucci.com/jp/ja/pr/jewellery-watches/gold-jewellery/gold-jewellery-for-women/gucci-interlocking-18k-gold-earrings-p-662111J85008000</t>
        </is>
      </c>
      <c r="M1031" s="5">
        <f t="array" ref="M1031">_xlfn.IFS(J1031="NOTFOUND",I1031,J1031&gt;=I1031,J1031)</f>
        <v/>
      </c>
    </row>
    <row r="1032" ht="18" customHeight="1" s="16">
      <c r="A1032" s="5" t="n">
        <v>1031</v>
      </c>
      <c r="B1032" s="2" t="inlineStr">
        <is>
          <t>GU-3283</t>
        </is>
      </c>
      <c r="C1032" s="2" t="n"/>
      <c r="D1032" s="2" t="inlineStr">
        <is>
          <t>インターロッキング 18K ブレスレット</t>
        </is>
      </c>
      <c r="E1032" s="2" t="inlineStr">
        <is>
          <t>629904 J8500 8000</t>
        </is>
      </c>
      <c r="F1032" s="2" t="inlineStr">
        <is>
          <t xml:space="preserve">  -</t>
        </is>
      </c>
      <c r="G1032" s="10" t="inlineStr">
        <is>
          <t>16_17</t>
        </is>
      </c>
      <c r="H1032" s="17" t="inlineStr">
        <is>
          <t>16_17</t>
        </is>
      </c>
      <c r="I1032" s="18" t="n">
        <v>200200</v>
      </c>
      <c r="J1032" s="19" t="n">
        <v>211200</v>
      </c>
      <c r="K1032" s="20" t="n">
        <v>5</v>
      </c>
      <c r="L1032" s="4" t="inlineStr">
        <is>
          <t>https://www.gucci.com/jp/ja/pr/jewellery-watches/gold-jewellery/gold-jewellery-for-women/gucci-interlocking-18k-bracelet-p-629904J85008000</t>
        </is>
      </c>
      <c r="M1032" s="5">
        <f t="array" ref="M1032">_xlfn.IFS(J1032="NOTFOUND",I1032,J1032&gt;=I1032,J1032)</f>
        <v/>
      </c>
    </row>
    <row r="1033" ht="18" customHeight="1" s="16">
      <c r="A1033" s="5" t="n">
        <v>1032</v>
      </c>
      <c r="B1033" s="2" t="inlineStr">
        <is>
          <t>GU-3284</t>
        </is>
      </c>
      <c r="C1033" s="2" t="n"/>
      <c r="D1033" s="2" t="inlineStr">
        <is>
          <t>インターロッキング ネックレス</t>
        </is>
      </c>
      <c r="E1033" s="2" t="inlineStr">
        <is>
          <t>629901 J8500 8000</t>
        </is>
      </c>
      <c r="F1033" s="2" t="inlineStr">
        <is>
          <t xml:space="preserve">  -</t>
        </is>
      </c>
      <c r="G1033" s="10" t="inlineStr">
        <is>
          <t>OneSize</t>
        </is>
      </c>
      <c r="H1033" s="17" t="inlineStr">
        <is>
          <t>OneSize</t>
        </is>
      </c>
      <c r="I1033" s="18" t="n">
        <v>308000</v>
      </c>
      <c r="J1033" s="19" t="n">
        <v>319000</v>
      </c>
      <c r="K1033" s="20" t="n">
        <v>5</v>
      </c>
      <c r="L1033" s="4" t="inlineStr">
        <is>
          <t>https://www.gucci.com/jp/ja/pr/jewellery-watches/gold-jewellery/gold-jewellery-for-women/gucci-interlocking-necklace-p-629901J85008000</t>
        </is>
      </c>
      <c r="M1033" s="5">
        <f t="array" ref="M1033">_xlfn.IFS(J1033="NOTFOUND",I1033,J1033&gt;=I1033,J1033)</f>
        <v/>
      </c>
    </row>
    <row r="1034" ht="18" customHeight="1" s="16">
      <c r="A1034" s="5" t="n">
        <v>1033</v>
      </c>
      <c r="B1034" s="2" t="inlineStr">
        <is>
          <t>GU-3285</t>
        </is>
      </c>
      <c r="C1034" s="2" t="n"/>
      <c r="D1034" s="2" t="inlineStr">
        <is>
          <t>インターロッキング ネックレス</t>
        </is>
      </c>
      <c r="E1034" s="2" t="inlineStr">
        <is>
          <t>603619 J8500 8000</t>
        </is>
      </c>
      <c r="F1034" s="2" t="inlineStr">
        <is>
          <t xml:space="preserve">  -</t>
        </is>
      </c>
      <c r="G1034" s="11" t="inlineStr">
        <is>
          <t>SOLD</t>
        </is>
      </c>
      <c r="H1034" s="22" t="inlineStr">
        <is>
          <t>SOLD</t>
        </is>
      </c>
      <c r="I1034" s="18" t="n">
        <v>280500</v>
      </c>
      <c r="J1034" s="23" t="inlineStr">
        <is>
          <t>NOTFOUND</t>
        </is>
      </c>
      <c r="K1034" s="20" t="n">
        <v>0</v>
      </c>
      <c r="L1034" s="4" t="inlineStr">
        <is>
          <t>https://www.gucci.com/jp/ja/pr/jewellery-watches/gold-jewellery/gold-jewellery-for-women/gucci-interlocking-necklace-p-603619J85008000</t>
        </is>
      </c>
      <c r="M1034" s="5">
        <f t="array" ref="M1034">_xlfn.IFS(J1034="NOTFOUND",I1034,J1034&gt;=I1034,J1034)</f>
        <v/>
      </c>
    </row>
    <row r="1035" ht="18" customHeight="1" s="16">
      <c r="A1035" s="5" t="n">
        <v>1034</v>
      </c>
      <c r="B1035" s="2" t="inlineStr">
        <is>
          <t>GU-3286</t>
        </is>
      </c>
      <c r="C1035" s="2" t="n"/>
      <c r="D1035" s="2" t="inlineStr">
        <is>
          <t>インターロッキング リング</t>
        </is>
      </c>
      <c r="E1035" s="2" t="inlineStr">
        <is>
          <t>603608 J8500 8000</t>
        </is>
      </c>
      <c r="F1035" s="2" t="inlineStr">
        <is>
          <t xml:space="preserve">  -</t>
        </is>
      </c>
      <c r="G1035" s="11" t="inlineStr">
        <is>
          <t>SOLD</t>
        </is>
      </c>
      <c r="H1035" s="22" t="inlineStr">
        <is>
          <t>SOLD</t>
        </is>
      </c>
      <c r="I1035" s="18" t="n">
        <v>143000</v>
      </c>
      <c r="J1035" s="23" t="inlineStr">
        <is>
          <t>NOTFOUND</t>
        </is>
      </c>
      <c r="K1035" s="20" t="n">
        <v>0</v>
      </c>
      <c r="L1035" s="4" t="inlineStr">
        <is>
          <t>https://www.gucci.com/jp/ja/pr/jewellery-watches/gold-jewellery/gold-jewellery-for-women/gucci-interlocking-ring-p-603608J85008000</t>
        </is>
      </c>
      <c r="M1035" s="5">
        <f t="array" ref="M1035">_xlfn.IFS(J1035="NOTFOUND",I1035,J1035&gt;=I1035,J1035)</f>
        <v/>
      </c>
    </row>
    <row r="1036" ht="18" customHeight="1" s="16">
      <c r="A1036" s="5" t="n">
        <v>1035</v>
      </c>
      <c r="B1036" s="2" t="inlineStr">
        <is>
          <t>GU-3287</t>
        </is>
      </c>
      <c r="C1036" s="2" t="n"/>
      <c r="D1036" s="2" t="inlineStr">
        <is>
          <t>インターロッキング ダイヤモンド リング</t>
        </is>
      </c>
      <c r="E1036" s="2" t="inlineStr">
        <is>
          <t>729412 J8568 9066</t>
        </is>
      </c>
      <c r="F1036" s="2" t="inlineStr">
        <is>
          <t>18K ホワイトゴールド</t>
        </is>
      </c>
      <c r="G1036" s="10" t="inlineStr">
        <is>
          <t>8_9_10_11_12_13_15_16</t>
        </is>
      </c>
      <c r="H1036" s="17" t="inlineStr">
        <is>
          <t>8_9_10_11_12_13_15_16</t>
        </is>
      </c>
      <c r="I1036" s="18" t="n">
        <v>275000</v>
      </c>
      <c r="J1036" s="19" t="n">
        <v>286000</v>
      </c>
      <c r="K1036" s="20" t="n">
        <v>5</v>
      </c>
      <c r="L1036" s="4" t="inlineStr">
        <is>
          <t>https://www.gucci.com/jp/ja/pr/jewellery-watches/gold-jewellery/gold-jewellery-for-women/gucci-interlocking-diamond-ring-p-729412J85689066</t>
        </is>
      </c>
      <c r="M1036" s="5">
        <f t="array" ref="M1036">_xlfn.IFS(J1036="NOTFOUND",I1036,J1036&gt;=I1036,J1036)</f>
        <v/>
      </c>
    </row>
    <row r="1037" ht="18" customHeight="1" s="16">
      <c r="A1037" s="5" t="n">
        <v>1036</v>
      </c>
      <c r="B1037" s="2" t="inlineStr">
        <is>
          <t>GU-3288</t>
        </is>
      </c>
      <c r="C1037" s="2" t="n"/>
      <c r="D1037" s="2" t="inlineStr">
        <is>
          <t>インターロッキング ダイヤモンド付き スタッズ</t>
        </is>
      </c>
      <c r="E1037" s="2" t="inlineStr">
        <is>
          <t>729408 J8568 9066</t>
        </is>
      </c>
      <c r="F1037" s="2" t="inlineStr">
        <is>
          <t>18K ホワイトゴールド</t>
        </is>
      </c>
      <c r="G1037" s="10" t="inlineStr">
        <is>
          <t>OneSize</t>
        </is>
      </c>
      <c r="H1037" s="17" t="inlineStr">
        <is>
          <t>OneSize</t>
        </is>
      </c>
      <c r="I1037" s="18" t="n">
        <v>489500</v>
      </c>
      <c r="J1037" s="19" t="n">
        <v>500500</v>
      </c>
      <c r="K1037" s="20" t="n">
        <v>5</v>
      </c>
      <c r="L1037" s="4" t="inlineStr">
        <is>
          <t>https://www.gucci.com/jp/ja/pr/jewellery-watches/gold-jewellery/gold-jewellery-for-women/gucci-interlocking-studs-with-diamonds-p-729408J85689066</t>
        </is>
      </c>
      <c r="M1037" s="5">
        <f t="array" ref="M1037">_xlfn.IFS(J1037="NOTFOUND",I1037,J1037&gt;=I1037,J1037)</f>
        <v/>
      </c>
    </row>
    <row r="1038" ht="18" customHeight="1" s="16">
      <c r="A1038" s="5" t="n">
        <v>1037</v>
      </c>
      <c r="B1038" s="2" t="inlineStr">
        <is>
          <t>GU-3289</t>
        </is>
      </c>
      <c r="C1038" s="2" t="n"/>
      <c r="D1038" s="2" t="inlineStr">
        <is>
          <t>インターロッキング ダイヤモンド ブレスレット</t>
        </is>
      </c>
      <c r="E1038" s="2" t="inlineStr">
        <is>
          <t>729403 J8568 9066</t>
        </is>
      </c>
      <c r="F1038" s="2" t="inlineStr">
        <is>
          <t>18K ホワイトゴールド</t>
        </is>
      </c>
      <c r="G1038" s="10" t="inlineStr">
        <is>
          <t>16_17</t>
        </is>
      </c>
      <c r="H1038" s="17" t="inlineStr">
        <is>
          <t>16_17</t>
        </is>
      </c>
      <c r="I1038" s="18" t="n">
        <v>391600</v>
      </c>
      <c r="J1038" s="19" t="n">
        <v>407000</v>
      </c>
      <c r="K1038" s="20" t="n">
        <v>5</v>
      </c>
      <c r="L1038" s="4" t="inlineStr">
        <is>
          <t>https://www.gucci.com/jp/ja/pr/jewellery-watches/gold-jewellery/gold-jewellery-for-women/gucci-interlocking-diamond-bracelet-p-729403J85689066</t>
        </is>
      </c>
      <c r="M1038" s="5">
        <f t="array" ref="M1038">_xlfn.IFS(J1038="NOTFOUND",I1038,J1038&gt;=I1038,J1038)</f>
        <v/>
      </c>
    </row>
    <row r="1039" ht="18" customHeight="1" s="16">
      <c r="A1039" s="5" t="n">
        <v>1038</v>
      </c>
      <c r="B1039" s="2" t="inlineStr">
        <is>
          <t>GU-3290</t>
        </is>
      </c>
      <c r="C1039" s="2" t="n"/>
      <c r="D1039" s="2" t="inlineStr">
        <is>
          <t>インターロッキング 18Kホワイトゴールド ピアス</t>
        </is>
      </c>
      <c r="E1039" s="2" t="inlineStr">
        <is>
          <t>662111 J8502 9000</t>
        </is>
      </c>
      <c r="F1039" s="2" t="inlineStr">
        <is>
          <t>18K ホワイトゴールド</t>
        </is>
      </c>
      <c r="G1039" s="10" t="inlineStr">
        <is>
          <t>OneSize</t>
        </is>
      </c>
      <c r="H1039" s="17" t="inlineStr">
        <is>
          <t>OneSize</t>
        </is>
      </c>
      <c r="I1039" s="18" t="n">
        <v>123200</v>
      </c>
      <c r="J1039" s="19" t="n">
        <v>129800</v>
      </c>
      <c r="K1039" s="20" t="n">
        <v>5</v>
      </c>
      <c r="L1039" s="4" t="inlineStr">
        <is>
          <t>https://www.gucci.com/jp/ja/pr/jewellery-watches/gold-jewellery/gold-jewellery-for-women/gucci-interlocking-18k-white-gold-earrings-p-662111J85029000</t>
        </is>
      </c>
      <c r="M1039" s="5">
        <f t="array" ref="M1039">_xlfn.IFS(J1039="NOTFOUND",I1039,J1039&gt;=I1039,J1039)</f>
        <v/>
      </c>
    </row>
    <row r="1040" ht="18" customHeight="1" s="16">
      <c r="A1040" s="5" t="n">
        <v>1039</v>
      </c>
      <c r="B1040" s="2" t="inlineStr">
        <is>
          <t>GU-3291</t>
        </is>
      </c>
      <c r="C1040" s="2" t="n"/>
      <c r="D1040" s="2" t="inlineStr">
        <is>
          <t>インターロッキング スタッズピアス</t>
        </is>
      </c>
      <c r="E1040" s="2" t="inlineStr">
        <is>
          <t>759061 J8500 5702</t>
        </is>
      </c>
      <c r="F1040" s="2" t="inlineStr">
        <is>
          <t xml:space="preserve">  -</t>
        </is>
      </c>
      <c r="G1040" s="10" t="inlineStr">
        <is>
          <t>OneSize</t>
        </is>
      </c>
      <c r="H1040" s="17" t="inlineStr">
        <is>
          <t>OneSize</t>
        </is>
      </c>
      <c r="I1040" s="18" t="n">
        <v>115500</v>
      </c>
      <c r="J1040" s="19" t="n">
        <v>121000</v>
      </c>
      <c r="K1040" s="20" t="n">
        <v>5</v>
      </c>
      <c r="L1040" s="4" t="inlineStr">
        <is>
          <t>https://www.gucci.com/jp/ja/pr/jewellery-watches/gold-jewellery/gold-jewellery-for-women/gucci-interlocking-stud-earrings-p-759061J85005702</t>
        </is>
      </c>
      <c r="M1040" s="5">
        <f t="array" ref="M1040">_xlfn.IFS(J1040="NOTFOUND",I1040,J1040&gt;=I1040,J1040)</f>
        <v/>
      </c>
    </row>
    <row r="1041" ht="18" customHeight="1" s="16">
      <c r="A1041" s="5" t="n">
        <v>1040</v>
      </c>
      <c r="B1041" s="2" t="inlineStr">
        <is>
          <t>GU-3292</t>
        </is>
      </c>
      <c r="C1041" s="2" t="n"/>
      <c r="D1041" s="2" t="inlineStr">
        <is>
          <t>インターロッキング スタッズピアス</t>
        </is>
      </c>
      <c r="E1041" s="2" t="inlineStr">
        <is>
          <t>748543 J8500 5702</t>
        </is>
      </c>
      <c r="F1041" s="2" t="inlineStr">
        <is>
          <t>18K ピンクゴールド</t>
        </is>
      </c>
      <c r="G1041" s="10" t="inlineStr">
        <is>
          <t>OneSize</t>
        </is>
      </c>
      <c r="H1041" s="17" t="inlineStr">
        <is>
          <t>OneSize</t>
        </is>
      </c>
      <c r="I1041" s="18" t="n">
        <v>187000</v>
      </c>
      <c r="J1041" s="19" t="n">
        <v>198000</v>
      </c>
      <c r="K1041" s="20" t="n">
        <v>5</v>
      </c>
      <c r="L1041" s="4" t="inlineStr">
        <is>
          <t>https://www.gucci.com/jp/ja/pr/jewellery-watches/gold-jewellery/gold-jewellery-for-women/gucci-interlocking-stud-earrings-p-748543J85005702</t>
        </is>
      </c>
      <c r="M1041" s="5">
        <f t="array" ref="M1041">_xlfn.IFS(J1041="NOTFOUND",I1041,J1041&gt;=I1041,J1041)</f>
        <v/>
      </c>
    </row>
    <row r="1042" ht="18" customHeight="1" s="16">
      <c r="A1042" s="5" t="n">
        <v>1041</v>
      </c>
      <c r="B1042" s="2" t="inlineStr">
        <is>
          <t>GU-3293</t>
        </is>
      </c>
      <c r="C1042" s="2" t="n"/>
      <c r="D1042" s="2" t="inlineStr">
        <is>
          <t>インターロッキング ダイヤモンド リング</t>
        </is>
      </c>
      <c r="E1042" s="2" t="inlineStr">
        <is>
          <t>729412 J8540 5702</t>
        </is>
      </c>
      <c r="F1042" s="2" t="inlineStr">
        <is>
          <t>18K ピンクゴールド</t>
        </is>
      </c>
      <c r="G1042" s="10" t="inlineStr">
        <is>
          <t>8_9_10_11_12_13_14</t>
        </is>
      </c>
      <c r="H1042" s="17" t="inlineStr">
        <is>
          <t>8_9_10_11_12_13_14</t>
        </is>
      </c>
      <c r="I1042" s="18" t="n">
        <v>258500</v>
      </c>
      <c r="J1042" s="19" t="n">
        <v>269500</v>
      </c>
      <c r="K1042" s="20" t="n">
        <v>5</v>
      </c>
      <c r="L1042" s="4" t="inlineStr">
        <is>
          <t>https://www.gucci.com/jp/ja/pr/jewellery-watches/gold-jewellery/gold-jewellery-for-women/gucci-interlocking-diamond-ring-p-729412J85405702</t>
        </is>
      </c>
      <c r="M1042" s="5">
        <f t="array" ref="M1042">_xlfn.IFS(J1042="NOTFOUND",I1042,J1042&gt;=I1042,J1042)</f>
        <v/>
      </c>
    </row>
    <row r="1043" ht="18" customHeight="1" s="16">
      <c r="A1043" s="5" t="n">
        <v>1042</v>
      </c>
      <c r="B1043" s="2" t="inlineStr">
        <is>
          <t>GU-3294</t>
        </is>
      </c>
      <c r="C1043" s="2" t="n"/>
      <c r="D1043" s="2" t="inlineStr">
        <is>
          <t>インターロッキング ダイヤモンド付き ピアス</t>
        </is>
      </c>
      <c r="E1043" s="2" t="inlineStr">
        <is>
          <t>729408 J8540 5702</t>
        </is>
      </c>
      <c r="F1043" s="2" t="inlineStr">
        <is>
          <t>18K ピンクゴールド</t>
        </is>
      </c>
      <c r="G1043" s="10" t="inlineStr">
        <is>
          <t>OneSize</t>
        </is>
      </c>
      <c r="H1043" s="17" t="inlineStr">
        <is>
          <t>OneSize</t>
        </is>
      </c>
      <c r="I1043" s="18" t="n">
        <v>462000</v>
      </c>
      <c r="J1043" s="19" t="n">
        <v>478500</v>
      </c>
      <c r="K1043" s="20" t="n">
        <v>5</v>
      </c>
      <c r="L1043" s="4" t="inlineStr">
        <is>
          <t>https://www.gucci.com/jp/ja/pr/jewellery-watches/gold-jewellery/gold-jewellery-for-women/gucci-interlocking-stud-earrings-with-diamonds-p-729408J85405702</t>
        </is>
      </c>
      <c r="M1043" s="5">
        <f t="array" ref="M1043">_xlfn.IFS(J1043="NOTFOUND",I1043,J1043&gt;=I1043,J1043)</f>
        <v/>
      </c>
    </row>
    <row r="1044" ht="18" customHeight="1" s="16">
      <c r="A1044" s="5" t="n">
        <v>1043</v>
      </c>
      <c r="B1044" s="2" t="inlineStr">
        <is>
          <t>GU-3295</t>
        </is>
      </c>
      <c r="C1044" s="2" t="n"/>
      <c r="D1044" s="2" t="inlineStr">
        <is>
          <t>インターロッキング ダイヤモンド ブレスレット</t>
        </is>
      </c>
      <c r="E1044" s="2" t="inlineStr">
        <is>
          <t>729403 J8540 5702</t>
        </is>
      </c>
      <c r="F1044" s="2" t="inlineStr">
        <is>
          <t>18K ピンクゴールド</t>
        </is>
      </c>
      <c r="G1044" s="10" t="inlineStr">
        <is>
          <t>16_17</t>
        </is>
      </c>
      <c r="H1044" s="17" t="inlineStr">
        <is>
          <t>16_17</t>
        </is>
      </c>
      <c r="I1044" s="18" t="n">
        <v>379500</v>
      </c>
      <c r="J1044" s="19" t="n">
        <v>390500</v>
      </c>
      <c r="K1044" s="20" t="n">
        <v>5</v>
      </c>
      <c r="L1044" s="4" t="inlineStr">
        <is>
          <t>https://www.gucci.com/jp/ja/pr/jewellery-watches/gold-jewellery/gold-jewellery-for-women/gucci-interlocking-diamond-bracelet-p-729403J85405702</t>
        </is>
      </c>
      <c r="M1044" s="5">
        <f t="array" ref="M1044">_xlfn.IFS(J1044="NOTFOUND",I1044,J1044&gt;=I1044,J1044)</f>
        <v/>
      </c>
    </row>
    <row r="1045" ht="18" customHeight="1" s="16">
      <c r="A1045" s="5" t="n">
        <v>1044</v>
      </c>
      <c r="B1045" s="2" t="inlineStr">
        <is>
          <t>GU-3296</t>
        </is>
      </c>
      <c r="C1045" s="2" t="n"/>
      <c r="D1045" s="2" t="inlineStr">
        <is>
          <t>インターロッキング ダイヤモンド ネックレス</t>
        </is>
      </c>
      <c r="E1045" s="2" t="inlineStr">
        <is>
          <t>729402 J8540 5702</t>
        </is>
      </c>
      <c r="F1045" s="2" t="inlineStr">
        <is>
          <t>18K ピンクゴールド</t>
        </is>
      </c>
      <c r="G1045" s="10" t="inlineStr">
        <is>
          <t>OneSize</t>
        </is>
      </c>
      <c r="H1045" s="17" t="inlineStr">
        <is>
          <t>OneSize</t>
        </is>
      </c>
      <c r="I1045" s="18" t="n">
        <v>473000</v>
      </c>
      <c r="J1045" s="19" t="n">
        <v>484000</v>
      </c>
      <c r="K1045" s="20" t="n">
        <v>5</v>
      </c>
      <c r="L1045" s="4" t="inlineStr">
        <is>
          <t>https://www.gucci.com/jp/ja/pr/jewellery-watches/gold-jewellery/gold-jewellery-for-women/gucci-interlocking-diamond-necklace-p-729402J85405702</t>
        </is>
      </c>
      <c r="M1045" s="5">
        <f t="array" ref="M1045">_xlfn.IFS(J1045="NOTFOUND",I1045,J1045&gt;=I1045,J1045)</f>
        <v/>
      </c>
    </row>
    <row r="1046" ht="18" customHeight="1" s="16">
      <c r="A1046" s="5" t="n">
        <v>1045</v>
      </c>
      <c r="B1046" s="2" t="inlineStr">
        <is>
          <t>GU-3297</t>
        </is>
      </c>
      <c r="C1046" s="2" t="n"/>
      <c r="D1046" s="2" t="inlineStr">
        <is>
          <t>LINK TO LOVE バゲット トルマリン ブレスレット</t>
        </is>
      </c>
      <c r="E1046" s="2" t="inlineStr">
        <is>
          <t>702395 J85H0 8268</t>
        </is>
      </c>
      <c r="F1046" s="2" t="inlineStr">
        <is>
          <t xml:space="preserve">  -</t>
        </is>
      </c>
      <c r="G1046" s="11" t="inlineStr">
        <is>
          <t>SOLD</t>
        </is>
      </c>
      <c r="H1046" s="22" t="inlineStr">
        <is>
          <t>SOLD</t>
        </is>
      </c>
      <c r="I1046" s="18" t="n">
        <v>462000</v>
      </c>
      <c r="J1046" s="23" t="inlineStr">
        <is>
          <t>NOTFOUND</t>
        </is>
      </c>
      <c r="K1046" s="20" t="n">
        <v>0</v>
      </c>
      <c r="L1046" s="4" t="inlineStr">
        <is>
          <t>https://www.gucci.com/jp/ja/pr/jewellery-watches/gold-jewellery/gold-jewellery-for-women/gucci-link-to-love-baguette-tourmaline-bracelet-p-702395J85H08268</t>
        </is>
      </c>
      <c r="M1046" s="5">
        <f t="array" ref="M1046">_xlfn.IFS(J1046="NOTFOUND",I1046,J1046&gt;=I1046,J1046)</f>
        <v/>
      </c>
    </row>
    <row r="1047" ht="18" customHeight="1" s="16">
      <c r="A1047" s="5" t="n">
        <v>1046</v>
      </c>
      <c r="B1047" s="2" t="inlineStr">
        <is>
          <t>GU-3298</t>
        </is>
      </c>
      <c r="C1047" s="2" t="n"/>
      <c r="D1047" s="2" t="inlineStr">
        <is>
          <t>LINK TO LOVE バゲット トルマリン ネックレス</t>
        </is>
      </c>
      <c r="E1047" s="2" t="inlineStr">
        <is>
          <t>702394 J85H0 8268</t>
        </is>
      </c>
      <c r="F1047" s="2" t="inlineStr">
        <is>
          <t xml:space="preserve">  -</t>
        </is>
      </c>
      <c r="G1047" s="11" t="inlineStr">
        <is>
          <t>SOLD</t>
        </is>
      </c>
      <c r="H1047" s="22" t="inlineStr">
        <is>
          <t>SOLD</t>
        </is>
      </c>
      <c r="I1047" s="18" t="n">
        <v>632500</v>
      </c>
      <c r="J1047" s="23" t="inlineStr">
        <is>
          <t>NOTFOUND</t>
        </is>
      </c>
      <c r="K1047" s="20" t="n">
        <v>0</v>
      </c>
      <c r="L1047" s="4" t="inlineStr">
        <is>
          <t>https://www.gucci.com/jp/ja/pr/jewellery-watches/gold-jewellery/gold-jewellery-for-women/gucci-link-to-love-baguette-tourmaline-necklace-p-702394J85H08268</t>
        </is>
      </c>
      <c r="M1047" s="5">
        <f t="array" ref="M1047">_xlfn.IFS(J1047="NOTFOUND",I1047,J1047&gt;=I1047,J1047)</f>
        <v/>
      </c>
    </row>
    <row r="1048" ht="18" customHeight="1" s="16">
      <c r="A1048" s="5" t="n">
        <v>1047</v>
      </c>
      <c r="B1048" s="2" t="inlineStr">
        <is>
          <t>GU-3299</t>
        </is>
      </c>
      <c r="C1048" s="2" t="n"/>
      <c r="D1048" s="2" t="inlineStr">
        <is>
          <t>LINK TO LOVE ダイヤモンド付き ネックレス</t>
        </is>
      </c>
      <c r="E1048" s="2" t="inlineStr">
        <is>
          <t>662132 J8568 9066</t>
        </is>
      </c>
      <c r="F1048" s="2" t="inlineStr">
        <is>
          <t xml:space="preserve">  -</t>
        </is>
      </c>
      <c r="G1048" s="10" t="inlineStr">
        <is>
          <t>OneSize</t>
        </is>
      </c>
      <c r="H1048" s="17" t="inlineStr">
        <is>
          <t>OneSize</t>
        </is>
      </c>
      <c r="I1048" s="18" t="n">
        <v>374000</v>
      </c>
      <c r="J1048" s="19" t="n">
        <v>385000</v>
      </c>
      <c r="K1048" s="20" t="n">
        <v>5</v>
      </c>
      <c r="L1048" s="4" t="inlineStr">
        <is>
          <t>https://www.gucci.com/jp/ja/pr/jewellery-watches/gold-jewellery/gold-jewellery-for-women/gucci-link-to-love-necklace-with-diamonds-p-662132J85689066</t>
        </is>
      </c>
      <c r="M1048" s="5">
        <f t="array" ref="M1048">_xlfn.IFS(J1048="NOTFOUND",I1048,J1048&gt;=I1048,J1048)</f>
        <v/>
      </c>
    </row>
    <row r="1049" ht="18" customHeight="1" s="16">
      <c r="A1049" s="5" t="n">
        <v>1048</v>
      </c>
      <c r="B1049" s="2" t="inlineStr">
        <is>
          <t>GU-3300</t>
        </is>
      </c>
      <c r="C1049" s="2" t="n"/>
      <c r="D1049" s="2" t="inlineStr">
        <is>
          <t>LINK TO LOVE ダイヤモンド付き ブレスレット</t>
        </is>
      </c>
      <c r="E1049" s="2" t="inlineStr">
        <is>
          <t>662121 J8568 9066</t>
        </is>
      </c>
      <c r="F1049" s="2" t="inlineStr">
        <is>
          <t xml:space="preserve">  -</t>
        </is>
      </c>
      <c r="G1049" s="10" t="inlineStr">
        <is>
          <t>16</t>
        </is>
      </c>
      <c r="H1049" s="17" t="inlineStr">
        <is>
          <t>OneSize</t>
        </is>
      </c>
      <c r="I1049" s="18" t="n">
        <v>291500</v>
      </c>
      <c r="J1049" s="19" t="n">
        <v>302500</v>
      </c>
      <c r="K1049" s="20" t="n">
        <v>5</v>
      </c>
      <c r="L1049" s="4" t="inlineStr">
        <is>
          <t>https://www.gucci.com/jp/ja/pr/jewellery-watches/gold-jewellery/gold-jewellery-for-women/gucci-link-to-love-bracelet-with-diamonds-p-662121J85689066</t>
        </is>
      </c>
      <c r="M1049" s="5">
        <f t="array" ref="M1049">_xlfn.IFS(J1049="NOTFOUND",I1049,J1049&gt;=I1049,J1049)</f>
        <v/>
      </c>
    </row>
    <row r="1050" ht="18" customHeight="1" s="16">
      <c r="A1050" s="5" t="n">
        <v>1049</v>
      </c>
      <c r="B1050" s="2" t="inlineStr">
        <is>
          <t>GU-3301</t>
        </is>
      </c>
      <c r="C1050" s="2" t="n"/>
      <c r="D1050" s="2" t="inlineStr">
        <is>
          <t>LINK TO LOVE GUCCI バー付き チェーン ピアス</t>
        </is>
      </c>
      <c r="E1050" s="2" t="inlineStr">
        <is>
          <t>662115 J8500 5702</t>
        </is>
      </c>
      <c r="F1050" s="2" t="inlineStr">
        <is>
          <t>18K ピンクゴールド</t>
        </is>
      </c>
      <c r="G1050" s="10" t="inlineStr">
        <is>
          <t>OneSize</t>
        </is>
      </c>
      <c r="H1050" s="17" t="inlineStr">
        <is>
          <t>OneSize</t>
        </is>
      </c>
      <c r="I1050" s="18" t="n">
        <v>200200</v>
      </c>
      <c r="J1050" s="19" t="n">
        <v>211200</v>
      </c>
      <c r="K1050" s="20" t="n">
        <v>5</v>
      </c>
      <c r="L1050" s="4" t="inlineStr">
        <is>
          <t>https://www.gucci.com/jp/ja/pr/jewellery-watches/gold-jewellery/gold-jewellery-for-women/gucci-link-to-love-chain-earrings-with-gucci-bar-p-662115J85005702</t>
        </is>
      </c>
      <c r="M1050" s="5">
        <f t="array" ref="M1050">_xlfn.IFS(J1050="NOTFOUND",I1050,J1050&gt;=I1050,J1050)</f>
        <v/>
      </c>
    </row>
    <row r="1051" ht="18" customHeight="1" s="16">
      <c r="A1051" s="5" t="n">
        <v>1050</v>
      </c>
      <c r="B1051" s="2" t="inlineStr">
        <is>
          <t>GU-3302</t>
        </is>
      </c>
      <c r="C1051" s="2" t="n"/>
      <c r="D1051" s="2" t="inlineStr">
        <is>
          <t>LINK TO LOVE GUCCI バー付き チェーン ピアス</t>
        </is>
      </c>
      <c r="E1051" s="2" t="inlineStr">
        <is>
          <t>662115 J8500 8000</t>
        </is>
      </c>
      <c r="F1051" s="2" t="inlineStr">
        <is>
          <t>18K イエローゴールド</t>
        </is>
      </c>
      <c r="G1051" s="10" t="inlineStr">
        <is>
          <t>OneSize</t>
        </is>
      </c>
      <c r="H1051" s="17" t="inlineStr">
        <is>
          <t>OneSize</t>
        </is>
      </c>
      <c r="I1051" s="18" t="n">
        <v>200200</v>
      </c>
      <c r="J1051" s="19" t="n">
        <v>211200</v>
      </c>
      <c r="K1051" s="20" t="n">
        <v>5</v>
      </c>
      <c r="L1051" s="4" t="inlineStr">
        <is>
          <t>https://www.gucci.com/jp/ja/pr/jewellery-watches/gold-jewellery/gold-jewellery-for-women/gucci-link-to-love-chain-earrings-with-gucci-bar-p-662115J85008000</t>
        </is>
      </c>
      <c r="M1051" s="5">
        <f t="array" ref="M1051">_xlfn.IFS(J1051="NOTFOUND",I1051,J1051&gt;=I1051,J1051)</f>
        <v/>
      </c>
    </row>
    <row r="1052" ht="18" customHeight="1" s="16">
      <c r="A1052" s="5" t="n">
        <v>1051</v>
      </c>
      <c r="B1052" s="2" t="inlineStr">
        <is>
          <t>GU-3303</t>
        </is>
      </c>
      <c r="C1052" s="2" t="n"/>
      <c r="D1052" s="2" t="inlineStr">
        <is>
          <t>LINK TO LOVE GUCCI バー付き ネックレス</t>
        </is>
      </c>
      <c r="E1052" s="2" t="inlineStr">
        <is>
          <t>662108 J8500 5702</t>
        </is>
      </c>
      <c r="F1052" s="2" t="inlineStr">
        <is>
          <t>18K ピンクゴールド</t>
        </is>
      </c>
      <c r="G1052" s="10" t="inlineStr">
        <is>
          <t>OneSize</t>
        </is>
      </c>
      <c r="H1052" s="17" t="inlineStr">
        <is>
          <t>OneSize</t>
        </is>
      </c>
      <c r="I1052" s="18" t="n">
        <v>236500</v>
      </c>
      <c r="J1052" s="19" t="n">
        <v>253000</v>
      </c>
      <c r="K1052" s="20" t="n">
        <v>5</v>
      </c>
      <c r="L1052" s="4" t="inlineStr">
        <is>
          <t>https://www.gucci.com/jp/ja/pr/jewellery-watches/gold-jewellery/gold-jewellery-for-women/gucci-link-to-love-necklace-with-gucci-bar-p-662108J85005702</t>
        </is>
      </c>
      <c r="M1052" s="5">
        <f t="array" ref="M1052">_xlfn.IFS(J1052="NOTFOUND",I1052,J1052&gt;=I1052,J1052)</f>
        <v/>
      </c>
    </row>
    <row r="1053" ht="18" customHeight="1" s="16">
      <c r="A1053" s="5" t="n">
        <v>1052</v>
      </c>
      <c r="B1053" s="2" t="inlineStr">
        <is>
          <t>GU-3304</t>
        </is>
      </c>
      <c r="C1053" s="2" t="n"/>
      <c r="D1053" s="2" t="inlineStr">
        <is>
          <t>LINK TO LOVE GUCCI バー付き ネックレス</t>
        </is>
      </c>
      <c r="E1053" s="2" t="inlineStr">
        <is>
          <t>662108 J8500 8000</t>
        </is>
      </c>
      <c r="F1053" s="2" t="inlineStr">
        <is>
          <t>18K イエローゴールド</t>
        </is>
      </c>
      <c r="G1053" s="10" t="inlineStr">
        <is>
          <t>OneSize</t>
        </is>
      </c>
      <c r="H1053" s="17" t="inlineStr">
        <is>
          <t>OneSize</t>
        </is>
      </c>
      <c r="I1053" s="18" t="n">
        <v>236500</v>
      </c>
      <c r="J1053" s="19" t="n">
        <v>253000</v>
      </c>
      <c r="K1053" s="20" t="n">
        <v>5</v>
      </c>
      <c r="L1053" s="4" t="inlineStr">
        <is>
          <t>https://www.gucci.com/jp/ja/pr/jewellery-watches/gold-jewellery/gold-jewellery-for-women/gucci-link-to-love-necklace-with-gucci-bar-p-662108J85008000</t>
        </is>
      </c>
      <c r="M1053" s="5">
        <f t="array" ref="M1053">_xlfn.IFS(J1053="NOTFOUND",I1053,J1053&gt;=I1053,J1053)</f>
        <v/>
      </c>
    </row>
    <row r="1054" ht="18" customHeight="1" s="16">
      <c r="A1054" s="5" t="n">
        <v>1053</v>
      </c>
      <c r="B1054" s="2" t="inlineStr">
        <is>
          <t>GU-3305</t>
        </is>
      </c>
      <c r="C1054" s="2" t="n"/>
      <c r="D1054" s="2" t="inlineStr">
        <is>
          <t>LINK TO LOVE GUCCI バー付き ブレスレット</t>
        </is>
      </c>
      <c r="E1054" s="2" t="inlineStr">
        <is>
          <t>662106 J8500 5702</t>
        </is>
      </c>
      <c r="F1054" s="2" t="inlineStr">
        <is>
          <t>18K ピンクゴールド</t>
        </is>
      </c>
      <c r="G1054" s="10" t="inlineStr">
        <is>
          <t>16</t>
        </is>
      </c>
      <c r="H1054" s="17" t="inlineStr">
        <is>
          <t>OneSize</t>
        </is>
      </c>
      <c r="I1054" s="18" t="n">
        <v>176000</v>
      </c>
      <c r="J1054" s="19" t="n">
        <v>187000</v>
      </c>
      <c r="K1054" s="20" t="n">
        <v>5</v>
      </c>
      <c r="L1054" s="4" t="inlineStr">
        <is>
          <t>https://www.gucci.com/jp/ja/pr/jewellery-watches/gold-jewellery/gold-jewellery-for-women/gucci-link-to-love-bracelet-with-gucci-bar-p-662106J85005702</t>
        </is>
      </c>
      <c r="M1054" s="5">
        <f t="array" ref="M1054">_xlfn.IFS(J1054="NOTFOUND",I1054,J1054&gt;=I1054,J1054)</f>
        <v/>
      </c>
    </row>
    <row r="1055" ht="18" customHeight="1" s="16">
      <c r="A1055" s="5" t="n">
        <v>1054</v>
      </c>
      <c r="B1055" s="2" t="inlineStr">
        <is>
          <t>GU-3306</t>
        </is>
      </c>
      <c r="C1055" s="2" t="n"/>
      <c r="D1055" s="2" t="inlineStr">
        <is>
          <t>LINK TO LOVE GUCCI バー付き ブレスレット</t>
        </is>
      </c>
      <c r="E1055" s="2" t="inlineStr">
        <is>
          <t>662106 J8500 8000</t>
        </is>
      </c>
      <c r="F1055" s="2" t="inlineStr">
        <is>
          <t>18K イエローゴールド</t>
        </is>
      </c>
      <c r="G1055" s="10" t="inlineStr">
        <is>
          <t>16</t>
        </is>
      </c>
      <c r="H1055" s="17" t="inlineStr">
        <is>
          <t>OneSize</t>
        </is>
      </c>
      <c r="I1055" s="18" t="n">
        <v>176000</v>
      </c>
      <c r="J1055" s="19" t="n">
        <v>187000</v>
      </c>
      <c r="K1055" s="20" t="n">
        <v>5</v>
      </c>
      <c r="L1055" s="4" t="inlineStr">
        <is>
          <t>https://www.gucci.com/jp/ja/pr/jewellery-watches/gold-jewellery/gold-jewellery-for-women/gucci-link-to-love-bracelet-with-gucci-bar-p-662106J85008000</t>
        </is>
      </c>
      <c r="M1055" s="5">
        <f t="array" ref="M1055">_xlfn.IFS(J1055="NOTFOUND",I1055,J1055&gt;=I1055,J1055)</f>
        <v/>
      </c>
    </row>
    <row r="1056" ht="18" customHeight="1" s="16">
      <c r="A1056" s="5" t="n">
        <v>1055</v>
      </c>
      <c r="B1056" s="2" t="inlineStr">
        <is>
          <t>GU-3307</t>
        </is>
      </c>
      <c r="C1056" s="2" t="n"/>
      <c r="D1056" s="2" t="inlineStr">
        <is>
          <t>アイコン イエローゴールド インターロッキングG リング</t>
        </is>
      </c>
      <c r="E1056" s="2" t="inlineStr">
        <is>
          <t>606826 I0H11 8029</t>
        </is>
      </c>
      <c r="F1056" s="2" t="inlineStr">
        <is>
          <t>18K イエローゴールド</t>
        </is>
      </c>
      <c r="G1056" s="10" t="inlineStr">
        <is>
          <t>8_9_10_11_12_13_14_15_16_17_18_19_20_21_22_23</t>
        </is>
      </c>
      <c r="H1056" s="17" t="inlineStr">
        <is>
          <t>8_9_10_11_12_13_14_15_16_17_18_19_20_21_22_23</t>
        </is>
      </c>
      <c r="I1056" s="18" t="n">
        <v>132000</v>
      </c>
      <c r="J1056" s="19" t="n">
        <v>137500</v>
      </c>
      <c r="K1056" s="20" t="n">
        <v>5</v>
      </c>
      <c r="L1056" s="4" t="inlineStr">
        <is>
          <t>https://www.gucci.com/jp/ja/pr/jewellery-watches/gold-jewellery/gold-jewellery-for-women/icon-ring-with-yellow-gold-interlocking-g-p-606826I0H118029</t>
        </is>
      </c>
      <c r="M1056" s="5">
        <f t="array" ref="M1056">_xlfn.IFS(J1056="NOTFOUND",I1056,J1056&gt;=I1056,J1056)</f>
        <v/>
      </c>
    </row>
    <row r="1057" ht="18" customHeight="1" s="16">
      <c r="A1057" s="5" t="n">
        <v>1056</v>
      </c>
      <c r="B1057" s="2" t="inlineStr">
        <is>
          <t>GU-3308</t>
        </is>
      </c>
      <c r="C1057" s="2" t="n"/>
      <c r="D1057" s="2" t="inlineStr">
        <is>
          <t>アイコン イエローゴールド インターロッキングG リング</t>
        </is>
      </c>
      <c r="E1057" s="2" t="inlineStr">
        <is>
          <t>606826 J85V5 8062</t>
        </is>
      </c>
      <c r="F1057" s="2" t="inlineStr">
        <is>
          <t>18K イエローゴールド</t>
        </is>
      </c>
      <c r="G1057" s="10" t="inlineStr">
        <is>
          <t>8_9_10_11_12_13_14_15_16_17_18_19_20_21_22_23_24_25</t>
        </is>
      </c>
      <c r="H1057" s="17" t="inlineStr">
        <is>
          <t>8_9_10_11_12_13_14_15_16_17_18_19_20_21_22_23_24_25</t>
        </is>
      </c>
      <c r="I1057" s="18" t="n">
        <v>132000</v>
      </c>
      <c r="J1057" s="19" t="n">
        <v>137500</v>
      </c>
      <c r="K1057" s="20" t="n">
        <v>5</v>
      </c>
      <c r="L1057" s="4" t="inlineStr">
        <is>
          <t>https://www.gucci.com/jp/ja/pr/jewellery-watches/gold-jewellery/gold-jewellery-for-women/icon-ring-with-yellow-gold-interlocking-g-p-606826J85V58062</t>
        </is>
      </c>
      <c r="M1057" s="5">
        <f t="array" ref="M1057">_xlfn.IFS(J1057="NOTFOUND",I1057,J1057&gt;=I1057,J1057)</f>
        <v/>
      </c>
    </row>
    <row r="1058" ht="18" customHeight="1" s="16">
      <c r="A1058" s="5" t="n">
        <v>1057</v>
      </c>
      <c r="B1058" s="2" t="inlineStr">
        <is>
          <t>GU-3309</t>
        </is>
      </c>
      <c r="C1058" s="2" t="n"/>
      <c r="D1058" s="2" t="inlineStr">
        <is>
          <t>アイコン ジェムストーン付き リング</t>
        </is>
      </c>
      <c r="E1058" s="2" t="inlineStr">
        <is>
          <t>527095 J8F76 8521</t>
        </is>
      </c>
      <c r="F1058" s="2" t="inlineStr">
        <is>
          <t>18K イエローゴールド</t>
        </is>
      </c>
      <c r="G1058" s="10" t="inlineStr">
        <is>
          <t>8_9_10_11_12_13_14_15_16_17_18_19_20_21_22</t>
        </is>
      </c>
      <c r="H1058" s="17" t="inlineStr">
        <is>
          <t>8_9_10_11_12_13_14_15_16_17_18_19_20_21_22</t>
        </is>
      </c>
      <c r="I1058" s="18" t="n">
        <v>159500</v>
      </c>
      <c r="J1058" s="19" t="n">
        <v>170500</v>
      </c>
      <c r="K1058" s="20" t="n">
        <v>5</v>
      </c>
      <c r="L1058" s="4" t="inlineStr">
        <is>
          <t>https://www.gucci.com/jp/ja/pr/jewellery-watches/gold-jewellery/gold-jewellery-for-women/icon-ring-with-gemstones-p-527095J8F768521</t>
        </is>
      </c>
      <c r="M1058" s="5">
        <f t="array" ref="M1058">_xlfn.IFS(J1058="NOTFOUND",I1058,J1058&gt;=I1058,J1058)</f>
        <v/>
      </c>
    </row>
    <row r="1059" ht="18" customHeight="1" s="16">
      <c r="A1059" s="5" t="n">
        <v>1058</v>
      </c>
      <c r="B1059" s="2" t="inlineStr">
        <is>
          <t>GU-3310</t>
        </is>
      </c>
      <c r="C1059" s="2" t="n"/>
      <c r="D1059" s="2" t="inlineStr">
        <is>
          <t>アイコン ジェムストーン付き リング</t>
        </is>
      </c>
      <c r="E1059" s="2" t="inlineStr">
        <is>
          <t>527095 J8F77 8522</t>
        </is>
      </c>
      <c r="F1059" s="2" t="inlineStr">
        <is>
          <t>18K イエローゴールド</t>
        </is>
      </c>
      <c r="G1059" s="10" t="inlineStr">
        <is>
          <t>8_9_10_11_12_13_14_15_16_17_18_19_20_21_22</t>
        </is>
      </c>
      <c r="H1059" s="17" t="inlineStr">
        <is>
          <t>8_9_10_11_12_13_14_15_16_17_18_19_20_21_22</t>
        </is>
      </c>
      <c r="I1059" s="18" t="n">
        <v>159500</v>
      </c>
      <c r="J1059" s="19" t="n">
        <v>170500</v>
      </c>
      <c r="K1059" s="20" t="n">
        <v>5</v>
      </c>
      <c r="L1059" s="4" t="inlineStr">
        <is>
          <t>https://www.gucci.com/jp/ja/pr/jewellery-watches/gold-jewellery/gold-jewellery-for-women/icon-ring-with-gemstones-p-527095J8F778522</t>
        </is>
      </c>
      <c r="M1059" s="5">
        <f t="array" ref="M1059">_xlfn.IFS(J1059="NOTFOUND",I1059,J1059&gt;=I1059,J1059)</f>
        <v/>
      </c>
    </row>
    <row r="1060" ht="18" customHeight="1" s="16">
      <c r="A1060" s="5" t="n">
        <v>1059</v>
      </c>
      <c r="B1060" s="2" t="inlineStr">
        <is>
          <t>GU-3311</t>
        </is>
      </c>
      <c r="C1060" s="2" t="n"/>
      <c r="D1060" s="2" t="inlineStr">
        <is>
          <t>GGランニング 18K ピアス</t>
        </is>
      </c>
      <c r="E1060" s="2" t="inlineStr">
        <is>
          <t>648604 J8500 8000</t>
        </is>
      </c>
      <c r="F1060" s="2" t="inlineStr">
        <is>
          <t xml:space="preserve">  -</t>
        </is>
      </c>
      <c r="G1060" s="10" t="inlineStr">
        <is>
          <t>OneSize</t>
        </is>
      </c>
      <c r="H1060" s="17" t="inlineStr">
        <is>
          <t>OneSize</t>
        </is>
      </c>
      <c r="I1060" s="18" t="n">
        <v>132000</v>
      </c>
      <c r="J1060" s="19" t="n">
        <v>137500</v>
      </c>
      <c r="K1060" s="20" t="n">
        <v>5</v>
      </c>
      <c r="L1060" s="4" t="inlineStr">
        <is>
          <t>https://www.gucci.com/jp/ja/pr/jewellery-watches/gold-jewellery/gold-jewellery-for-women/gg-running-18k-earrings-p-648604J85008000</t>
        </is>
      </c>
      <c r="M1060" s="5">
        <f t="array" ref="M1060">_xlfn.IFS(J1060="NOTFOUND",I1060,J1060&gt;=I1060,J1060)</f>
        <v/>
      </c>
    </row>
    <row r="1061" ht="18" customHeight="1" s="16">
      <c r="A1061" s="5" t="n">
        <v>1060</v>
      </c>
      <c r="B1061" s="2" t="inlineStr">
        <is>
          <t>GU-3312</t>
        </is>
      </c>
      <c r="C1061" s="2" t="n"/>
      <c r="D1061" s="2" t="inlineStr">
        <is>
          <t>ダブルG ダイヤモンド付き カフ</t>
        </is>
      </c>
      <c r="E1061" s="2" t="inlineStr">
        <is>
          <t>481662 J8540 8000</t>
        </is>
      </c>
      <c r="F1061" s="2" t="inlineStr">
        <is>
          <t>18K イエローゴールド</t>
        </is>
      </c>
      <c r="G1061" s="10" t="inlineStr">
        <is>
          <t>16_17_18</t>
        </is>
      </c>
      <c r="H1061" s="17" t="inlineStr">
        <is>
          <t>16_17_18</t>
        </is>
      </c>
      <c r="I1061" s="18" t="n">
        <v>374000</v>
      </c>
      <c r="J1061" s="19" t="n">
        <v>385000</v>
      </c>
      <c r="K1061" s="20" t="n">
        <v>5</v>
      </c>
      <c r="L1061" s="4" t="inlineStr">
        <is>
          <t>https://www.gucci.com/jp/ja/pr/jewellery-watches/gold-jewellery/gold-jewellery-for-women/gg-running-cuff-with-diamonds-p-481662J85408000</t>
        </is>
      </c>
      <c r="M1061" s="5">
        <f t="array" ref="M1061">_xlfn.IFS(J1061="NOTFOUND",I1061,J1061&gt;=I1061,J1061)</f>
        <v/>
      </c>
    </row>
    <row r="1062" ht="18" customHeight="1" s="16">
      <c r="A1062" s="5" t="n">
        <v>1061</v>
      </c>
      <c r="B1062" s="2" t="inlineStr">
        <is>
          <t>GU-3313</t>
        </is>
      </c>
      <c r="C1062" s="2" t="n"/>
      <c r="D1062" s="2" t="inlineStr">
        <is>
          <t>ダイヤモンド付き ダブルG スタッズ ピアス</t>
        </is>
      </c>
      <c r="E1062" s="2" t="inlineStr">
        <is>
          <t>481678 J8540 9066</t>
        </is>
      </c>
      <c r="F1062" s="2" t="inlineStr">
        <is>
          <t xml:space="preserve">  -</t>
        </is>
      </c>
      <c r="G1062" s="11" t="inlineStr">
        <is>
          <t>SOLD</t>
        </is>
      </c>
      <c r="H1062" s="22" t="inlineStr">
        <is>
          <t>SOLD</t>
        </is>
      </c>
      <c r="I1062" s="18" t="n">
        <v>264000</v>
      </c>
      <c r="J1062" s="23" t="inlineStr">
        <is>
          <t>NOTFOUND</t>
        </is>
      </c>
      <c r="K1062" s="20" t="n">
        <v>0</v>
      </c>
      <c r="L1062" s="4" t="inlineStr">
        <is>
          <t>https://www.gucci.com/jp/ja/pr/jewellery-watches/gold-jewellery/gold-jewellery-for-women/gg-running-studs-with-diamonds-p-481678J85409066</t>
        </is>
      </c>
      <c r="M1062" s="5">
        <f t="array" ref="M1062">_xlfn.IFS(J1062="NOTFOUND",I1062,J1062&gt;=I1062,J1062)</f>
        <v/>
      </c>
    </row>
    <row r="1063" ht="18" customHeight="1" s="16">
      <c r="A1063" s="5" t="n">
        <v>1062</v>
      </c>
      <c r="B1063" s="2" t="inlineStr">
        <is>
          <t>GU-3314</t>
        </is>
      </c>
      <c r="C1063" s="2" t="n"/>
      <c r="D1063" s="2" t="inlineStr">
        <is>
          <t>GG ランニング ダイヤモンド付き 18K カフブレスレット</t>
        </is>
      </c>
      <c r="E1063" s="2" t="inlineStr">
        <is>
          <t>481662 J8568 9066</t>
        </is>
      </c>
      <c r="F1063" s="2" t="inlineStr">
        <is>
          <t>ホワイトゴールド</t>
        </is>
      </c>
      <c r="G1063" s="10" t="inlineStr">
        <is>
          <t>16_17_18</t>
        </is>
      </c>
      <c r="H1063" s="17" t="inlineStr">
        <is>
          <t>16_17_18</t>
        </is>
      </c>
      <c r="I1063" s="18" t="n">
        <v>385000</v>
      </c>
      <c r="J1063" s="19" t="n">
        <v>390500</v>
      </c>
      <c r="K1063" s="20" t="n">
        <v>5</v>
      </c>
      <c r="L1063" s="4" t="inlineStr">
        <is>
          <t>https://www.gucci.com/jp/ja/pr/jewellery-watches/gold-jewellery/gold-jewellery-for-women/gg-running-18k-cuff-with-diamonds-p-481662J85689066</t>
        </is>
      </c>
      <c r="M1063" s="5">
        <f t="array" ref="M1063">_xlfn.IFS(J1063="NOTFOUND",I1063,J1063&gt;=I1063,J1063)</f>
        <v/>
      </c>
    </row>
    <row r="1064" ht="18" customHeight="1" s="16">
      <c r="A1064" s="5" t="n">
        <v>1063</v>
      </c>
      <c r="B1064" s="2" t="inlineStr">
        <is>
          <t>GU-3315</t>
        </is>
      </c>
      <c r="C1064" s="2" t="n"/>
      <c r="D1064" s="2" t="inlineStr">
        <is>
          <t>ホワイトゴールド ダブルG ネックレス</t>
        </is>
      </c>
      <c r="E1064" s="2" t="inlineStr">
        <is>
          <t>479231 J8540 9066</t>
        </is>
      </c>
      <c r="F1064" s="2" t="inlineStr">
        <is>
          <t xml:space="preserve">  -</t>
        </is>
      </c>
      <c r="G1064" s="11" t="inlineStr">
        <is>
          <t>SOLD</t>
        </is>
      </c>
      <c r="H1064" s="22" t="inlineStr">
        <is>
          <t>SOLD</t>
        </is>
      </c>
      <c r="I1064" s="18" t="n">
        <v>308000</v>
      </c>
      <c r="J1064" s="23" t="inlineStr">
        <is>
          <t>NOTFOUND</t>
        </is>
      </c>
      <c r="K1064" s="20" t="n">
        <v>0</v>
      </c>
      <c r="L1064" s="4" t="inlineStr">
        <is>
          <t>https://www.gucci.com/jp/ja/pr/jewellery-watches/gold-jewellery/gold-jewellery-for-women/gg-running-necklace-in-white-gold-p-479231J85409066</t>
        </is>
      </c>
      <c r="M1064" s="5">
        <f t="array" ref="M1064">_xlfn.IFS(J1064="NOTFOUND",I1064,J1064&gt;=I1064,J1064)</f>
        <v/>
      </c>
    </row>
    <row r="1065" ht="18" customHeight="1" s="16">
      <c r="A1065" s="5" t="n">
        <v>1064</v>
      </c>
      <c r="B1065" s="2" t="inlineStr">
        <is>
          <t>GU-3316</t>
        </is>
      </c>
      <c r="C1065" s="2" t="n"/>
      <c r="D1065" s="2" t="inlineStr">
        <is>
          <t>GG スタッズ 18K ピアス</t>
        </is>
      </c>
      <c r="E1065" s="2" t="inlineStr">
        <is>
          <t>094074 J8502 9000</t>
        </is>
      </c>
      <c r="F1065" s="2" t="inlineStr">
        <is>
          <t>ホワイトゴールド</t>
        </is>
      </c>
      <c r="G1065" s="11" t="inlineStr">
        <is>
          <t>SOLD</t>
        </is>
      </c>
      <c r="H1065" s="22" t="inlineStr">
        <is>
          <t>SOLD</t>
        </is>
      </c>
      <c r="I1065" s="18" t="n">
        <v>123200</v>
      </c>
      <c r="J1065" s="23" t="inlineStr">
        <is>
          <t>NOTFOUND</t>
        </is>
      </c>
      <c r="K1065" s="20" t="n">
        <v>0</v>
      </c>
      <c r="L1065" s="4" t="inlineStr">
        <is>
          <t>https://www.gucci.com/jp/ja/pr/jewellery-watches/gold-jewellery/gold-jewellery-for-women/gg-running-stud-earrings-p-094074J85029000</t>
        </is>
      </c>
      <c r="M1065" s="5">
        <f t="array" ref="M1065">_xlfn.IFS(J1065="NOTFOUND",I1065,J1065&gt;=I1065,J1065)</f>
        <v/>
      </c>
    </row>
    <row r="1066" ht="18" customHeight="1" s="16">
      <c r="A1066" s="5" t="n">
        <v>1065</v>
      </c>
      <c r="B1066" s="2" t="inlineStr">
        <is>
          <t>GU-3317</t>
        </is>
      </c>
      <c r="C1066" s="2" t="n"/>
      <c r="D1066" s="2" t="inlineStr">
        <is>
          <t>アイコン スター ブレスレット</t>
        </is>
      </c>
      <c r="E1066" s="2" t="inlineStr">
        <is>
          <t>729370 J8500 8000</t>
        </is>
      </c>
      <c r="F1066" s="2" t="inlineStr">
        <is>
          <t xml:space="preserve">  -</t>
        </is>
      </c>
      <c r="G1066" s="11" t="inlineStr">
        <is>
          <t>SOLD</t>
        </is>
      </c>
      <c r="H1066" s="22" t="inlineStr">
        <is>
          <t>SOLD</t>
        </is>
      </c>
      <c r="I1066" s="18" t="n">
        <v>346500</v>
      </c>
      <c r="J1066" s="23" t="inlineStr">
        <is>
          <t>NOTFOUND</t>
        </is>
      </c>
      <c r="K1066" s="20" t="n">
        <v>0</v>
      </c>
      <c r="L1066" s="4" t="inlineStr">
        <is>
          <t>https://www.gucci.com/jp/ja/pr/jewellery-watches/gold-jewellery/gold-jewellery-for-women/icon-18k-star-bracelet-p-729370J85008000</t>
        </is>
      </c>
      <c r="M1066" s="5">
        <f t="array" ref="M1066">_xlfn.IFS(J1066="NOTFOUND",I1066,J1066&gt;=I1066,J1066)</f>
        <v/>
      </c>
    </row>
    <row r="1067" ht="18" customHeight="1" s="16">
      <c r="A1067" s="5" t="n">
        <v>1066</v>
      </c>
      <c r="B1067" s="2" t="inlineStr">
        <is>
          <t>GU-3318</t>
        </is>
      </c>
      <c r="C1067" s="2" t="n"/>
      <c r="D1067" s="2" t="inlineStr">
        <is>
          <t>アイコン 18K スター ネックレス</t>
        </is>
      </c>
      <c r="E1067" s="2" t="inlineStr">
        <is>
          <t>729363 J8500 8000</t>
        </is>
      </c>
      <c r="F1067" s="2" t="inlineStr">
        <is>
          <t xml:space="preserve">  -</t>
        </is>
      </c>
      <c r="G1067" s="11" t="inlineStr">
        <is>
          <t>SOLD</t>
        </is>
      </c>
      <c r="H1067" s="22" t="inlineStr">
        <is>
          <t>SOLD</t>
        </is>
      </c>
      <c r="I1067" s="18" t="n">
        <v>379500</v>
      </c>
      <c r="J1067" s="23" t="inlineStr">
        <is>
          <t>NOTFOUND</t>
        </is>
      </c>
      <c r="K1067" s="20" t="n">
        <v>0</v>
      </c>
      <c r="L1067" s="4" t="inlineStr">
        <is>
          <t>https://www.gucci.com/jp/ja/pr/jewellery-watches/gold-jewellery/gold-jewellery-for-women/icon-18k-star-necklace-p-729363J85008000</t>
        </is>
      </c>
      <c r="M1067" s="5">
        <f t="array" ref="M1067">_xlfn.IFS(J1067="NOTFOUND",I1067,J1067&gt;=I1067,J1067)</f>
        <v/>
      </c>
    </row>
    <row r="1068" ht="18" customHeight="1" s="16">
      <c r="A1068" s="5" t="n">
        <v>1067</v>
      </c>
      <c r="B1068" s="2" t="inlineStr">
        <is>
          <t>GU-3319</t>
        </is>
      </c>
      <c r="C1068" s="2" t="n"/>
      <c r="D1068" s="2" t="inlineStr">
        <is>
          <t>アイコン ハート ブレスレット</t>
        </is>
      </c>
      <c r="E1068" s="2" t="inlineStr">
        <is>
          <t>729383 J8500 5702</t>
        </is>
      </c>
      <c r="F1068" s="2" t="inlineStr">
        <is>
          <t>18K ピンクゴールド</t>
        </is>
      </c>
      <c r="G1068" s="11" t="inlineStr">
        <is>
          <t>SOLD</t>
        </is>
      </c>
      <c r="H1068" s="22" t="inlineStr">
        <is>
          <t>SOLD</t>
        </is>
      </c>
      <c r="I1068" s="18" t="n">
        <v>346500</v>
      </c>
      <c r="J1068" s="23" t="inlineStr">
        <is>
          <t>NOTFOUND</t>
        </is>
      </c>
      <c r="K1068" s="20" t="n">
        <v>0</v>
      </c>
      <c r="L1068" s="4" t="inlineStr">
        <is>
          <t>https://www.gucci.com/jp/ja/pr/jewellery-watches/gold-jewellery/gold-jewellery-for-women/icon-18k-heart-bracelet-p-729383J85005702</t>
        </is>
      </c>
      <c r="M1068" s="5">
        <f t="array" ref="M1068">_xlfn.IFS(J1068="NOTFOUND",I1068,J1068&gt;=I1068,J1068)</f>
        <v/>
      </c>
    </row>
    <row r="1069" ht="18" customHeight="1" s="16">
      <c r="A1069" s="5" t="n">
        <v>1068</v>
      </c>
      <c r="B1069" s="2" t="inlineStr">
        <is>
          <t>GU-3320</t>
        </is>
      </c>
      <c r="C1069" s="2" t="n"/>
      <c r="D1069" s="2" t="inlineStr">
        <is>
          <t>アイコン 18K ハート ネックレス</t>
        </is>
      </c>
      <c r="E1069" s="2" t="inlineStr">
        <is>
          <t>729373 J8500 5702</t>
        </is>
      </c>
      <c r="F1069" s="2" t="inlineStr">
        <is>
          <t>18K ピンクゴールド</t>
        </is>
      </c>
      <c r="G1069" s="11" t="inlineStr">
        <is>
          <t>SOLD</t>
        </is>
      </c>
      <c r="H1069" s="22" t="inlineStr">
        <is>
          <t>SOLD</t>
        </is>
      </c>
      <c r="I1069" s="18" t="n">
        <v>379500</v>
      </c>
      <c r="J1069" s="23" t="inlineStr">
        <is>
          <t>NOTFOUND</t>
        </is>
      </c>
      <c r="K1069" s="20" t="n">
        <v>0</v>
      </c>
      <c r="L1069" s="4" t="inlineStr">
        <is>
          <t>https://www.gucci.com/jp/ja/pr/jewellery-watches/gold-jewellery/gold-jewellery-for-women/icon-18k-heart-necklace-p-729373J85005702</t>
        </is>
      </c>
      <c r="M1069" s="5">
        <f t="array" ref="M1069">_xlfn.IFS(J1069="NOTFOUND",I1069,J1069&gt;=I1069,J1069)</f>
        <v/>
      </c>
    </row>
    <row r="1070" ht="18" customHeight="1" s="16">
      <c r="A1070" s="5" t="n">
        <v>1069</v>
      </c>
      <c r="B1070" s="2" t="inlineStr">
        <is>
          <t>GU-3321</t>
        </is>
      </c>
      <c r="C1070" s="2" t="n"/>
      <c r="D1070" s="2" t="inlineStr">
        <is>
          <t>アイコン 18K ハート ブレスレット</t>
        </is>
      </c>
      <c r="E1070" s="2" t="inlineStr">
        <is>
          <t>729383 J8502 9000</t>
        </is>
      </c>
      <c r="F1070" s="2" t="inlineStr">
        <is>
          <t>18K ホワイトゴールド</t>
        </is>
      </c>
      <c r="G1070" s="11" t="inlineStr">
        <is>
          <t>SOLD</t>
        </is>
      </c>
      <c r="H1070" s="22" t="inlineStr">
        <is>
          <t>SOLD</t>
        </is>
      </c>
      <c r="I1070" s="18" t="n">
        <v>363000</v>
      </c>
      <c r="J1070" s="23" t="inlineStr">
        <is>
          <t>NOTFOUND</t>
        </is>
      </c>
      <c r="K1070" s="20" t="n">
        <v>0</v>
      </c>
      <c r="L1070" s="4" t="inlineStr">
        <is>
          <t>https://www.gucci.com/jp/ja/pr/jewellery-watches/gold-jewellery/gold-jewellery-for-women/icon-18k-heart-bracelet-p-729383J85029000</t>
        </is>
      </c>
      <c r="M1070" s="5">
        <f t="array" ref="M1070">_xlfn.IFS(J1070="NOTFOUND",I1070,J1070&gt;=I1070,J1070)</f>
        <v/>
      </c>
    </row>
    <row r="1071" ht="18" customHeight="1" s="16">
      <c r="A1071" s="5" t="n">
        <v>1070</v>
      </c>
      <c r="B1071" s="2" t="inlineStr">
        <is>
          <t>GU-3322</t>
        </is>
      </c>
      <c r="C1071" s="2" t="n"/>
      <c r="D1071" s="2" t="inlineStr">
        <is>
          <t>アイコン 18K ハート ネックレス</t>
        </is>
      </c>
      <c r="E1071" s="2" t="inlineStr">
        <is>
          <t>729373 J8502 9000</t>
        </is>
      </c>
      <c r="F1071" s="2" t="inlineStr">
        <is>
          <t>18K ホワイトゴールド</t>
        </is>
      </c>
      <c r="G1071" s="11" t="inlineStr">
        <is>
          <t>SOLD</t>
        </is>
      </c>
      <c r="H1071" s="22" t="inlineStr">
        <is>
          <t>SOLD</t>
        </is>
      </c>
      <c r="I1071" s="18" t="n">
        <v>401500</v>
      </c>
      <c r="J1071" s="23" t="inlineStr">
        <is>
          <t>NOTFOUND</t>
        </is>
      </c>
      <c r="K1071" s="20" t="n">
        <v>0</v>
      </c>
      <c r="L1071" s="4" t="inlineStr">
        <is>
          <t>https://www.gucci.com/jp/ja/pr/jewellery-watches/gold-jewellery/gold-jewellery-for-women/icon-18k-heart-necklace-p-729373J85029000</t>
        </is>
      </c>
      <c r="M1071" s="5">
        <f t="array" ref="M1071">_xlfn.IFS(J1071="NOTFOUND",I1071,J1071&gt;=I1071,J1071)</f>
        <v/>
      </c>
    </row>
    <row r="1072" ht="18" customHeight="1" s="16">
      <c r="A1072" s="5" t="n">
        <v>1071</v>
      </c>
      <c r="B1072" s="2" t="inlineStr">
        <is>
          <t>GU-3323</t>
        </is>
      </c>
      <c r="C1072" s="2" t="n"/>
      <c r="D1072" s="2" t="inlineStr">
        <is>
          <t>ダブルG ペンダント ネックレス</t>
        </is>
      </c>
      <c r="E1072" s="2" t="inlineStr">
        <is>
          <t>814914 J8400 8106</t>
        </is>
      </c>
      <c r="F1072" s="2" t="inlineStr">
        <is>
          <t xml:space="preserve">  -</t>
        </is>
      </c>
      <c r="G1072" s="10" t="inlineStr">
        <is>
          <t>OneSize</t>
        </is>
      </c>
      <c r="H1072" s="17" t="inlineStr">
        <is>
          <t>OneSize</t>
        </is>
      </c>
      <c r="I1072" s="18" t="n">
        <v>69300</v>
      </c>
      <c r="J1072" s="19" t="n">
        <v>69300</v>
      </c>
      <c r="K1072" s="20" t="n">
        <v>5</v>
      </c>
      <c r="L1072" s="4" t="inlineStr">
        <is>
          <t>https://www.gucci.com/jp/ja/pr/jewellery-watches/silver-jewellery/silver-necklaces/gg-marmont-pendant-necklace-p-814914J84008106</t>
        </is>
      </c>
      <c r="M1072" s="5">
        <f t="array" ref="M1072">_xlfn.IFS(J1072="NOTFOUND",I1072,J1072&gt;=I1072,J1072)</f>
        <v/>
      </c>
    </row>
    <row r="1073" ht="18" customHeight="1" s="16">
      <c r="A1073" s="5" t="n">
        <v>1072</v>
      </c>
      <c r="B1073" s="2" t="inlineStr">
        <is>
          <t>GU-3324</t>
        </is>
      </c>
      <c r="C1073" s="2" t="n"/>
      <c r="D1073" s="2" t="inlineStr">
        <is>
          <t>ダブルG チェーン ブレスレット</t>
        </is>
      </c>
      <c r="E1073" s="2" t="inlineStr">
        <is>
          <t>814917 J8400 8106</t>
        </is>
      </c>
      <c r="F1073" s="2" t="inlineStr">
        <is>
          <t xml:space="preserve">  -</t>
        </is>
      </c>
      <c r="G1073" s="10" t="inlineStr">
        <is>
          <t>16_17_18_19</t>
        </is>
      </c>
      <c r="H1073" s="17" t="inlineStr">
        <is>
          <t>16_17_18_19</t>
        </is>
      </c>
      <c r="I1073" s="18" t="n">
        <v>60500</v>
      </c>
      <c r="J1073" s="19" t="n">
        <v>60500</v>
      </c>
      <c r="K1073" s="20" t="n">
        <v>5</v>
      </c>
      <c r="L1073" s="4" t="inlineStr">
        <is>
          <t>https://www.gucci.com/jp/ja/pr/jewellery-watches/silver-jewellery/silver-bracelets/gg-marmont-chain-bracelet-p-814917J84008106</t>
        </is>
      </c>
      <c r="M1073" s="5">
        <f t="array" ref="M1073">_xlfn.IFS(J1073="NOTFOUND",I1073,J1073&gt;=I1073,J1073)</f>
        <v/>
      </c>
    </row>
    <row r="1074" ht="18" customHeight="1" s="16">
      <c r="A1074" s="5" t="n">
        <v>1073</v>
      </c>
      <c r="B1074" s="2" t="inlineStr">
        <is>
          <t>GU-3325</t>
        </is>
      </c>
      <c r="C1074" s="2" t="n"/>
      <c r="D1074" s="2" t="inlineStr">
        <is>
          <t>ダブルG ピアス</t>
        </is>
      </c>
      <c r="E1074" s="2" t="inlineStr">
        <is>
          <t>770758 J8400 8106</t>
        </is>
      </c>
      <c r="F1074" s="2" t="inlineStr">
        <is>
          <t xml:space="preserve">  -</t>
        </is>
      </c>
      <c r="G1074" s="10" t="inlineStr">
        <is>
          <t>OneSize</t>
        </is>
      </c>
      <c r="H1074" s="17" t="inlineStr">
        <is>
          <t>OneSize</t>
        </is>
      </c>
      <c r="I1074" s="18" t="n">
        <v>57200</v>
      </c>
      <c r="J1074" s="19" t="n">
        <v>49500</v>
      </c>
      <c r="K1074" s="20" t="n">
        <v>5</v>
      </c>
      <c r="L1074" s="4" t="inlineStr">
        <is>
          <t>https://www.gucci.com/jp/ja/pr/jewellery-watches/silver-jewellery/silver-earrings/gg-marmont-earrings-p-770758J84008106</t>
        </is>
      </c>
      <c r="M1074" s="5">
        <f t="array" ref="M1074">_xlfn.IFS(J1074="NOTFOUND",I1074,J1074&gt;=I1074,J1074)</f>
        <v/>
      </c>
    </row>
    <row r="1075" ht="18" customHeight="1" s="16">
      <c r="A1075" s="5" t="n">
        <v>1074</v>
      </c>
      <c r="B1075" s="2" t="inlineStr">
        <is>
          <t>GU-3326</t>
        </is>
      </c>
      <c r="C1075" s="2" t="n"/>
      <c r="D1075" s="2" t="inlineStr">
        <is>
          <t>ダブルG ネックレス</t>
        </is>
      </c>
      <c r="E1075" s="2" t="inlineStr">
        <is>
          <t>770724 J8400 8106</t>
        </is>
      </c>
      <c r="F1075" s="2" t="inlineStr">
        <is>
          <t xml:space="preserve">  -</t>
        </is>
      </c>
      <c r="G1075" s="10" t="inlineStr">
        <is>
          <t>OneSize</t>
        </is>
      </c>
      <c r="H1075" s="17" t="inlineStr">
        <is>
          <t>OneSize</t>
        </is>
      </c>
      <c r="I1075" s="18" t="n">
        <v>60500</v>
      </c>
      <c r="J1075" s="19" t="n">
        <v>51700</v>
      </c>
      <c r="K1075" s="20" t="n">
        <v>5</v>
      </c>
      <c r="L1075" s="4" t="inlineStr">
        <is>
          <t>https://www.gucci.com/jp/ja/pr/jewellery-watches/silver-jewellery/silver-jewelry-for-men/gg-marmont-necklace-p-770724J84008106</t>
        </is>
      </c>
      <c r="M1075" s="5">
        <f t="array" ref="M1075">_xlfn.IFS(J1075="NOTFOUND",I1075,J1075&gt;=I1075,J1075)</f>
        <v/>
      </c>
    </row>
    <row r="1076" ht="18" customHeight="1" s="16">
      <c r="A1076" s="5" t="n">
        <v>1075</v>
      </c>
      <c r="B1076" s="2" t="inlineStr">
        <is>
          <t>GU-3327</t>
        </is>
      </c>
      <c r="C1076" s="2" t="n"/>
      <c r="D1076" s="2" t="inlineStr">
        <is>
          <t>ダブルG ブレスレット</t>
        </is>
      </c>
      <c r="E1076" s="2" t="inlineStr">
        <is>
          <t>770756 J8400 8106</t>
        </is>
      </c>
      <c r="F1076" s="2" t="inlineStr">
        <is>
          <t xml:space="preserve">  -</t>
        </is>
      </c>
      <c r="G1076" s="10" t="inlineStr">
        <is>
          <t>16_17_18_19</t>
        </is>
      </c>
      <c r="H1076" s="17" t="inlineStr">
        <is>
          <t>16_17_18_19</t>
        </is>
      </c>
      <c r="I1076" s="18" t="n">
        <v>57200</v>
      </c>
      <c r="J1076" s="19" t="n">
        <v>49500</v>
      </c>
      <c r="K1076" s="20" t="n">
        <v>5</v>
      </c>
      <c r="L1076" s="4" t="inlineStr">
        <is>
          <t>https://www.gucci.com/jp/ja/pr/jewellery-watches/silver-jewellery/silver-jewelry-for-men/gg-marmont-bracelet-p-770756J84008106</t>
        </is>
      </c>
      <c r="M1076" s="5">
        <f t="array" ref="M1076">_xlfn.IFS(J1076="NOTFOUND",I1076,J1076&gt;=I1076,J1076)</f>
        <v/>
      </c>
    </row>
    <row r="1077" ht="18" customHeight="1" s="16">
      <c r="A1077" s="5" t="n">
        <v>1076</v>
      </c>
      <c r="B1077" s="2" t="inlineStr">
        <is>
          <t>GU-3328</t>
        </is>
      </c>
      <c r="C1077" s="2" t="n"/>
      <c r="D1077" s="2" t="inlineStr">
        <is>
          <t>ダブルG キーリング</t>
        </is>
      </c>
      <c r="E1077" s="2" t="inlineStr">
        <is>
          <t>627760 J8400 8106</t>
        </is>
      </c>
      <c r="F1077" s="2" t="inlineStr">
        <is>
          <t>スターリングシルバー</t>
        </is>
      </c>
      <c r="G1077" s="11" t="inlineStr">
        <is>
          <t>SOLD</t>
        </is>
      </c>
      <c r="H1077" s="22" t="inlineStr">
        <is>
          <t>SOLD</t>
        </is>
      </c>
      <c r="I1077" s="18" t="n">
        <v>60500</v>
      </c>
      <c r="J1077" s="23" t="inlineStr">
        <is>
          <t>NOTFOUND</t>
        </is>
      </c>
      <c r="K1077" s="20" t="n">
        <v>0</v>
      </c>
      <c r="L1077" s="4" t="inlineStr">
        <is>
          <t>https://www.gucci.com/jp/ja/pr/jewellery-watches/silver-jewellery/silver-jewelry-for-men/gg-marmont-key-ring-p-627760J84008106</t>
        </is>
      </c>
      <c r="M1077" s="5">
        <f t="array" ref="M1077">_xlfn.IFS(J1077="NOTFOUND",I1077,J1077&gt;=I1077,J1077)</f>
        <v/>
      </c>
    </row>
    <row r="1078" ht="18" customHeight="1" s="16">
      <c r="A1078" s="5" t="n">
        <v>1077</v>
      </c>
      <c r="B1078" s="2" t="inlineStr">
        <is>
          <t>GU-3329</t>
        </is>
      </c>
      <c r="C1078" s="2" t="n"/>
      <c r="D1078" s="2" t="inlineStr">
        <is>
          <t>ダブルG ピアス</t>
        </is>
      </c>
      <c r="E1078" s="2" t="inlineStr">
        <is>
          <t>627755 J8400 0701</t>
        </is>
      </c>
      <c r="F1078" s="2" t="inlineStr">
        <is>
          <t xml:space="preserve">  -</t>
        </is>
      </c>
      <c r="G1078" s="10" t="inlineStr">
        <is>
          <t>OneSize</t>
        </is>
      </c>
      <c r="H1078" s="17" t="inlineStr">
        <is>
          <t>OneSize</t>
        </is>
      </c>
      <c r="I1078" s="18" t="n">
        <v>57200</v>
      </c>
      <c r="J1078" s="19" t="n">
        <v>49500</v>
      </c>
      <c r="K1078" s="20" t="n">
        <v>5</v>
      </c>
      <c r="L1078" s="4" t="inlineStr">
        <is>
          <t>https://www.gucci.com/jp/ja/pr/jewellery-watches/silver-jewellery/silver-earrings/double-g-earrings-p-627755J84000701</t>
        </is>
      </c>
      <c r="M1078" s="5">
        <f t="array" ref="M1078">_xlfn.IFS(J1078="NOTFOUND",I1078,J1078&gt;=I1078,J1078)</f>
        <v/>
      </c>
    </row>
    <row r="1079" ht="18" customHeight="1" s="16">
      <c r="A1079" s="5" t="n">
        <v>1078</v>
      </c>
      <c r="B1079" s="2" t="inlineStr">
        <is>
          <t>GU-3330</t>
        </is>
      </c>
      <c r="C1079" s="2" t="n"/>
      <c r="D1079" s="2" t="inlineStr">
        <is>
          <t>ダブルG シルバー リング</t>
        </is>
      </c>
      <c r="E1079" s="2" t="inlineStr">
        <is>
          <t>551899 J8400 0811</t>
        </is>
      </c>
      <c r="F1079" s="2" t="inlineStr">
        <is>
          <t xml:space="preserve">  -</t>
        </is>
      </c>
      <c r="G1079" s="10" t="inlineStr">
        <is>
          <t>10_11_12_13_14_15_16_17_18_19_20_21_22_23_24_25_26</t>
        </is>
      </c>
      <c r="H1079" s="17" t="inlineStr">
        <is>
          <t>10_11_12_13_14_15_16_17_18_19_20_21_22_23_24_25_26</t>
        </is>
      </c>
      <c r="I1079" s="18" t="n">
        <v>64900</v>
      </c>
      <c r="J1079" s="19" t="n">
        <v>64900</v>
      </c>
      <c r="K1079" s="20" t="n">
        <v>5</v>
      </c>
      <c r="L1079" s="4" t="inlineStr">
        <is>
          <t>https://www.gucci.com/jp/ja/pr/jewellery-watches/silver-jewellery/silver-jewelry-for-men/ring-with-double-g-in-silver-p-551899J84000811</t>
        </is>
      </c>
      <c r="M1079" s="5">
        <f t="array" ref="M1079">_xlfn.IFS(J1079="NOTFOUND",I1079,J1079&gt;=I1079,J1079)</f>
        <v/>
      </c>
    </row>
    <row r="1080" ht="18" customHeight="1" s="16">
      <c r="A1080" s="5" t="n">
        <v>1079</v>
      </c>
      <c r="B1080" s="2" t="inlineStr">
        <is>
          <t>GU-3331</t>
        </is>
      </c>
      <c r="C1080" s="2" t="n"/>
      <c r="D1080" s="2" t="inlineStr">
        <is>
          <t>インターロッキング リング</t>
        </is>
      </c>
      <c r="E1080" s="2" t="inlineStr">
        <is>
          <t>814949 J8400 8106</t>
        </is>
      </c>
      <c r="F1080" s="2" t="inlineStr">
        <is>
          <t xml:space="preserve">  -</t>
        </is>
      </c>
      <c r="G1080" s="10" t="inlineStr">
        <is>
          <t>8_9_10_11_12_13_14_15_16_17_18_19_20_21_22_23_24_25_26</t>
        </is>
      </c>
      <c r="H1080" s="17" t="inlineStr">
        <is>
          <t>8_9_10_11_12_13_14_15_16_17_18_19_20_21_22_23_24_25_26</t>
        </is>
      </c>
      <c r="I1080" s="18" t="n">
        <v>60500</v>
      </c>
      <c r="J1080" s="19" t="n">
        <v>60500</v>
      </c>
      <c r="K1080" s="20" t="n">
        <v>5</v>
      </c>
      <c r="L1080" s="4" t="inlineStr">
        <is>
          <t>https://www.gucci.com/jp/ja/pr/jewellery-watches/silver-jewellery/silver-rings/gucci-interlocking-ring-p-814949J84008106</t>
        </is>
      </c>
      <c r="M1080" s="5">
        <f t="array" ref="M1080">_xlfn.IFS(J1080="NOTFOUND",I1080,J1080&gt;=I1080,J1080)</f>
        <v/>
      </c>
    </row>
    <row r="1081" ht="18" customHeight="1" s="16">
      <c r="A1081" s="5" t="n">
        <v>1080</v>
      </c>
      <c r="B1081" s="2" t="inlineStr">
        <is>
          <t>GU-3332</t>
        </is>
      </c>
      <c r="C1081" s="2" t="n"/>
      <c r="D1081" s="2" t="inlineStr">
        <is>
          <t>インターロッキング ペンダント ネックレス</t>
        </is>
      </c>
      <c r="E1081" s="2" t="inlineStr">
        <is>
          <t>818927 J8400 8106</t>
        </is>
      </c>
      <c r="F1081" s="2" t="inlineStr">
        <is>
          <t xml:space="preserve">  -</t>
        </is>
      </c>
      <c r="G1081" s="10" t="inlineStr">
        <is>
          <t>OneSize</t>
        </is>
      </c>
      <c r="H1081" s="17" t="inlineStr">
        <is>
          <t>OneSize</t>
        </is>
      </c>
      <c r="I1081" s="18" t="n">
        <v>71500</v>
      </c>
      <c r="J1081" s="19" t="n">
        <v>71500</v>
      </c>
      <c r="K1081" s="20" t="n">
        <v>5</v>
      </c>
      <c r="L1081" s="4" t="inlineStr">
        <is>
          <t>https://www.gucci.com/jp/ja/pr/jewellery-watches/silver-jewellery/silver-necklaces/gucci-interlocking-pendant-necklace-p-818927J84008106</t>
        </is>
      </c>
      <c r="M1081" s="5">
        <f t="array" ref="M1081">_xlfn.IFS(J1081="NOTFOUND",I1081,J1081&gt;=I1081,J1081)</f>
        <v/>
      </c>
    </row>
    <row r="1082" ht="18" customHeight="1" s="16">
      <c r="A1082" s="5" t="n">
        <v>1081</v>
      </c>
      <c r="B1082" s="2" t="inlineStr">
        <is>
          <t>GU-3333</t>
        </is>
      </c>
      <c r="C1082" s="2" t="n"/>
      <c r="D1082" s="2" t="inlineStr">
        <is>
          <t>インターロッキング スタッズピアス</t>
        </is>
      </c>
      <c r="E1082" s="2" t="inlineStr">
        <is>
          <t>814957 J8400 8106</t>
        </is>
      </c>
      <c r="F1082" s="2" t="inlineStr">
        <is>
          <t xml:space="preserve">  -</t>
        </is>
      </c>
      <c r="G1082" s="10" t="inlineStr">
        <is>
          <t>OneSize</t>
        </is>
      </c>
      <c r="H1082" s="17" t="inlineStr">
        <is>
          <t>OneSize</t>
        </is>
      </c>
      <c r="I1082" s="18" t="n">
        <v>69300</v>
      </c>
      <c r="J1082" s="19" t="n">
        <v>69300</v>
      </c>
      <c r="K1082" s="20" t="n">
        <v>5</v>
      </c>
      <c r="L1082" s="4" t="inlineStr">
        <is>
          <t>https://www.gucci.com/jp/ja/pr/jewellery-watches/silver-jewellery/silver-earrings/gucci-interlocking-stud-earrings-p-814957J84008106</t>
        </is>
      </c>
      <c r="M1082" s="5">
        <f t="array" ref="M1082">_xlfn.IFS(J1082="NOTFOUND",I1082,J1082&gt;=I1082,J1082)</f>
        <v/>
      </c>
    </row>
    <row r="1083" ht="18" customHeight="1" s="16">
      <c r="A1083" s="5" t="n">
        <v>1082</v>
      </c>
      <c r="B1083" s="2" t="inlineStr">
        <is>
          <t>GU-3334</t>
        </is>
      </c>
      <c r="C1083" s="2" t="n"/>
      <c r="D1083" s="2" t="inlineStr">
        <is>
          <t>インターロッキング ハギーピアス</t>
        </is>
      </c>
      <c r="E1083" s="2" t="inlineStr">
        <is>
          <t>817026 J8400 8106</t>
        </is>
      </c>
      <c r="F1083" s="2" t="inlineStr">
        <is>
          <t xml:space="preserve">  -</t>
        </is>
      </c>
      <c r="G1083" s="10" t="inlineStr">
        <is>
          <t>OneSize</t>
        </is>
      </c>
      <c r="H1083" s="17" t="inlineStr">
        <is>
          <t>OneSize</t>
        </is>
      </c>
      <c r="I1083" s="18" t="n">
        <v>91300</v>
      </c>
      <c r="J1083" s="19" t="n">
        <v>91300</v>
      </c>
      <c r="K1083" s="20" t="n">
        <v>5</v>
      </c>
      <c r="L1083" s="4" t="inlineStr">
        <is>
          <t>https://www.gucci.com/jp/ja/pr/jewellery-watches/silver-jewellery/silver-earrings/gucci-interlocking-huggie-earrings-p-817026J84008106</t>
        </is>
      </c>
      <c r="M1083" s="5">
        <f t="array" ref="M1083">_xlfn.IFS(J1083="NOTFOUND",I1083,J1083&gt;=I1083,J1083)</f>
        <v/>
      </c>
    </row>
    <row r="1084" ht="18" customHeight="1" s="16">
      <c r="A1084" s="5" t="n">
        <v>1083</v>
      </c>
      <c r="B1084" s="2" t="inlineStr">
        <is>
          <t>GU-3335</t>
        </is>
      </c>
      <c r="C1084" s="2" t="n"/>
      <c r="D1084" s="2" t="inlineStr">
        <is>
          <t>インターロッキングG シルバー カフリンクス</t>
        </is>
      </c>
      <c r="E1084" s="2" t="inlineStr">
        <is>
          <t>798542 J8400 8106</t>
        </is>
      </c>
      <c r="F1084" s="2" t="inlineStr">
        <is>
          <t xml:space="preserve">  -</t>
        </is>
      </c>
      <c r="G1084" s="10" t="inlineStr">
        <is>
          <t>OneSize</t>
        </is>
      </c>
      <c r="H1084" s="17" t="inlineStr">
        <is>
          <t>OneSize</t>
        </is>
      </c>
      <c r="I1084" s="18" t="n">
        <v>69300</v>
      </c>
      <c r="J1084" s="19" t="n">
        <v>69300</v>
      </c>
      <c r="K1084" s="20" t="n">
        <v>5</v>
      </c>
      <c r="L1084" s="4" t="inlineStr">
        <is>
          <t>https://www.gucci.com/jp/ja/pr/jewellery-watches/silver-jewellery/silver-cufflinks-others-accessories/gucci-interlocking-cufflinks-p-798542J84008106</t>
        </is>
      </c>
      <c r="M1084" s="5">
        <f t="array" ref="M1084">_xlfn.IFS(J1084="NOTFOUND",I1084,J1084&gt;=I1084,J1084)</f>
        <v/>
      </c>
    </row>
    <row r="1085" ht="18" customHeight="1" s="16">
      <c r="A1085" s="5" t="n">
        <v>1084</v>
      </c>
      <c r="B1085" s="2" t="inlineStr">
        <is>
          <t>GU-3336</t>
        </is>
      </c>
      <c r="C1085" s="2" t="n"/>
      <c r="D1085" s="2" t="inlineStr">
        <is>
          <t>インターロッキング ブレスレット</t>
        </is>
      </c>
      <c r="E1085" s="2" t="inlineStr">
        <is>
          <t>796351 J8400 8106</t>
        </is>
      </c>
      <c r="F1085" s="2" t="inlineStr">
        <is>
          <t xml:space="preserve">  -</t>
        </is>
      </c>
      <c r="G1085" s="10" t="inlineStr">
        <is>
          <t>16_17_18_19_20</t>
        </is>
      </c>
      <c r="H1085" s="17" t="inlineStr">
        <is>
          <t>16_17_18_19_20</t>
        </is>
      </c>
      <c r="I1085" s="18" t="n">
        <v>64900</v>
      </c>
      <c r="J1085" s="19" t="n">
        <v>64900</v>
      </c>
      <c r="K1085" s="20" t="n">
        <v>5</v>
      </c>
      <c r="L1085" s="4" t="inlineStr">
        <is>
          <t>https://www.gucci.com/jp/ja/pr/jewellery-watches/silver-jewellery/silver-bracelets/gucci-interlocking-bracelet-p-796351J84008106</t>
        </is>
      </c>
      <c r="M1085" s="5">
        <f t="array" ref="M1085">_xlfn.IFS(J1085="NOTFOUND",I1085,J1085&gt;=I1085,J1085)</f>
        <v/>
      </c>
    </row>
    <row r="1086" ht="18" customHeight="1" s="16">
      <c r="A1086" s="5" t="n">
        <v>1085</v>
      </c>
      <c r="B1086" s="2" t="inlineStr">
        <is>
          <t>GU-3337</t>
        </is>
      </c>
      <c r="C1086" s="2" t="n"/>
      <c r="D1086" s="2" t="inlineStr">
        <is>
          <t>インターロッキング チェーン ネックレス</t>
        </is>
      </c>
      <c r="E1086" s="2" t="inlineStr">
        <is>
          <t>796355 J8400 8106</t>
        </is>
      </c>
      <c r="F1086" s="2" t="inlineStr">
        <is>
          <t xml:space="preserve">  -</t>
        </is>
      </c>
      <c r="G1086" s="10" t="inlineStr">
        <is>
          <t>OneSize</t>
        </is>
      </c>
      <c r="H1086" s="17" t="inlineStr">
        <is>
          <t>OneSize</t>
        </is>
      </c>
      <c r="I1086" s="18" t="n">
        <v>69300</v>
      </c>
      <c r="J1086" s="19" t="n">
        <v>69300</v>
      </c>
      <c r="K1086" s="20" t="n">
        <v>5</v>
      </c>
      <c r="L1086" s="4" t="inlineStr">
        <is>
          <t>https://www.gucci.com/jp/ja/pr/jewellery-watches/silver-jewellery/silver-necklaces/gucci-interlocking-chain-necklace-p-796355J84008106</t>
        </is>
      </c>
      <c r="M1086" s="5">
        <f t="array" ref="M1086">_xlfn.IFS(J1086="NOTFOUND",I1086,J1086&gt;=I1086,J1086)</f>
        <v/>
      </c>
    </row>
    <row r="1087" ht="18" customHeight="1" s="16">
      <c r="A1087" s="5" t="n">
        <v>1086</v>
      </c>
      <c r="B1087" s="2" t="inlineStr">
        <is>
          <t>GU-3338</t>
        </is>
      </c>
      <c r="C1087" s="2" t="n"/>
      <c r="D1087" s="2" t="inlineStr">
        <is>
          <t>インターロッキング フープピアス</t>
        </is>
      </c>
      <c r="E1087" s="2" t="inlineStr">
        <is>
          <t>796323 J8400 8106</t>
        </is>
      </c>
      <c r="F1087" s="2" t="inlineStr">
        <is>
          <t xml:space="preserve">  -</t>
        </is>
      </c>
      <c r="G1087" s="10" t="inlineStr">
        <is>
          <t>OneSize</t>
        </is>
      </c>
      <c r="H1087" s="17" t="inlineStr">
        <is>
          <t>OneSize</t>
        </is>
      </c>
      <c r="I1087" s="18" t="n">
        <v>71500</v>
      </c>
      <c r="J1087" s="19" t="n">
        <v>71500</v>
      </c>
      <c r="K1087" s="20" t="n">
        <v>5</v>
      </c>
      <c r="L1087" s="4" t="inlineStr">
        <is>
          <t>https://www.gucci.com/jp/ja/pr/jewellery-watches/silver-jewellery/silver-earrings/gucci-interlocking-hoop-earrings-p-796323J84008106</t>
        </is>
      </c>
      <c r="M1087" s="5">
        <f t="array" ref="M1087">_xlfn.IFS(J1087="NOTFOUND",I1087,J1087&gt;=I1087,J1087)</f>
        <v/>
      </c>
    </row>
    <row r="1088" ht="18" customHeight="1" s="16">
      <c r="A1088" s="5" t="n">
        <v>1087</v>
      </c>
      <c r="B1088" s="2" t="inlineStr">
        <is>
          <t>GU-3339</t>
        </is>
      </c>
      <c r="C1088" s="2" t="n"/>
      <c r="D1088" s="2" t="inlineStr">
        <is>
          <t>インターロッキング スタッズピアス</t>
        </is>
      </c>
      <c r="E1088" s="2" t="inlineStr">
        <is>
          <t>479227 J8400 8106</t>
        </is>
      </c>
      <c r="F1088" s="2" t="inlineStr">
        <is>
          <t xml:space="preserve">  -</t>
        </is>
      </c>
      <c r="G1088" s="11" t="inlineStr">
        <is>
          <t>SOLD</t>
        </is>
      </c>
      <c r="H1088" s="22" t="inlineStr">
        <is>
          <t>SOLD</t>
        </is>
      </c>
      <c r="I1088" s="18" t="n">
        <v>60500</v>
      </c>
      <c r="J1088" s="23" t="inlineStr">
        <is>
          <t>NOTFOUND</t>
        </is>
      </c>
      <c r="K1088" s="20" t="n">
        <v>0</v>
      </c>
      <c r="L1088" s="4" t="inlineStr">
        <is>
          <t>https://www.gucci.com/jp/ja/pr/jewellery-watches/silver-jewellery/silver-earrings/gucci-interlocking-stud-earrings-p-479227J84008106</t>
        </is>
      </c>
      <c r="M1088" s="5">
        <f t="array" ref="M1088">_xlfn.IFS(J1088="NOTFOUND",I1088,J1088&gt;=I1088,J1088)</f>
        <v/>
      </c>
    </row>
    <row r="1089" ht="18" customHeight="1" s="16">
      <c r="A1089" s="5" t="n">
        <v>1088</v>
      </c>
      <c r="B1089" s="2" t="inlineStr">
        <is>
          <t>GU-3340</t>
        </is>
      </c>
      <c r="C1089" s="2" t="n"/>
      <c r="D1089" s="2" t="inlineStr">
        <is>
          <t>インターロッキング リング</t>
        </is>
      </c>
      <c r="E1089" s="2" t="inlineStr">
        <is>
          <t>797029 J8400 8106</t>
        </is>
      </c>
      <c r="F1089" s="2" t="inlineStr">
        <is>
          <t xml:space="preserve">  -</t>
        </is>
      </c>
      <c r="G1089" s="10" t="inlineStr">
        <is>
          <t>7_8_9_10_11_12_13_14_15_16_17_18_19_20_21_22_23_24</t>
        </is>
      </c>
      <c r="H1089" s="17" t="inlineStr">
        <is>
          <t>7_8_9_10_11_12_13_14_15_16_17_18_19_20_21_22_23_24</t>
        </is>
      </c>
      <c r="I1089" s="18" t="n">
        <v>57200</v>
      </c>
      <c r="J1089" s="19" t="n">
        <v>57200</v>
      </c>
      <c r="K1089" s="20" t="n">
        <v>5</v>
      </c>
      <c r="L1089" s="4" t="inlineStr">
        <is>
          <t>https://www.gucci.com/jp/ja/pr/jewellery-watches/silver-jewellery/silver-rings/gucci-interlocking-ring-p-797029J84008106</t>
        </is>
      </c>
      <c r="M1089" s="5">
        <f t="array" ref="M1089">_xlfn.IFS(J1089="NOTFOUND",I1089,J1089&gt;=I1089,J1089)</f>
        <v/>
      </c>
    </row>
    <row r="1090" ht="18" customHeight="1" s="16">
      <c r="A1090" s="5" t="n">
        <v>1089</v>
      </c>
      <c r="B1090" s="2" t="inlineStr">
        <is>
          <t>GU-3341</t>
        </is>
      </c>
      <c r="C1090" s="2" t="n"/>
      <c r="D1090" s="2" t="inlineStr">
        <is>
          <t>インターロッキング ワイドリング</t>
        </is>
      </c>
      <c r="E1090" s="2" t="inlineStr">
        <is>
          <t>797031 J8400 8106</t>
        </is>
      </c>
      <c r="F1090" s="2" t="inlineStr">
        <is>
          <t xml:space="preserve">  -</t>
        </is>
      </c>
      <c r="G1090" s="10" t="inlineStr">
        <is>
          <t>8_9_10_11_12_13_14_15_16_17_18_19_20_21_22_23_24</t>
        </is>
      </c>
      <c r="H1090" s="17" t="inlineStr">
        <is>
          <t>8_9_10_11_12_13_14_15_16_17_18_19_20_21_22_23_24</t>
        </is>
      </c>
      <c r="I1090" s="18" t="n">
        <v>60500</v>
      </c>
      <c r="J1090" s="19" t="n">
        <v>60500</v>
      </c>
      <c r="K1090" s="20" t="n">
        <v>5</v>
      </c>
      <c r="L1090" s="4" t="inlineStr">
        <is>
          <t>https://www.gucci.com/jp/ja/pr/jewellery-watches/silver-jewellery/silver-rings/gucci-interlocking-wide-ring-p-797031J84008106</t>
        </is>
      </c>
      <c r="M1090" s="5">
        <f t="array" ref="M1090">_xlfn.IFS(J1090="NOTFOUND",I1090,J1090&gt;=I1090,J1090)</f>
        <v/>
      </c>
    </row>
    <row r="1091" ht="18" customHeight="1" s="16">
      <c r="A1091" s="5" t="n">
        <v>1090</v>
      </c>
      <c r="B1091" s="2" t="inlineStr">
        <is>
          <t>GU-3342</t>
        </is>
      </c>
      <c r="C1091" s="2" t="n"/>
      <c r="D1091" s="2" t="inlineStr">
        <is>
          <t>インターロッキング スタッズピアス</t>
        </is>
      </c>
      <c r="E1091" s="2" t="inlineStr">
        <is>
          <t>457109 J8400 0811</t>
        </is>
      </c>
      <c r="F1091" s="2" t="inlineStr">
        <is>
          <t xml:space="preserve">  -</t>
        </is>
      </c>
      <c r="G1091" s="10" t="inlineStr">
        <is>
          <t>OneSize</t>
        </is>
      </c>
      <c r="H1091" s="17" t="inlineStr">
        <is>
          <t>OneSize</t>
        </is>
      </c>
      <c r="I1091" s="18" t="n">
        <v>57200</v>
      </c>
      <c r="J1091" s="19" t="n">
        <v>49500</v>
      </c>
      <c r="K1091" s="20" t="n">
        <v>5</v>
      </c>
      <c r="L1091" s="4" t="inlineStr">
        <is>
          <t>https://www.gucci.com/jp/ja/pr/jewellery-watches/silver-jewellery/silver-earrings/gucci-interlocking-stud-earrings-p-457109J84000811</t>
        </is>
      </c>
      <c r="M1091" s="5">
        <f t="array" ref="M1091">_xlfn.IFS(J1091="NOTFOUND",I1091,J1091&gt;=I1091,J1091)</f>
        <v/>
      </c>
    </row>
    <row r="1092" ht="18" customHeight="1" s="16">
      <c r="A1092" s="5" t="n">
        <v>1091</v>
      </c>
      <c r="B1092" s="2" t="inlineStr">
        <is>
          <t>GU-3343</t>
        </is>
      </c>
      <c r="C1092" s="2" t="n"/>
      <c r="D1092" s="2" t="inlineStr">
        <is>
          <t>インターロッキング ペンダント ネックレス</t>
        </is>
      </c>
      <c r="E1092" s="2" t="inlineStr">
        <is>
          <t>455307 J8400 0811</t>
        </is>
      </c>
      <c r="F1092" s="2" t="inlineStr">
        <is>
          <t xml:space="preserve">  -</t>
        </is>
      </c>
      <c r="G1092" s="10" t="inlineStr">
        <is>
          <t>OneSize</t>
        </is>
      </c>
      <c r="H1092" s="17" t="inlineStr">
        <is>
          <t>OneSize</t>
        </is>
      </c>
      <c r="I1092" s="18" t="n">
        <v>71500</v>
      </c>
      <c r="J1092" s="19" t="n">
        <v>71500</v>
      </c>
      <c r="K1092" s="20" t="n">
        <v>5</v>
      </c>
      <c r="L1092" s="4" t="inlineStr">
        <is>
          <t>https://www.gucci.com/jp/ja/pr/jewellery-watches/silver-jewellery/silver-jewelry-for-men/gucci-interlocking-pendant-necklace-p-455307J84000811</t>
        </is>
      </c>
      <c r="M1092" s="5">
        <f t="array" ref="M1092">_xlfn.IFS(J1092="NOTFOUND",I1092,J1092&gt;=I1092,J1092)</f>
        <v/>
      </c>
    </row>
    <row r="1093" ht="18" customHeight="1" s="16">
      <c r="A1093" s="5" t="n">
        <v>1092</v>
      </c>
      <c r="B1093" s="2" t="inlineStr">
        <is>
          <t>GU-3344</t>
        </is>
      </c>
      <c r="C1093" s="2" t="n"/>
      <c r="D1093" s="2" t="inlineStr">
        <is>
          <t>インターロッキング チェーン ブレスレット</t>
        </is>
      </c>
      <c r="E1093" s="2" t="inlineStr">
        <is>
          <t>620798 J8400 0811</t>
        </is>
      </c>
      <c r="F1093" s="2" t="inlineStr">
        <is>
          <t>スターリングシルバー</t>
        </is>
      </c>
      <c r="G1093" s="10" t="inlineStr">
        <is>
          <t>16_17_18_19_20_21</t>
        </is>
      </c>
      <c r="H1093" s="17" t="inlineStr">
        <is>
          <t>16_17_18_19_20_21</t>
        </is>
      </c>
      <c r="I1093" s="18" t="n">
        <v>77000</v>
      </c>
      <c r="J1093" s="19" t="n">
        <v>68200</v>
      </c>
      <c r="K1093" s="20" t="n">
        <v>5</v>
      </c>
      <c r="L1093" s="4" t="inlineStr">
        <is>
          <t>https://www.gucci.com/jp/ja/pr/jewellery-watches/silver-jewellery/silver-bracelets/gucci-interlocking-chain-bracelet-p-620798J84000811</t>
        </is>
      </c>
      <c r="M1093" s="5">
        <f t="array" ref="M1093">_xlfn.IFS(J1093="NOTFOUND",I1093,J1093&gt;=I1093,J1093)</f>
        <v/>
      </c>
    </row>
    <row r="1094" ht="18" customHeight="1" s="16">
      <c r="A1094" s="5" t="n">
        <v>1093</v>
      </c>
      <c r="B1094" s="2" t="inlineStr">
        <is>
          <t>GU-3345</t>
        </is>
      </c>
      <c r="C1094" s="2" t="n"/>
      <c r="D1094" s="2" t="inlineStr">
        <is>
          <t>インターロッキング ワイド リング</t>
        </is>
      </c>
      <c r="E1094" s="2" t="inlineStr">
        <is>
          <t>661513 J8400 0728</t>
        </is>
      </c>
      <c r="F1094" s="2" t="inlineStr">
        <is>
          <t xml:space="preserve">  -</t>
        </is>
      </c>
      <c r="G1094" s="11" t="inlineStr">
        <is>
          <t>SOLD</t>
        </is>
      </c>
      <c r="H1094" s="22" t="inlineStr">
        <is>
          <t>SOLD</t>
        </is>
      </c>
      <c r="I1094" s="18" t="n">
        <v>60500</v>
      </c>
      <c r="J1094" s="23" t="inlineStr">
        <is>
          <t>NOTFOUND</t>
        </is>
      </c>
      <c r="K1094" s="20" t="n">
        <v>0</v>
      </c>
      <c r="L1094" s="4" t="inlineStr">
        <is>
          <t>https://www.gucci.com/jp/ja/pr/jewellery-watches/silver-jewellery/silver-jewelry-for-men/wide-gucci-interlocking-ring-p-661513J84000728</t>
        </is>
      </c>
      <c r="M1094" s="5">
        <f t="array" ref="M1094">_xlfn.IFS(J1094="NOTFOUND",I1094,J1094&gt;=I1094,J1094)</f>
        <v/>
      </c>
    </row>
    <row r="1095" ht="18" customHeight="1" s="16">
      <c r="A1095" s="5" t="n">
        <v>1094</v>
      </c>
      <c r="B1095" s="2" t="inlineStr">
        <is>
          <t>GU-3346</t>
        </is>
      </c>
      <c r="C1095" s="2" t="n"/>
      <c r="D1095" s="2" t="inlineStr">
        <is>
          <t>インターロッキング ペンダント ネックレス</t>
        </is>
      </c>
      <c r="E1095" s="2" t="inlineStr">
        <is>
          <t>455535 J8400 0811</t>
        </is>
      </c>
      <c r="F1095" s="2" t="inlineStr">
        <is>
          <t xml:space="preserve">  -</t>
        </is>
      </c>
      <c r="G1095" s="10" t="inlineStr">
        <is>
          <t>OneSize</t>
        </is>
      </c>
      <c r="H1095" s="17" t="inlineStr">
        <is>
          <t>OneSize</t>
        </is>
      </c>
      <c r="I1095" s="18" t="n">
        <v>60500</v>
      </c>
      <c r="J1095" s="19" t="n">
        <v>51700</v>
      </c>
      <c r="K1095" s="20" t="n">
        <v>5</v>
      </c>
      <c r="L1095" s="4" t="inlineStr">
        <is>
          <t>https://www.gucci.com/jp/ja/pr/jewellery-watches/silver-jewellery/silver-jewelry-for-men/gucci-interlocking-pendant-necklace-p-455535J84000811</t>
        </is>
      </c>
      <c r="M1095" s="5">
        <f t="array" ref="M1095">_xlfn.IFS(J1095="NOTFOUND",I1095,J1095&gt;=I1095,J1095)</f>
        <v/>
      </c>
    </row>
    <row r="1096" ht="18" customHeight="1" s="16">
      <c r="A1096" s="5" t="n">
        <v>1095</v>
      </c>
      <c r="B1096" s="2" t="inlineStr">
        <is>
          <t>GU-3347</t>
        </is>
      </c>
      <c r="C1096" s="2" t="n"/>
      <c r="D1096" s="2" t="inlineStr">
        <is>
          <t>インターロッキング ブレスレット</t>
        </is>
      </c>
      <c r="E1096" s="2" t="inlineStr">
        <is>
          <t>627068 J8400 0728</t>
        </is>
      </c>
      <c r="F1096" s="2" t="inlineStr">
        <is>
          <t>スターリングシルバー</t>
        </is>
      </c>
      <c r="G1096" s="10" t="inlineStr">
        <is>
          <t>17_18_19</t>
        </is>
      </c>
      <c r="H1096" s="17" t="inlineStr">
        <is>
          <t>17_18_19</t>
        </is>
      </c>
      <c r="I1096" s="18" t="n">
        <v>97900</v>
      </c>
      <c r="J1096" s="19" t="n">
        <v>97900</v>
      </c>
      <c r="K1096" s="20" t="n">
        <v>5</v>
      </c>
      <c r="L1096" s="4" t="inlineStr">
        <is>
          <t>https://www.gucci.com/jp/ja/pr/jewellery-watches/silver-jewellery/silver-jewelry-for-men/gucci-interlocking-bracelet-p-627068J84000728</t>
        </is>
      </c>
      <c r="M1096" s="5">
        <f t="array" ref="M1096">_xlfn.IFS(J1096="NOTFOUND",I1096,J1096&gt;=I1096,J1096)</f>
        <v/>
      </c>
    </row>
    <row r="1097" ht="18" customHeight="1" s="16">
      <c r="A1097" s="5" t="n">
        <v>1096</v>
      </c>
      <c r="B1097" s="2" t="inlineStr">
        <is>
          <t>GU-3348</t>
        </is>
      </c>
      <c r="C1097" s="2" t="n"/>
      <c r="D1097" s="2" t="inlineStr">
        <is>
          <t>インターロッキング スタッズピアス</t>
        </is>
      </c>
      <c r="E1097" s="2" t="inlineStr">
        <is>
          <t>356289 J8400 8106</t>
        </is>
      </c>
      <c r="F1097" s="2" t="inlineStr">
        <is>
          <t xml:space="preserve">  -</t>
        </is>
      </c>
      <c r="G1097" s="10" t="inlineStr">
        <is>
          <t>OneSize</t>
        </is>
      </c>
      <c r="H1097" s="17" t="inlineStr">
        <is>
          <t>OneSize</t>
        </is>
      </c>
      <c r="I1097" s="18" t="n">
        <v>57200</v>
      </c>
      <c r="J1097" s="19" t="n">
        <v>49500</v>
      </c>
      <c r="K1097" s="20" t="n">
        <v>5</v>
      </c>
      <c r="L1097" s="4" t="inlineStr">
        <is>
          <t>https://www.gucci.com/jp/ja/pr/jewellery-watches/silver-jewellery/silver-earrings/gucci-interlocking-stud-earrings-p-356289J84008106</t>
        </is>
      </c>
      <c r="M1097" s="5">
        <f t="array" ref="M1097">_xlfn.IFS(J1097="NOTFOUND",I1097,J1097&gt;=I1097,J1097)</f>
        <v/>
      </c>
    </row>
    <row r="1098" ht="18" customHeight="1" s="16">
      <c r="A1098" s="5" t="n">
        <v>1097</v>
      </c>
      <c r="B1098" s="2" t="inlineStr">
        <is>
          <t>GU-3349</t>
        </is>
      </c>
      <c r="C1098" s="2" t="n"/>
      <c r="D1098" s="2" t="inlineStr">
        <is>
          <t>インターロッキング チェーン ブレスレット</t>
        </is>
      </c>
      <c r="E1098" s="2" t="inlineStr">
        <is>
          <t>620798 J8400 8106</t>
        </is>
      </c>
      <c r="F1098" s="2" t="inlineStr">
        <is>
          <t>スターリングシルバー</t>
        </is>
      </c>
      <c r="G1098" s="10" t="inlineStr">
        <is>
          <t>16_17_18_19_20_21</t>
        </is>
      </c>
      <c r="H1098" s="17" t="inlineStr">
        <is>
          <t>16_17_18_19_20_21</t>
        </is>
      </c>
      <c r="I1098" s="18" t="n">
        <v>77000</v>
      </c>
      <c r="J1098" s="19" t="n">
        <v>68200</v>
      </c>
      <c r="K1098" s="20" t="n">
        <v>5</v>
      </c>
      <c r="L1098" s="4" t="inlineStr">
        <is>
          <t>https://www.gucci.com/jp/ja/pr/jewellery-watches/silver-jewellery/silver-jewelry-for-men/gucci-interlocking-chain-bracelet-p-620798J84008106</t>
        </is>
      </c>
      <c r="M1098" s="5">
        <f t="array" ref="M1098">_xlfn.IFS(J1098="NOTFOUND",I1098,J1098&gt;=I1098,J1098)</f>
        <v/>
      </c>
    </row>
    <row r="1099" ht="18" customHeight="1" s="16">
      <c r="A1099" s="5" t="n">
        <v>1098</v>
      </c>
      <c r="B1099" s="2" t="inlineStr">
        <is>
          <t>GU-3350</t>
        </is>
      </c>
      <c r="C1099" s="2" t="n"/>
      <c r="D1099" s="2" t="inlineStr">
        <is>
          <t>インターロッキング ペンダント ネックレス</t>
        </is>
      </c>
      <c r="E1099" s="2" t="inlineStr">
        <is>
          <t>479221 J8400 8106</t>
        </is>
      </c>
      <c r="F1099" s="2" t="inlineStr">
        <is>
          <t xml:space="preserve">  -</t>
        </is>
      </c>
      <c r="G1099" s="11" t="inlineStr">
        <is>
          <t>SOLD</t>
        </is>
      </c>
      <c r="H1099" s="22" t="inlineStr">
        <is>
          <t>SOLD</t>
        </is>
      </c>
      <c r="I1099" s="18" t="n">
        <v>71500</v>
      </c>
      <c r="J1099" s="23" t="inlineStr">
        <is>
          <t>NOTFOUND</t>
        </is>
      </c>
      <c r="K1099" s="20" t="n">
        <v>0</v>
      </c>
      <c r="L1099" s="4" t="inlineStr">
        <is>
          <t>https://www.gucci.com/jp/ja/pr/jewellery-watches/silver-jewellery/silver-necklaces/gucci-interlocking-pendant-necklace-p-479221J84008106</t>
        </is>
      </c>
      <c r="M1099" s="5">
        <f t="array" ref="M1099">_xlfn.IFS(J1099="NOTFOUND",I1099,J1099&gt;=I1099,J1099)</f>
        <v/>
      </c>
    </row>
    <row r="1100" ht="18" customHeight="1" s="16">
      <c r="A1100" s="5" t="n">
        <v>1099</v>
      </c>
      <c r="B1100" s="2" t="inlineStr">
        <is>
          <t>GU-3351</t>
        </is>
      </c>
      <c r="C1100" s="2" t="n"/>
      <c r="D1100" s="2" t="inlineStr">
        <is>
          <t>ハート スタッズピアス</t>
        </is>
      </c>
      <c r="E1100" s="2" t="inlineStr">
        <is>
          <t>820477 J8400 8106</t>
        </is>
      </c>
      <c r="F1100" s="2" t="inlineStr">
        <is>
          <t xml:space="preserve">  -</t>
        </is>
      </c>
      <c r="G1100" s="11" t="inlineStr">
        <is>
          <t>SOLD</t>
        </is>
      </c>
      <c r="H1100" s="22" t="inlineStr">
        <is>
          <t>SOLD</t>
        </is>
      </c>
      <c r="I1100" s="18" t="n">
        <v>71500</v>
      </c>
      <c r="J1100" s="23" t="inlineStr">
        <is>
          <t>NOTFOUND</t>
        </is>
      </c>
      <c r="K1100" s="20" t="n">
        <v>0</v>
      </c>
      <c r="L1100" s="4" t="inlineStr">
        <is>
          <t>https://www.gucci.com/jp/ja/pr/jewellery-watches/silver-jewellery/silver-earrings/gucci-heart-stud-earrings-p-820477J84008106</t>
        </is>
      </c>
      <c r="M1100" s="5">
        <f t="array" ref="M1100">_xlfn.IFS(J1100="NOTFOUND",I1100,J1100&gt;=I1100,J1100)</f>
        <v/>
      </c>
    </row>
    <row r="1101" ht="18" customHeight="1" s="16">
      <c r="A1101" s="5" t="n">
        <v>1100</v>
      </c>
      <c r="B1101" s="2" t="inlineStr">
        <is>
          <t>GU-3352</t>
        </is>
      </c>
      <c r="C1101" s="2" t="n"/>
      <c r="D1101" s="2" t="inlineStr">
        <is>
          <t>ハート ペンダント ネックレス</t>
        </is>
      </c>
      <c r="E1101" s="2" t="inlineStr">
        <is>
          <t>814785 J8400 8106</t>
        </is>
      </c>
      <c r="F1101" s="2" t="inlineStr">
        <is>
          <t xml:space="preserve">  -</t>
        </is>
      </c>
      <c r="G1101" s="11" t="inlineStr">
        <is>
          <t>SOLD</t>
        </is>
      </c>
      <c r="H1101" s="22" t="inlineStr">
        <is>
          <t>SOLD</t>
        </is>
      </c>
      <c r="I1101" s="18" t="n">
        <v>92400</v>
      </c>
      <c r="J1101" s="23" t="inlineStr">
        <is>
          <t>NOTFOUND</t>
        </is>
      </c>
      <c r="K1101" s="20" t="n">
        <v>0</v>
      </c>
      <c r="L1101" s="4" t="inlineStr">
        <is>
          <t>https://www.gucci.com/jp/ja/pr/jewellery-watches/silver-jewellery/silver-necklaces/gucci-heart-pendant-necklace-p-814785J84008106</t>
        </is>
      </c>
      <c r="M1101" s="5">
        <f t="array" ref="M1101">_xlfn.IFS(J1101="NOTFOUND",I1101,J1101&gt;=I1101,J1101)</f>
        <v/>
      </c>
    </row>
    <row r="1102" ht="18" customHeight="1" s="16">
      <c r="A1102" s="5" t="n">
        <v>1101</v>
      </c>
      <c r="B1102" s="2" t="inlineStr">
        <is>
          <t>GU-3353</t>
        </is>
      </c>
      <c r="C1102" s="2" t="n"/>
      <c r="D1102" s="2" t="inlineStr">
        <is>
          <t>インターロッキングG ハート付き リング</t>
        </is>
      </c>
      <c r="E1102" s="2" t="inlineStr">
        <is>
          <t>645544 J8410 1184</t>
        </is>
      </c>
      <c r="F1102" s="2" t="inlineStr">
        <is>
          <t xml:space="preserve">  -</t>
        </is>
      </c>
      <c r="G1102" s="10" t="inlineStr">
        <is>
          <t>9_10_11_12_13_14_15_16_17_18</t>
        </is>
      </c>
      <c r="H1102" s="17" t="inlineStr">
        <is>
          <t>9_10_11_12_13_14_15_16_17_18</t>
        </is>
      </c>
      <c r="I1102" s="18" t="n">
        <v>64900</v>
      </c>
      <c r="J1102" s="19" t="n">
        <v>64900</v>
      </c>
      <c r="K1102" s="20" t="n">
        <v>5</v>
      </c>
      <c r="L1102" s="4" t="inlineStr">
        <is>
          <t>https://www.gucci.com/jp/ja/pr/jewellery-watches/silver-jewellery/silver-rings/gucci-heart-ring-with-interlocking-g-p-645544J84101184</t>
        </is>
      </c>
      <c r="M1102" s="5">
        <f t="array" ref="M1102">_xlfn.IFS(J1102="NOTFOUND",I1102,J1102&gt;=I1102,J1102)</f>
        <v/>
      </c>
    </row>
    <row r="1103" ht="18" customHeight="1" s="16">
      <c r="A1103" s="5" t="n">
        <v>1102</v>
      </c>
      <c r="B1103" s="2" t="inlineStr">
        <is>
          <t>GU-3354</t>
        </is>
      </c>
      <c r="C1103" s="2" t="n"/>
      <c r="D1103" s="2" t="inlineStr">
        <is>
          <t>インターロッキングG ハート付き ブレスレット</t>
        </is>
      </c>
      <c r="E1103" s="2" t="inlineStr">
        <is>
          <t>645546 J8410 1184</t>
        </is>
      </c>
      <c r="F1103" s="2" t="inlineStr">
        <is>
          <t xml:space="preserve">  -</t>
        </is>
      </c>
      <c r="G1103" s="10" t="inlineStr">
        <is>
          <t>16_17_18</t>
        </is>
      </c>
      <c r="H1103" s="17" t="inlineStr">
        <is>
          <t>16_17_18</t>
        </is>
      </c>
      <c r="I1103" s="18" t="n">
        <v>69300</v>
      </c>
      <c r="J1103" s="19" t="n">
        <v>69300</v>
      </c>
      <c r="K1103" s="20" t="n">
        <v>5</v>
      </c>
      <c r="L1103" s="4" t="inlineStr">
        <is>
          <t>https://www.gucci.com/jp/ja/pr/jewellery-watches/silver-jewellery/silver-bracelets/gucci-heart-bracelet-with-interlocking-g-p-645546J84101184</t>
        </is>
      </c>
      <c r="M1103" s="5">
        <f t="array" ref="M1103">_xlfn.IFS(J1103="NOTFOUND",I1103,J1103&gt;=I1103,J1103)</f>
        <v/>
      </c>
    </row>
    <row r="1104" ht="18" customHeight="1" s="16">
      <c r="A1104" s="5" t="n">
        <v>1103</v>
      </c>
      <c r="B1104" s="2" t="inlineStr">
        <is>
          <t>GU-3355</t>
        </is>
      </c>
      <c r="C1104" s="2" t="n"/>
      <c r="D1104" s="2" t="inlineStr">
        <is>
          <t>インターロッキングG ハート付き ピアス</t>
        </is>
      </c>
      <c r="E1104" s="2" t="inlineStr">
        <is>
          <t>645547 J8410 1184</t>
        </is>
      </c>
      <c r="F1104" s="2" t="inlineStr">
        <is>
          <t xml:space="preserve">  -</t>
        </is>
      </c>
      <c r="G1104" s="10" t="inlineStr">
        <is>
          <t>OneSize</t>
        </is>
      </c>
      <c r="H1104" s="17" t="inlineStr">
        <is>
          <t>OneSize</t>
        </is>
      </c>
      <c r="I1104" s="18" t="n">
        <v>60500</v>
      </c>
      <c r="J1104" s="19" t="n">
        <v>60500</v>
      </c>
      <c r="K1104" s="20" t="n">
        <v>5</v>
      </c>
      <c r="L1104" s="4" t="inlineStr">
        <is>
          <t>https://www.gucci.com/jp/ja/pr/jewellery-watches/silver-jewellery/silver-earrings/gucci-heart-earrings-with-interlocking-g-p-645547J84101184</t>
        </is>
      </c>
      <c r="M1104" s="5">
        <f t="array" ref="M1104">_xlfn.IFS(J1104="NOTFOUND",I1104,J1104&gt;=I1104,J1104)</f>
        <v/>
      </c>
    </row>
    <row r="1105" ht="18" customHeight="1" s="16">
      <c r="A1105" s="5" t="n">
        <v>1104</v>
      </c>
      <c r="B1105" s="2" t="inlineStr">
        <is>
          <t>GU-3356</t>
        </is>
      </c>
      <c r="C1105" s="2" t="n"/>
      <c r="D1105" s="2" t="inlineStr">
        <is>
          <t>インターロッキングG ハート付き ネックレス</t>
        </is>
      </c>
      <c r="E1105" s="2" t="inlineStr">
        <is>
          <t>645545 J8410 1184</t>
        </is>
      </c>
      <c r="F1105" s="2" t="inlineStr">
        <is>
          <t xml:space="preserve">  -</t>
        </is>
      </c>
      <c r="G1105" s="10" t="inlineStr">
        <is>
          <t>OneSize</t>
        </is>
      </c>
      <c r="H1105" s="17" t="inlineStr">
        <is>
          <t>OneSize</t>
        </is>
      </c>
      <c r="I1105" s="18" t="n">
        <v>77000</v>
      </c>
      <c r="J1105" s="19" t="n">
        <v>77000</v>
      </c>
      <c r="K1105" s="20" t="n">
        <v>5</v>
      </c>
      <c r="L1105" s="4" t="inlineStr">
        <is>
          <t>https://www.gucci.com/jp/ja/pr/jewellery-watches/silver-jewellery/silver-necklaces/gucci-heart-necklace-with-interlocking-g-p-645545J84101184</t>
        </is>
      </c>
      <c r="M1105" s="5">
        <f t="array" ref="M1105">_xlfn.IFS(J1105="NOTFOUND",I1105,J1105&gt;=I1105,J1105)</f>
        <v/>
      </c>
    </row>
    <row r="1106" ht="18" customHeight="1" s="16">
      <c r="A1106" s="5" t="n">
        <v>1105</v>
      </c>
      <c r="B1106" s="2" t="inlineStr">
        <is>
          <t>GU-3357</t>
        </is>
      </c>
      <c r="C1106" s="2" t="n"/>
      <c r="D1106" s="2" t="inlineStr">
        <is>
          <t>シグネチャー GG リング</t>
        </is>
      </c>
      <c r="E1106" s="2" t="inlineStr">
        <is>
          <t>814712 J8400 8106</t>
        </is>
      </c>
      <c r="F1106" s="2" t="inlineStr">
        <is>
          <t xml:space="preserve">  -</t>
        </is>
      </c>
      <c r="G1106" s="11" t="inlineStr">
        <is>
          <t>SOLD</t>
        </is>
      </c>
      <c r="H1106" s="22" t="inlineStr">
        <is>
          <t>SOLD</t>
        </is>
      </c>
      <c r="I1106" s="18" t="n">
        <v>57200</v>
      </c>
      <c r="J1106" s="23" t="inlineStr">
        <is>
          <t>NOTFOUND</t>
        </is>
      </c>
      <c r="K1106" s="20" t="n">
        <v>0</v>
      </c>
      <c r="L1106" s="4" t="inlineStr">
        <is>
          <t>https://www.gucci.com/jp/ja/pr/jewellery-watches/silver-jewellery/silver-rings/gucci-signature-gg-ring-p-814712J84008106</t>
        </is>
      </c>
      <c r="M1106" s="5">
        <f t="array" ref="M1106">_xlfn.IFS(J1106="NOTFOUND",I1106,J1106&gt;=I1106,J1106)</f>
        <v/>
      </c>
    </row>
    <row r="1107" ht="18" customHeight="1" s="16">
      <c r="A1107" s="5" t="n">
        <v>1106</v>
      </c>
      <c r="B1107" s="2" t="inlineStr">
        <is>
          <t>GU-3358</t>
        </is>
      </c>
      <c r="C1107" s="2" t="n"/>
      <c r="D1107" s="2" t="inlineStr">
        <is>
          <t>シグネチャー GG ワイドリング</t>
        </is>
      </c>
      <c r="E1107" s="2" t="inlineStr">
        <is>
          <t>814720 J8400 8106</t>
        </is>
      </c>
      <c r="F1107" s="2" t="inlineStr">
        <is>
          <t xml:space="preserve">  -</t>
        </is>
      </c>
      <c r="G1107" s="11" t="inlineStr">
        <is>
          <t>SOLD</t>
        </is>
      </c>
      <c r="H1107" s="22" t="inlineStr">
        <is>
          <t>SOLD</t>
        </is>
      </c>
      <c r="I1107" s="18" t="n">
        <v>60500</v>
      </c>
      <c r="J1107" s="23" t="inlineStr">
        <is>
          <t>NOTFOUND</t>
        </is>
      </c>
      <c r="K1107" s="20" t="n">
        <v>0</v>
      </c>
      <c r="L1107" s="4" t="inlineStr">
        <is>
          <t>https://www.gucci.com/jp/ja/pr/jewellery-watches/silver-jewellery/silver-rings/gucci-signature-gg-wide-ring-p-814720J84008106</t>
        </is>
      </c>
      <c r="M1107" s="5">
        <f t="array" ref="M1107">_xlfn.IFS(J1107="NOTFOUND",I1107,J1107&gt;=I1107,J1107)</f>
        <v/>
      </c>
    </row>
    <row r="1108" ht="18" customHeight="1" s="16">
      <c r="A1108" s="5" t="n">
        <v>1107</v>
      </c>
      <c r="B1108" s="2" t="inlineStr">
        <is>
          <t>GU-3359</t>
        </is>
      </c>
      <c r="C1108" s="2" t="n"/>
      <c r="D1108" s="2" t="inlineStr">
        <is>
          <t>シグネチャー GG タグ付き ネックレス</t>
        </is>
      </c>
      <c r="E1108" s="2" t="inlineStr">
        <is>
          <t>814852 J8400 8106</t>
        </is>
      </c>
      <c r="F1108" s="2" t="inlineStr">
        <is>
          <t xml:space="preserve">  -</t>
        </is>
      </c>
      <c r="G1108" s="11" t="inlineStr">
        <is>
          <t>SOLD</t>
        </is>
      </c>
      <c r="H1108" s="22" t="inlineStr">
        <is>
          <t>SOLD</t>
        </is>
      </c>
      <c r="I1108" s="18" t="n">
        <v>69300</v>
      </c>
      <c r="J1108" s="23" t="inlineStr">
        <is>
          <t>NOTFOUND</t>
        </is>
      </c>
      <c r="K1108" s="20" t="n">
        <v>0</v>
      </c>
      <c r="L1108" s="4" t="inlineStr">
        <is>
          <t>https://www.gucci.com/jp/ja/pr/jewellery-watches/silver-jewellery/silver-necklaces/gucci-signature-necklace-with-gg-tag-p-814852J84008106</t>
        </is>
      </c>
      <c r="M1108" s="5">
        <f t="array" ref="M1108">_xlfn.IFS(J1108="NOTFOUND",I1108,J1108&gt;=I1108,J1108)</f>
        <v/>
      </c>
    </row>
    <row r="1109" ht="18" customHeight="1" s="16">
      <c r="A1109" s="5" t="n">
        <v>1108</v>
      </c>
      <c r="B1109" s="2" t="inlineStr">
        <is>
          <t>GU-3360</t>
        </is>
      </c>
      <c r="C1109" s="2" t="n"/>
      <c r="D1109" s="2" t="inlineStr">
        <is>
          <t>シグネチャー GG タグ付き ブレスレット</t>
        </is>
      </c>
      <c r="E1109" s="2" t="inlineStr">
        <is>
          <t>814851 J8400 8106</t>
        </is>
      </c>
      <c r="F1109" s="2" t="inlineStr">
        <is>
          <t xml:space="preserve">  -</t>
        </is>
      </c>
      <c r="G1109" s="11" t="inlineStr">
        <is>
          <t>SOLD</t>
        </is>
      </c>
      <c r="H1109" s="22" t="inlineStr">
        <is>
          <t>SOLD</t>
        </is>
      </c>
      <c r="I1109" s="18" t="n">
        <v>69300</v>
      </c>
      <c r="J1109" s="23" t="inlineStr">
        <is>
          <t>NOTFOUND</t>
        </is>
      </c>
      <c r="K1109" s="20" t="n">
        <v>0</v>
      </c>
      <c r="L1109" s="4" t="inlineStr">
        <is>
          <t>https://www.gucci.com/jp/ja/pr/jewellery-watches/silver-jewellery/silver-bracelets/gucci-signature-bracelet-with-gg-tag-p-814851J84008106</t>
        </is>
      </c>
      <c r="M1109" s="5">
        <f t="array" ref="M1109">_xlfn.IFS(J1109="NOTFOUND",I1109,J1109&gt;=I1109,J1109)</f>
        <v/>
      </c>
    </row>
    <row r="1110" ht="18" customHeight="1" s="16">
      <c r="A1110" s="5" t="n">
        <v>1109</v>
      </c>
      <c r="B1110" s="2" t="inlineStr">
        <is>
          <t>GU-3361</t>
        </is>
      </c>
      <c r="C1110" s="2" t="n"/>
      <c r="D1110" s="2" t="inlineStr">
        <is>
          <t>シグネチャー GG エングレービング キーリング</t>
        </is>
      </c>
      <c r="E1110" s="2" t="inlineStr">
        <is>
          <t>819008 J8400 8106</t>
        </is>
      </c>
      <c r="F1110" s="2" t="inlineStr">
        <is>
          <t xml:space="preserve">  -</t>
        </is>
      </c>
      <c r="G1110" s="11" t="inlineStr">
        <is>
          <t>SOLD</t>
        </is>
      </c>
      <c r="H1110" s="22" t="inlineStr">
        <is>
          <t>SOLD</t>
        </is>
      </c>
      <c r="I1110" s="18" t="n">
        <v>60500</v>
      </c>
      <c r="J1110" s="23" t="inlineStr">
        <is>
          <t>NOTFOUND</t>
        </is>
      </c>
      <c r="K1110" s="20" t="n">
        <v>0</v>
      </c>
      <c r="L1110" s="4" t="inlineStr">
        <is>
          <t>https://www.gucci.com/jp/ja/pr/jewellery-watches/silver-jewellery/silver-cufflinks-others-accessories/gucci-signature-gg-engraved-keyring-p-819008J84008106</t>
        </is>
      </c>
      <c r="M1110" s="5">
        <f t="array" ref="M1110">_xlfn.IFS(J1110="NOTFOUND",I1110,J1110&gt;=I1110,J1110)</f>
        <v/>
      </c>
    </row>
    <row r="1111" ht="18" customHeight="1" s="16">
      <c r="A1111" s="5" t="n">
        <v>1110</v>
      </c>
      <c r="B1111" s="2" t="inlineStr">
        <is>
          <t>GU-3362</t>
        </is>
      </c>
      <c r="C1111" s="2" t="n"/>
      <c r="D1111" s="2" t="inlineStr">
        <is>
          <t>チャーム付き トレードマーク チェーン ブレスレット</t>
        </is>
      </c>
      <c r="E1111" s="2" t="inlineStr">
        <is>
          <t>796301 J8400 8106</t>
        </is>
      </c>
      <c r="F1111" s="2" t="inlineStr">
        <is>
          <t xml:space="preserve">  -</t>
        </is>
      </c>
      <c r="G1111" s="11" t="inlineStr">
        <is>
          <t>SOLD</t>
        </is>
      </c>
      <c r="H1111" s="22" t="inlineStr">
        <is>
          <t>SOLD</t>
        </is>
      </c>
      <c r="I1111" s="18" t="n">
        <v>80300</v>
      </c>
      <c r="J1111" s="23" t="inlineStr">
        <is>
          <t>NOTFOUND</t>
        </is>
      </c>
      <c r="K1111" s="20" t="n">
        <v>0</v>
      </c>
      <c r="L1111" s="4" t="inlineStr">
        <is>
          <t>https://www.gucci.com/jp/ja/pr/jewellery-watches/silver-jewellery/silver-bracelets/trademark-chain-bracelet-with-charm-p-796301J84008106</t>
        </is>
      </c>
      <c r="M1111" s="5">
        <f t="array" ref="M1111">_xlfn.IFS(J1111="NOTFOUND",I1111,J1111&gt;=I1111,J1111)</f>
        <v/>
      </c>
    </row>
    <row r="1112" ht="18" customHeight="1" s="16">
      <c r="A1112" s="5" t="n">
        <v>1111</v>
      </c>
      <c r="B1112" s="2" t="inlineStr">
        <is>
          <t>GU-3363</t>
        </is>
      </c>
      <c r="C1112" s="2" t="n"/>
      <c r="D1112" s="2" t="inlineStr">
        <is>
          <t>チャーム付き トレードマーク フープピアス</t>
        </is>
      </c>
      <c r="E1112" s="2" t="inlineStr">
        <is>
          <t>796302 J8400 8106</t>
        </is>
      </c>
      <c r="F1112" s="2" t="inlineStr">
        <is>
          <t xml:space="preserve">  -</t>
        </is>
      </c>
      <c r="G1112" s="11" t="inlineStr">
        <is>
          <t>SOLD</t>
        </is>
      </c>
      <c r="H1112" s="22" t="inlineStr">
        <is>
          <t>SOLD</t>
        </is>
      </c>
      <c r="I1112" s="18" t="n">
        <v>73700</v>
      </c>
      <c r="J1112" s="23" t="inlineStr">
        <is>
          <t>NOTFOUND</t>
        </is>
      </c>
      <c r="K1112" s="20" t="n">
        <v>0</v>
      </c>
      <c r="L1112" s="4" t="inlineStr">
        <is>
          <t>https://www.gucci.com/jp/ja/pr/jewellery-watches/silver-jewellery/silver-earrings/trademark-hoop-earrings-with-pendant-p-796302J84008106</t>
        </is>
      </c>
      <c r="M1112" s="5">
        <f t="array" ref="M1112">_xlfn.IFS(J1112="NOTFOUND",I1112,J1112&gt;=I1112,J1112)</f>
        <v/>
      </c>
    </row>
    <row r="1113" ht="18" customHeight="1" s="16">
      <c r="A1113" s="5" t="n">
        <v>1112</v>
      </c>
      <c r="B1113" s="2" t="inlineStr">
        <is>
          <t>GU-3364</t>
        </is>
      </c>
      <c r="C1113" s="2" t="n"/>
      <c r="D1113" s="2" t="inlineStr">
        <is>
          <t>トレードマーク チェーン ペンダント ネックレス</t>
        </is>
      </c>
      <c r="E1113" s="2" t="inlineStr">
        <is>
          <t>796363 J8400 8106</t>
        </is>
      </c>
      <c r="F1113" s="2" t="inlineStr">
        <is>
          <t xml:space="preserve">  -</t>
        </is>
      </c>
      <c r="G1113" s="11" t="inlineStr">
        <is>
          <t>SOLD</t>
        </is>
      </c>
      <c r="H1113" s="22" t="inlineStr">
        <is>
          <t>SOLD</t>
        </is>
      </c>
      <c r="I1113" s="18" t="n">
        <v>92400</v>
      </c>
      <c r="J1113" s="23" t="inlineStr">
        <is>
          <t>NOTFOUND</t>
        </is>
      </c>
      <c r="K1113" s="20" t="n">
        <v>0</v>
      </c>
      <c r="L1113" s="4" t="inlineStr">
        <is>
          <t>https://www.gucci.com/jp/ja/pr/jewellery-watches/silver-jewellery/silver-necklaces/trademark-chain-pendant-necklace-p-796363J84008106</t>
        </is>
      </c>
      <c r="M1113" s="5">
        <f t="array" ref="M1113">_xlfn.IFS(J1113="NOTFOUND",I1113,J1113&gt;=I1113,J1113)</f>
        <v/>
      </c>
    </row>
    <row r="1114" ht="18" customHeight="1" s="16">
      <c r="A1114" s="5" t="n">
        <v>1113</v>
      </c>
      <c r="B1114" s="2" t="inlineStr">
        <is>
          <t>GU-3365</t>
        </is>
      </c>
      <c r="C1114" s="2" t="n"/>
      <c r="D1114" s="2" t="inlineStr">
        <is>
          <t>トレードマーク ヘキサゴン リング</t>
        </is>
      </c>
      <c r="E1114" s="2" t="inlineStr">
        <is>
          <t>782839 J8400 8106</t>
        </is>
      </c>
      <c r="F1114" s="2" t="inlineStr">
        <is>
          <t xml:space="preserve">  -</t>
        </is>
      </c>
      <c r="G1114" s="11" t="inlineStr">
        <is>
          <t>SOLD</t>
        </is>
      </c>
      <c r="H1114" s="22" t="inlineStr">
        <is>
          <t>SOLD</t>
        </is>
      </c>
      <c r="I1114" s="18" t="n">
        <v>57200</v>
      </c>
      <c r="J1114" s="23" t="inlineStr">
        <is>
          <t>NOTFOUND</t>
        </is>
      </c>
      <c r="K1114" s="20" t="n">
        <v>0</v>
      </c>
      <c r="L1114" s="4" t="inlineStr">
        <is>
          <t>https://www.gucci.com/jp/ja/pr/jewellery-watches/silver-jewellery/silver-rings/trademark-hexagon-ring-p-782839J84008106</t>
        </is>
      </c>
      <c r="M1114" s="5">
        <f t="array" ref="M1114">_xlfn.IFS(J1114="NOTFOUND",I1114,J1114&gt;=I1114,J1114)</f>
        <v/>
      </c>
    </row>
    <row r="1115" ht="18" customHeight="1" s="16">
      <c r="A1115" s="5" t="n">
        <v>1114</v>
      </c>
      <c r="B1115" s="2" t="inlineStr">
        <is>
          <t>GU-3366</t>
        </is>
      </c>
      <c r="C1115" s="2" t="n"/>
      <c r="D1115" s="2" t="inlineStr">
        <is>
          <t>パドロック付き トレードマーク チェーン ブレスレット</t>
        </is>
      </c>
      <c r="E1115" s="2" t="inlineStr">
        <is>
          <t>796341 J8400 8106</t>
        </is>
      </c>
      <c r="F1115" s="2" t="inlineStr">
        <is>
          <t xml:space="preserve">  -</t>
        </is>
      </c>
      <c r="G1115" s="11" t="inlineStr">
        <is>
          <t>SOLD</t>
        </is>
      </c>
      <c r="H1115" s="22" t="inlineStr">
        <is>
          <t>SOLD</t>
        </is>
      </c>
      <c r="I1115" s="18" t="n">
        <v>77000</v>
      </c>
      <c r="J1115" s="23" t="inlineStr">
        <is>
          <t>NOTFOUND</t>
        </is>
      </c>
      <c r="K1115" s="20" t="n">
        <v>0</v>
      </c>
      <c r="L1115" s="4" t="inlineStr">
        <is>
          <t>https://www.gucci.com/jp/ja/pr/jewellery-watches/silver-jewellery/silver-bracelets/trademark-chain-bracelet-with-padlock-p-796341J84008106</t>
        </is>
      </c>
      <c r="M1115" s="5">
        <f t="array" ref="M1115">_xlfn.IFS(J1115="NOTFOUND",I1115,J1115&gt;=I1115,J1115)</f>
        <v/>
      </c>
    </row>
    <row r="1116" ht="18" customHeight="1" s="16">
      <c r="A1116" s="5" t="n">
        <v>1115</v>
      </c>
      <c r="B1116" s="2" t="inlineStr">
        <is>
          <t>GU-3367</t>
        </is>
      </c>
      <c r="C1116" s="2" t="n"/>
      <c r="D1116" s="2" t="inlineStr">
        <is>
          <t>キー付き トレードマーク チェーン ブレスレット</t>
        </is>
      </c>
      <c r="E1116" s="2" t="inlineStr">
        <is>
          <t>796345 J8400 8106</t>
        </is>
      </c>
      <c r="F1116" s="2" t="inlineStr">
        <is>
          <t xml:space="preserve">  -</t>
        </is>
      </c>
      <c r="G1116" s="11" t="inlineStr">
        <is>
          <t>SOLD</t>
        </is>
      </c>
      <c r="H1116" s="22" t="inlineStr">
        <is>
          <t>SOLD</t>
        </is>
      </c>
      <c r="I1116" s="18" t="n">
        <v>71500</v>
      </c>
      <c r="J1116" s="23" t="inlineStr">
        <is>
          <t>NOTFOUND</t>
        </is>
      </c>
      <c r="K1116" s="20" t="n">
        <v>0</v>
      </c>
      <c r="L1116" s="4" t="inlineStr">
        <is>
          <t>https://www.gucci.com/jp/ja/pr/jewellery-watches/silver-jewellery/silver-bracelets/trademark-chain-bracelet-with-key-p-796345J84008106</t>
        </is>
      </c>
      <c r="M1116" s="5">
        <f t="array" ref="M1116">_xlfn.IFS(J1116="NOTFOUND",I1116,J1116&gt;=I1116,J1116)</f>
        <v/>
      </c>
    </row>
    <row r="1117" ht="18" customHeight="1" s="16">
      <c r="A1117" s="5" t="n">
        <v>1116</v>
      </c>
      <c r="B1117" s="2" t="inlineStr">
        <is>
          <t>GU-3368</t>
        </is>
      </c>
      <c r="C1117" s="2" t="n"/>
      <c r="D1117" s="2" t="inlineStr">
        <is>
          <t>キー付き トレードマーク チェーン ネックレス</t>
        </is>
      </c>
      <c r="E1117" s="2" t="inlineStr">
        <is>
          <t>796343 J8400 8106</t>
        </is>
      </c>
      <c r="F1117" s="2" t="inlineStr">
        <is>
          <t xml:space="preserve">  -</t>
        </is>
      </c>
      <c r="G1117" s="11" t="inlineStr">
        <is>
          <t>SOLD</t>
        </is>
      </c>
      <c r="H1117" s="22" t="inlineStr">
        <is>
          <t>SOLD</t>
        </is>
      </c>
      <c r="I1117" s="18" t="n">
        <v>92400</v>
      </c>
      <c r="J1117" s="23" t="inlineStr">
        <is>
          <t>NOTFOUND</t>
        </is>
      </c>
      <c r="K1117" s="20" t="n">
        <v>0</v>
      </c>
      <c r="L1117" s="4" t="inlineStr">
        <is>
          <t>https://www.gucci.com/jp/ja/pr/jewellery-watches/silver-jewellery/silver-necklaces/trademark-chain-necklace-with-key-p-796343J84008106</t>
        </is>
      </c>
      <c r="M1117" s="5">
        <f t="array" ref="M1117">_xlfn.IFS(J1117="NOTFOUND",I1117,J1117&gt;=I1117,J1117)</f>
        <v/>
      </c>
    </row>
    <row r="1118" ht="18" customHeight="1" s="16">
      <c r="A1118" s="5" t="n">
        <v>1117</v>
      </c>
      <c r="B1118" s="2" t="inlineStr">
        <is>
          <t>GU-3369</t>
        </is>
      </c>
      <c r="C1118" s="2" t="n"/>
      <c r="D1118" s="2" t="inlineStr">
        <is>
          <t>トレードマーク オーバル リング</t>
        </is>
      </c>
      <c r="E1118" s="2" t="inlineStr">
        <is>
          <t>797033 J8400 8106</t>
        </is>
      </c>
      <c r="F1118" s="2" t="inlineStr">
        <is>
          <t xml:space="preserve">  -</t>
        </is>
      </c>
      <c r="G1118" s="11" t="inlineStr">
        <is>
          <t>SOLD</t>
        </is>
      </c>
      <c r="H1118" s="22" t="inlineStr">
        <is>
          <t>SOLD</t>
        </is>
      </c>
      <c r="I1118" s="18" t="n">
        <v>64900</v>
      </c>
      <c r="J1118" s="23" t="inlineStr">
        <is>
          <t>NOTFOUND</t>
        </is>
      </c>
      <c r="K1118" s="20" t="n">
        <v>0</v>
      </c>
      <c r="L1118" s="4" t="inlineStr">
        <is>
          <t>https://www.gucci.com/jp/ja/pr/jewellery-watches/silver-jewellery/silver-rings/trademark-oval-ring-p-797033J84008106</t>
        </is>
      </c>
      <c r="M1118" s="5">
        <f t="array" ref="M1118">_xlfn.IFS(J1118="NOTFOUND",I1118,J1118&gt;=I1118,J1118)</f>
        <v/>
      </c>
    </row>
    <row r="1119" ht="18" customHeight="1" s="16">
      <c r="A1119" s="5" t="n">
        <v>1118</v>
      </c>
      <c r="B1119" s="2" t="inlineStr">
        <is>
          <t>GU-3370</t>
        </is>
      </c>
      <c r="C1119" s="2" t="n"/>
      <c r="D1119" s="2" t="inlineStr">
        <is>
          <t>タグ付き トレードマーク チェーン ブレスレット</t>
        </is>
      </c>
      <c r="E1119" s="2" t="inlineStr">
        <is>
          <t>797152 J8400 8106</t>
        </is>
      </c>
      <c r="F1119" s="2" t="inlineStr">
        <is>
          <t xml:space="preserve">  -</t>
        </is>
      </c>
      <c r="G1119" s="11" t="inlineStr">
        <is>
          <t>SOLD</t>
        </is>
      </c>
      <c r="H1119" s="22" t="inlineStr">
        <is>
          <t>SOLD</t>
        </is>
      </c>
      <c r="I1119" s="18" t="n">
        <v>64900</v>
      </c>
      <c r="J1119" s="23" t="inlineStr">
        <is>
          <t>NOTFOUND</t>
        </is>
      </c>
      <c r="K1119" s="20" t="n">
        <v>0</v>
      </c>
      <c r="L1119" s="4" t="inlineStr">
        <is>
          <t>https://www.gucci.com/jp/ja/pr/jewellery-watches/silver-jewellery/silver-bracelets/trademark-chain-bracelet-with-tag-p-797152J84008106</t>
        </is>
      </c>
      <c r="M1119" s="5">
        <f t="array" ref="M1119">_xlfn.IFS(J1119="NOTFOUND",I1119,J1119&gt;=I1119,J1119)</f>
        <v/>
      </c>
    </row>
    <row r="1120" ht="18" customHeight="1" s="16">
      <c r="A1120" s="5" t="n">
        <v>1119</v>
      </c>
      <c r="B1120" s="2" t="inlineStr">
        <is>
          <t>GU-3371</t>
        </is>
      </c>
      <c r="C1120" s="2" t="n"/>
      <c r="D1120" s="2" t="inlineStr">
        <is>
          <t>タグ付き トレードマーク チェーン ネックレス</t>
        </is>
      </c>
      <c r="E1120" s="2" t="inlineStr">
        <is>
          <t>797142 J8400 8106</t>
        </is>
      </c>
      <c r="F1120" s="2" t="inlineStr">
        <is>
          <t xml:space="preserve">  -</t>
        </is>
      </c>
      <c r="G1120" s="11" t="inlineStr">
        <is>
          <t>SOLD</t>
        </is>
      </c>
      <c r="H1120" s="22" t="inlineStr">
        <is>
          <t>SOLD</t>
        </is>
      </c>
      <c r="I1120" s="18" t="n">
        <v>99000</v>
      </c>
      <c r="J1120" s="23" t="inlineStr">
        <is>
          <t>NOTFOUND</t>
        </is>
      </c>
      <c r="K1120" s="20" t="n">
        <v>0</v>
      </c>
      <c r="L1120" s="4" t="inlineStr">
        <is>
          <t>https://www.gucci.com/jp/ja/pr/jewellery-watches/silver-jewellery/silver-necklaces/trademark-chain-necklace-with-tag-p-797142J84008106</t>
        </is>
      </c>
      <c r="M1120" s="5">
        <f t="array" ref="M1120">_xlfn.IFS(J1120="NOTFOUND",I1120,J1120&gt;=I1120,J1120)</f>
        <v/>
      </c>
    </row>
    <row r="1121" ht="18" customHeight="1" s="16">
      <c r="A1121" s="5" t="n">
        <v>1120</v>
      </c>
      <c r="B1121" s="2" t="inlineStr">
        <is>
          <t>GU-3372</t>
        </is>
      </c>
      <c r="C1121" s="2" t="n"/>
      <c r="D1121" s="2" t="inlineStr">
        <is>
          <t>スクリプト フープピアス</t>
        </is>
      </c>
      <c r="E1121" s="2" t="inlineStr">
        <is>
          <t>797205 J8400 8106</t>
        </is>
      </c>
      <c r="F1121" s="2" t="inlineStr">
        <is>
          <t xml:space="preserve">  -</t>
        </is>
      </c>
      <c r="G1121" s="11" t="inlineStr">
        <is>
          <t>SOLD</t>
        </is>
      </c>
      <c r="H1121" s="22" t="inlineStr">
        <is>
          <t>SOLD</t>
        </is>
      </c>
      <c r="I1121" s="18" t="n">
        <v>91300</v>
      </c>
      <c r="J1121" s="23" t="inlineStr">
        <is>
          <t>NOTFOUND</t>
        </is>
      </c>
      <c r="K1121" s="20" t="n">
        <v>0</v>
      </c>
      <c r="L1121" s="4" t="inlineStr">
        <is>
          <t>https://www.gucci.com/jp/ja/pr/jewellery-watches/silver-jewellery/silver-earrings/hoop-earrings-with-gucci-script-p-797205J84008106</t>
        </is>
      </c>
      <c r="M1121" s="5">
        <f t="array" ref="M1121">_xlfn.IFS(J1121="NOTFOUND",I1121,J1121&gt;=I1121,J1121)</f>
        <v/>
      </c>
    </row>
    <row r="1122" ht="18" customHeight="1" s="16">
      <c r="A1122" s="5" t="n">
        <v>1121</v>
      </c>
      <c r="B1122" s="2" t="inlineStr">
        <is>
          <t>GU-3373</t>
        </is>
      </c>
      <c r="C1122" s="2" t="n"/>
      <c r="D1122" s="2" t="inlineStr">
        <is>
          <t>スクリプト チェーン ブレスレット</t>
        </is>
      </c>
      <c r="E1122" s="2" t="inlineStr">
        <is>
          <t>797203 J8400 8106</t>
        </is>
      </c>
      <c r="F1122" s="2" t="inlineStr">
        <is>
          <t xml:space="preserve">  -</t>
        </is>
      </c>
      <c r="G1122" s="11" t="inlineStr">
        <is>
          <t>SOLD</t>
        </is>
      </c>
      <c r="H1122" s="22" t="inlineStr">
        <is>
          <t>SOLD</t>
        </is>
      </c>
      <c r="I1122" s="18" t="n">
        <v>73700</v>
      </c>
      <c r="J1122" s="23" t="inlineStr">
        <is>
          <t>NOTFOUND</t>
        </is>
      </c>
      <c r="K1122" s="20" t="n">
        <v>0</v>
      </c>
      <c r="L1122" s="4" t="inlineStr">
        <is>
          <t>https://www.gucci.com/jp/ja/pr/jewellery-watches/silver-jewellery/silver-bracelets/chain-bracelet-with-gucci-script-p-797203J84008106</t>
        </is>
      </c>
      <c r="M1122" s="5">
        <f t="array" ref="M1122">_xlfn.IFS(J1122="NOTFOUND",I1122,J1122&gt;=I1122,J1122)</f>
        <v/>
      </c>
    </row>
    <row r="1123" ht="18" customHeight="1" s="16">
      <c r="A1123" s="5" t="n">
        <v>1122</v>
      </c>
      <c r="B1123" s="2" t="inlineStr">
        <is>
          <t>GU-3374</t>
        </is>
      </c>
      <c r="C1123" s="2" t="n"/>
      <c r="D1123" s="2" t="inlineStr">
        <is>
          <t>スクリプト ペンダント付き ネックレス</t>
        </is>
      </c>
      <c r="E1123" s="2" t="inlineStr">
        <is>
          <t>797199 J8400 8106</t>
        </is>
      </c>
      <c r="F1123" s="2" t="inlineStr">
        <is>
          <t xml:space="preserve">  -</t>
        </is>
      </c>
      <c r="G1123" s="11" t="inlineStr">
        <is>
          <t>SOLD</t>
        </is>
      </c>
      <c r="H1123" s="22" t="inlineStr">
        <is>
          <t>SOLD</t>
        </is>
      </c>
      <c r="I1123" s="18" t="n">
        <v>85800</v>
      </c>
      <c r="J1123" s="23" t="inlineStr">
        <is>
          <t>NOTFOUND</t>
        </is>
      </c>
      <c r="K1123" s="20" t="n">
        <v>0</v>
      </c>
      <c r="L1123" s="4" t="inlineStr">
        <is>
          <t>https://www.gucci.com/jp/ja/pr/jewellery-watches/silver-jewellery/silver-necklaces/necklace-with-gucci-script-pendant-p-797199J84008106</t>
        </is>
      </c>
      <c r="M1123" s="5">
        <f t="array" ref="M1123">_xlfn.IFS(J1123="NOTFOUND",I1123,J1123&gt;=I1123,J1123)</f>
        <v/>
      </c>
    </row>
    <row r="1124" ht="18" customHeight="1" s="16">
      <c r="A1124" s="5" t="n">
        <v>1123</v>
      </c>
      <c r="B1124" s="2" t="inlineStr">
        <is>
          <t>GU-3375</t>
        </is>
      </c>
      <c r="C1124" s="2" t="n"/>
      <c r="D1124" s="2" t="inlineStr">
        <is>
          <t>スクリプト チャーム付き ピアス</t>
        </is>
      </c>
      <c r="E1124" s="2" t="inlineStr">
        <is>
          <t>797211 J8400 8106</t>
        </is>
      </c>
      <c r="F1124" s="2" t="inlineStr">
        <is>
          <t xml:space="preserve">  -</t>
        </is>
      </c>
      <c r="G1124" s="11" t="inlineStr">
        <is>
          <t>SOLD</t>
        </is>
      </c>
      <c r="H1124" s="22" t="inlineStr">
        <is>
          <t>SOLD</t>
        </is>
      </c>
      <c r="I1124" s="18" t="n">
        <v>85800</v>
      </c>
      <c r="J1124" s="23" t="inlineStr">
        <is>
          <t>NOTFOUND</t>
        </is>
      </c>
      <c r="K1124" s="20" t="n">
        <v>0</v>
      </c>
      <c r="L1124" s="4" t="inlineStr">
        <is>
          <t>https://www.gucci.com/jp/ja/pr/jewellery-watches/silver-jewellery/silver-earrings/earrings-with-gucci-script-charms-p-797211J84008106</t>
        </is>
      </c>
      <c r="M1124" s="5">
        <f t="array" ref="M1124">_xlfn.IFS(J1124="NOTFOUND",I1124,J1124&gt;=I1124,J1124)</f>
        <v/>
      </c>
    </row>
    <row r="1125" ht="18" customHeight="1" s="16">
      <c r="A1125" s="5" t="n">
        <v>1124</v>
      </c>
      <c r="B1125" s="2" t="inlineStr">
        <is>
          <t>GU-3376</t>
        </is>
      </c>
      <c r="C1125" s="2" t="n"/>
      <c r="D1125" s="2" t="inlineStr">
        <is>
          <t>ダブルG スタッズ ピアス</t>
        </is>
      </c>
      <c r="E1125" s="2" t="inlineStr">
        <is>
          <t>814919 J8400 8106</t>
        </is>
      </c>
      <c r="F1125" s="2" t="inlineStr">
        <is>
          <t xml:space="preserve">  -</t>
        </is>
      </c>
      <c r="G1125" s="10" t="inlineStr">
        <is>
          <t>OneSize</t>
        </is>
      </c>
      <c r="H1125" s="17" t="inlineStr">
        <is>
          <t>OneSize</t>
        </is>
      </c>
      <c r="I1125" s="18" t="n">
        <v>69300</v>
      </c>
      <c r="J1125" s="19" t="n">
        <v>69300</v>
      </c>
      <c r="K1125" s="20" t="n">
        <v>5</v>
      </c>
      <c r="L1125" s="4" t="inlineStr">
        <is>
          <t>https://www.gucci.com/jp/ja/pr/jewellery-watches/silver-jewellery/silver-earrings/gg-marmont-stud-earrings-p-814919J84008106</t>
        </is>
      </c>
      <c r="M1125" s="5">
        <f t="array" ref="M1125">_xlfn.IFS(J1125="NOTFOUND",I1125,J1125&gt;=I1125,J1125)</f>
        <v/>
      </c>
    </row>
    <row r="1126" ht="18" customHeight="1" s="16">
      <c r="A1126" s="5" t="n">
        <v>1125</v>
      </c>
      <c r="B1126" s="2" t="inlineStr">
        <is>
          <t>GU-3377</t>
        </is>
      </c>
      <c r="C1126" s="2" t="n"/>
      <c r="D1126" s="2" t="inlineStr">
        <is>
          <t>ダブルG キーチャーム ネックレス</t>
        </is>
      </c>
      <c r="E1126" s="2" t="inlineStr">
        <is>
          <t>770723 J8400 8106</t>
        </is>
      </c>
      <c r="F1126" s="2" t="inlineStr">
        <is>
          <t xml:space="preserve">  -</t>
        </is>
      </c>
      <c r="G1126" s="11" t="inlineStr">
        <is>
          <t>SOLD</t>
        </is>
      </c>
      <c r="H1126" s="22" t="inlineStr">
        <is>
          <t>SOLD</t>
        </is>
      </c>
      <c r="I1126" s="18" t="n">
        <v>62700</v>
      </c>
      <c r="J1126" s="23" t="inlineStr">
        <is>
          <t>NOTFOUND</t>
        </is>
      </c>
      <c r="K1126" s="20" t="n">
        <v>0</v>
      </c>
      <c r="L1126" s="4" t="inlineStr">
        <is>
          <t>https://www.gucci.com/jp/ja/pr/jewellery-watches/silver-jewellery/silver-necklaces/gg-marmont-key-charm-necklace-p-770723J84008106</t>
        </is>
      </c>
      <c r="M1126" s="5">
        <f t="array" ref="M1126">_xlfn.IFS(J1126="NOTFOUND",I1126,J1126&gt;=I1126,J1126)</f>
        <v/>
      </c>
    </row>
    <row r="1127" ht="18" customHeight="1" s="16">
      <c r="A1127" s="5" t="n">
        <v>1126</v>
      </c>
      <c r="B1127" s="2" t="inlineStr">
        <is>
          <t>GU-3378</t>
        </is>
      </c>
      <c r="C1127" s="2" t="n"/>
      <c r="D1127" s="2" t="inlineStr">
        <is>
          <t>ダブルG キーチャーム ブレスレット</t>
        </is>
      </c>
      <c r="E1127" s="2" t="inlineStr">
        <is>
          <t>632207 J8400 8106</t>
        </is>
      </c>
      <c r="F1127" s="2" t="inlineStr">
        <is>
          <t>スターリングシルバー</t>
        </is>
      </c>
      <c r="G1127" s="11" t="inlineStr">
        <is>
          <t>SOLD</t>
        </is>
      </c>
      <c r="H1127" s="22" t="inlineStr">
        <is>
          <t>SOLD</t>
        </is>
      </c>
      <c r="I1127" s="18" t="n">
        <v>57200</v>
      </c>
      <c r="J1127" s="23" t="inlineStr">
        <is>
          <t>NOTFOUND</t>
        </is>
      </c>
      <c r="K1127" s="20" t="n">
        <v>0</v>
      </c>
      <c r="L1127" s="4" t="inlineStr">
        <is>
          <t>https://www.gucci.com/jp/ja/pr/jewellery-watches/silver-jewellery/silver-bracelets/gg-marmont-key-charm-bracelet-p-632207J84008106</t>
        </is>
      </c>
      <c r="M1127" s="5">
        <f t="array" ref="M1127">_xlfn.IFS(J1127="NOTFOUND",I1127,J1127&gt;=I1127,J1127)</f>
        <v/>
      </c>
    </row>
    <row r="1128" ht="18" customHeight="1" s="16">
      <c r="A1128" s="5" t="n">
        <v>1127</v>
      </c>
      <c r="B1128" s="2" t="inlineStr">
        <is>
          <t>GU-3379</t>
        </is>
      </c>
      <c r="C1128" s="2" t="n"/>
      <c r="D1128" s="2" t="inlineStr">
        <is>
          <t>ダイアゴナル インターロッキングG ネックレス</t>
        </is>
      </c>
      <c r="E1128" s="2" t="inlineStr">
        <is>
          <t>776996 J8400 8106</t>
        </is>
      </c>
      <c r="F1128" s="2" t="inlineStr">
        <is>
          <t xml:space="preserve">  -</t>
        </is>
      </c>
      <c r="G1128" s="11" t="inlineStr">
        <is>
          <t>SOLD</t>
        </is>
      </c>
      <c r="H1128" s="22" t="inlineStr">
        <is>
          <t>SOLD</t>
        </is>
      </c>
      <c r="I1128" s="18" t="n">
        <v>85800</v>
      </c>
      <c r="J1128" s="23" t="inlineStr">
        <is>
          <t>NOTFOUND</t>
        </is>
      </c>
      <c r="K1128" s="20" t="n">
        <v>0</v>
      </c>
      <c r="L1128" s="4" t="inlineStr">
        <is>
          <t>https://www.gucci.com/jp/ja/pr/jewellery-watches/silver-jewellery/silver-necklaces/diagonal-interlocking-g-necklace-p-776996J84008106</t>
        </is>
      </c>
      <c r="M1128" s="5">
        <f t="array" ref="M1128">_xlfn.IFS(J1128="NOTFOUND",I1128,J1128&gt;=I1128,J1128)</f>
        <v/>
      </c>
    </row>
    <row r="1129" ht="18" customHeight="1" s="16">
      <c r="A1129" s="5" t="n">
        <v>1128</v>
      </c>
      <c r="B1129" s="2" t="inlineStr">
        <is>
          <t>GU-3380</t>
        </is>
      </c>
      <c r="C1129" s="2" t="n"/>
      <c r="D1129" s="2" t="inlineStr">
        <is>
          <t>ダイアゴナル インターロッキングG ブレスレット</t>
        </is>
      </c>
      <c r="E1129" s="2" t="inlineStr">
        <is>
          <t>774464 JAAFW 8163</t>
        </is>
      </c>
      <c r="F1129" s="2" t="inlineStr">
        <is>
          <t>ブラックレザー</t>
        </is>
      </c>
      <c r="G1129" s="10" t="inlineStr">
        <is>
          <t>OneSize</t>
        </is>
      </c>
      <c r="H1129" s="17" t="inlineStr">
        <is>
          <t>OneSize</t>
        </is>
      </c>
      <c r="I1129" s="18" t="n">
        <v>59400</v>
      </c>
      <c r="J1129" s="19" t="n">
        <v>59400</v>
      </c>
      <c r="K1129" s="20" t="n">
        <v>5</v>
      </c>
      <c r="L1129" s="4" t="inlineStr">
        <is>
          <t>https://www.gucci.com/jp/ja/pr/jewellery-watches/silver-jewellery/silver-bracelets/diagonal-interlocking-g-bracelet-p-774464JAAFW8163</t>
        </is>
      </c>
      <c r="M1129" s="5">
        <f t="array" ref="M1129">_xlfn.IFS(J1129="NOTFOUND",I1129,J1129&gt;=I1129,J1129)</f>
        <v/>
      </c>
    </row>
    <row r="1130" ht="18" customHeight="1" s="16">
      <c r="A1130" s="5" t="n">
        <v>1129</v>
      </c>
      <c r="B1130" s="2" t="inlineStr">
        <is>
          <t>GU-3381</t>
        </is>
      </c>
      <c r="C1130" s="2" t="n"/>
      <c r="D1130" s="2" t="inlineStr">
        <is>
          <t>ダイアゴナル インターロッキングG ネックレス</t>
        </is>
      </c>
      <c r="E1130" s="2" t="inlineStr">
        <is>
          <t>774055 J8400 8106</t>
        </is>
      </c>
      <c r="F1130" s="2" t="inlineStr">
        <is>
          <t xml:space="preserve">  -</t>
        </is>
      </c>
      <c r="G1130" s="10" t="inlineStr">
        <is>
          <t>OneSize</t>
        </is>
      </c>
      <c r="H1130" s="17" t="inlineStr">
        <is>
          <t>OneSize</t>
        </is>
      </c>
      <c r="I1130" s="18" t="n">
        <v>69300</v>
      </c>
      <c r="J1130" s="19" t="n">
        <v>69300</v>
      </c>
      <c r="K1130" s="20" t="n">
        <v>5</v>
      </c>
      <c r="L1130" s="4" t="inlineStr">
        <is>
          <t>https://www.gucci.com/jp/ja/pr/jewellery-watches/silver-jewellery/silver-necklaces/diagonal-interlocking-g-necklace-p-774055J84008106</t>
        </is>
      </c>
      <c r="M1130" s="5">
        <f t="array" ref="M1130">_xlfn.IFS(J1130="NOTFOUND",I1130,J1130&gt;=I1130,J1130)</f>
        <v/>
      </c>
    </row>
    <row r="1131" ht="18" customHeight="1" s="16">
      <c r="A1131" s="5" t="n">
        <v>1130</v>
      </c>
      <c r="B1131" s="2" t="inlineStr">
        <is>
          <t>GU-3382</t>
        </is>
      </c>
      <c r="C1131" s="2" t="n"/>
      <c r="D1131" s="2" t="inlineStr">
        <is>
          <t>ダイアゴナル インターロッキングG ブレスレット</t>
        </is>
      </c>
      <c r="E1131" s="2" t="inlineStr">
        <is>
          <t>774054 J8400 8106</t>
        </is>
      </c>
      <c r="F1131" s="2" t="inlineStr">
        <is>
          <t xml:space="preserve">  -</t>
        </is>
      </c>
      <c r="G1131" s="10" t="inlineStr">
        <is>
          <t>16_17_18</t>
        </is>
      </c>
      <c r="H1131" s="17" t="inlineStr">
        <is>
          <t>16_17_18_19</t>
        </is>
      </c>
      <c r="I1131" s="18" t="n">
        <v>66000</v>
      </c>
      <c r="J1131" s="19" t="n">
        <v>66000</v>
      </c>
      <c r="K1131" s="20" t="n">
        <v>5</v>
      </c>
      <c r="L1131" s="4" t="inlineStr">
        <is>
          <t>https://www.gucci.com/jp/ja/pr/jewellery-watches/silver-jewellery/silver-bracelets/diagonal-interlocking-g-bracelet-p-774054J84008106</t>
        </is>
      </c>
      <c r="M1131" s="5">
        <f t="array" ref="M1131">_xlfn.IFS(J1131="NOTFOUND",I1131,J1131&gt;=I1131,J1131)</f>
        <v/>
      </c>
    </row>
    <row r="1132" ht="18" customHeight="1" s="16">
      <c r="A1132" s="5" t="n">
        <v>1131</v>
      </c>
      <c r="B1132" s="2" t="inlineStr">
        <is>
          <t>GU-3383</t>
        </is>
      </c>
      <c r="C1132" s="2" t="n"/>
      <c r="D1132" s="2" t="inlineStr">
        <is>
          <t>ダイアゴナル インターロッキングG リング</t>
        </is>
      </c>
      <c r="E1132" s="2" t="inlineStr">
        <is>
          <t>774052 J8400 8106</t>
        </is>
      </c>
      <c r="F1132" s="2" t="inlineStr">
        <is>
          <t xml:space="preserve">  -</t>
        </is>
      </c>
      <c r="G1132" s="10" t="inlineStr">
        <is>
          <t>7_8_9_10_11_12_13_14_15_16_17_18_19_20_21_22_23_24_25_26</t>
        </is>
      </c>
      <c r="H1132" s="17" t="inlineStr">
        <is>
          <t>7_8_9_10_11_12_13_14_15_16_17_18_19_20_21_22_23_24_25_26</t>
        </is>
      </c>
      <c r="I1132" s="18" t="n">
        <v>60500</v>
      </c>
      <c r="J1132" s="19" t="n">
        <v>57200</v>
      </c>
      <c r="K1132" s="20" t="n">
        <v>5</v>
      </c>
      <c r="L1132" s="4" t="inlineStr">
        <is>
          <t>https://www.gucci.com/jp/ja/pr/jewellery-watches/silver-jewellery/silver-rings/diagonal-interlocking-g-ring-p-774052J84008106</t>
        </is>
      </c>
      <c r="M1132" s="5">
        <f t="array" ref="M1132">_xlfn.IFS(J1132="NOTFOUND",I1132,J1132&gt;=I1132,J1132)</f>
        <v/>
      </c>
    </row>
    <row r="1133" ht="18" customHeight="1" s="16">
      <c r="A1133" s="5" t="n">
        <v>1132</v>
      </c>
      <c r="B1133" s="2" t="inlineStr">
        <is>
          <t>GU-3384</t>
        </is>
      </c>
      <c r="C1133" s="2" t="n"/>
      <c r="D1133" s="2" t="inlineStr">
        <is>
          <t>ダイアゴナル インターロッキングG スリム リング</t>
        </is>
      </c>
      <c r="E1133" s="2" t="inlineStr">
        <is>
          <t>774049 J8400 8106</t>
        </is>
      </c>
      <c r="F1133" s="2" t="inlineStr">
        <is>
          <t xml:space="preserve">  -</t>
        </is>
      </c>
      <c r="G1133" s="10" t="inlineStr">
        <is>
          <t>7_8_9_10_11_12_13_14_15_16_17_18_19_20_21_22_23_24_25</t>
        </is>
      </c>
      <c r="H1133" s="17" t="inlineStr">
        <is>
          <t>7_8_9_10_11_12_13_14_15_16_17_18_19_20_21_22_23_24_25</t>
        </is>
      </c>
      <c r="I1133" s="18" t="n">
        <v>57200</v>
      </c>
      <c r="J1133" s="19" t="n">
        <v>49500</v>
      </c>
      <c r="K1133" s="20" t="n">
        <v>5</v>
      </c>
      <c r="L1133" s="4" t="inlineStr">
        <is>
          <t>https://www.gucci.com/jp/ja/pr/jewellery-watches/silver-jewellery/silver-rings/diagonal-interlocking-g-thin-ring-p-774049J84008106</t>
        </is>
      </c>
      <c r="M1133" s="5">
        <f t="array" ref="M1133">_xlfn.IFS(J1133="NOTFOUND",I1133,J1133&gt;=I1133,J1133)</f>
        <v/>
      </c>
    </row>
    <row r="1134" ht="18" customHeight="1" s="16">
      <c r="A1134" s="5" t="n">
        <v>1133</v>
      </c>
      <c r="B1134" s="2" t="inlineStr">
        <is>
          <t>GU-3385</t>
        </is>
      </c>
      <c r="C1134" s="2" t="n"/>
      <c r="D1134" s="2" t="inlineStr">
        <is>
          <t>ダイアゴナル インターロッキングG リング</t>
        </is>
      </c>
      <c r="E1134" s="2" t="inlineStr">
        <is>
          <t>774038 J8400 8106</t>
        </is>
      </c>
      <c r="F1134" s="2" t="inlineStr">
        <is>
          <t xml:space="preserve">  -</t>
        </is>
      </c>
      <c r="G1134" s="11" t="inlineStr">
        <is>
          <t>SOLD</t>
        </is>
      </c>
      <c r="H1134" s="22" t="inlineStr">
        <is>
          <t>SOLD</t>
        </is>
      </c>
      <c r="I1134" s="18" t="n">
        <v>60500</v>
      </c>
      <c r="J1134" s="23" t="inlineStr">
        <is>
          <t>NOTFOUND</t>
        </is>
      </c>
      <c r="K1134" s="20" t="n">
        <v>0</v>
      </c>
      <c r="L1134" s="4" t="inlineStr">
        <is>
          <t>https://www.gucci.com/jp/ja/pr/jewellery-watches/silver-jewellery/silver-rings/diagonal-interlocking-g-ring-p-774038J84008106</t>
        </is>
      </c>
      <c r="M1134" s="5">
        <f t="array" ref="M1134">_xlfn.IFS(J1134="NOTFOUND",I1134,J1134&gt;=I1134,J1134)</f>
        <v/>
      </c>
    </row>
    <row r="1135" ht="18" customHeight="1" s="16">
      <c r="A1135" s="5" t="n">
        <v>1134</v>
      </c>
      <c r="B1135" s="2" t="inlineStr">
        <is>
          <t>GU-3386</t>
        </is>
      </c>
      <c r="C1135" s="2" t="n"/>
      <c r="D1135" s="2" t="inlineStr">
        <is>
          <t>ダイアゴナル インターロッキングG ネクタイピン</t>
        </is>
      </c>
      <c r="E1135" s="2" t="inlineStr">
        <is>
          <t>774034 J8400 8106</t>
        </is>
      </c>
      <c r="F1135" s="2" t="inlineStr">
        <is>
          <t xml:space="preserve">  -</t>
        </is>
      </c>
      <c r="G1135" s="10" t="inlineStr">
        <is>
          <t>OneSize</t>
        </is>
      </c>
      <c r="H1135" s="17" t="inlineStr">
        <is>
          <t>OneSize</t>
        </is>
      </c>
      <c r="I1135" s="18" t="n">
        <v>60500</v>
      </c>
      <c r="J1135" s="19" t="n">
        <v>60500</v>
      </c>
      <c r="K1135" s="20" t="n">
        <v>5</v>
      </c>
      <c r="L1135" s="4" t="inlineStr">
        <is>
          <t>https://www.gucci.com/jp/ja/pr/jewellery-watches/silver-jewellery/silver-cufflinks-others-accessories/diagonal-interlocking-g-tie-bar-p-774034J84008106</t>
        </is>
      </c>
      <c r="M1135" s="5">
        <f t="array" ref="M1135">_xlfn.IFS(J1135="NOTFOUND",I1135,J1135&gt;=I1135,J1135)</f>
        <v/>
      </c>
    </row>
    <row r="1136" ht="18" customHeight="1" s="16">
      <c r="A1136" s="5" t="n">
        <v>1135</v>
      </c>
      <c r="B1136" s="2" t="inlineStr">
        <is>
          <t>GU-3387</t>
        </is>
      </c>
      <c r="C1136" s="2" t="n"/>
      <c r="D1136" s="2" t="inlineStr">
        <is>
          <t>ダイアゴナル インターロッキングG ピアス</t>
        </is>
      </c>
      <c r="E1136" s="2" t="inlineStr">
        <is>
          <t>774033 J8400 8106</t>
        </is>
      </c>
      <c r="F1136" s="2" t="inlineStr">
        <is>
          <t xml:space="preserve">  -</t>
        </is>
      </c>
      <c r="G1136" s="10" t="inlineStr">
        <is>
          <t>OneSize</t>
        </is>
      </c>
      <c r="H1136" s="17" t="inlineStr">
        <is>
          <t>OneSize</t>
        </is>
      </c>
      <c r="I1136" s="18" t="n">
        <v>57200</v>
      </c>
      <c r="J1136" s="19" t="n">
        <v>57200</v>
      </c>
      <c r="K1136" s="20" t="n">
        <v>5</v>
      </c>
      <c r="L1136" s="4" t="inlineStr">
        <is>
          <t>https://www.gucci.com/jp/ja/pr/jewellery-watches/silver-jewellery/silver-earrings/diagonal-interlocking-g-earrings-p-774033J84008106</t>
        </is>
      </c>
      <c r="M1136" s="5">
        <f t="array" ref="M1136">_xlfn.IFS(J1136="NOTFOUND",I1136,J1136&gt;=I1136,J1136)</f>
        <v/>
      </c>
    </row>
    <row r="1137" ht="18" customHeight="1" s="16">
      <c r="A1137" s="5" t="n">
        <v>1136</v>
      </c>
      <c r="B1137" s="2" t="inlineStr">
        <is>
          <t>GU-3388</t>
        </is>
      </c>
      <c r="C1137" s="2" t="n"/>
      <c r="D1137" s="2" t="inlineStr">
        <is>
          <t>トレードマーク ハートシェイプ ピアス</t>
        </is>
      </c>
      <c r="E1137" s="2" t="inlineStr">
        <is>
          <t>223990 J8400 8106</t>
        </is>
      </c>
      <c r="F1137" s="2" t="inlineStr">
        <is>
          <t xml:space="preserve">  -</t>
        </is>
      </c>
      <c r="G1137" s="10" t="inlineStr">
        <is>
          <t>OneSize</t>
        </is>
      </c>
      <c r="H1137" s="17" t="inlineStr">
        <is>
          <t>OneSize</t>
        </is>
      </c>
      <c r="I1137" s="18" t="n">
        <v>57200</v>
      </c>
      <c r="J1137" s="19" t="n">
        <v>48400</v>
      </c>
      <c r="K1137" s="20" t="n">
        <v>5</v>
      </c>
      <c r="L1137" s="4" t="inlineStr">
        <is>
          <t>https://www.gucci.com/jp/ja/pr/jewellery-watches/silver-jewellery/silver-earrings/trademark-heart-shaped-earrings-p-223990J84008106</t>
        </is>
      </c>
      <c r="M1137" s="5">
        <f t="array" ref="M1137">_xlfn.IFS(J1137="NOTFOUND",I1137,J1137&gt;=I1137,J1137)</f>
        <v/>
      </c>
    </row>
    <row r="1138" ht="18" customHeight="1" s="16">
      <c r="A1138" s="5" t="n">
        <v>1137</v>
      </c>
      <c r="B1138" s="2" t="inlineStr">
        <is>
          <t>GU-3389</t>
        </is>
      </c>
      <c r="C1138" s="2" t="n"/>
      <c r="D1138" s="2" t="inlineStr">
        <is>
          <t>トレードマーク ハート 付き リング</t>
        </is>
      </c>
      <c r="E1138" s="2" t="inlineStr">
        <is>
          <t>223867 J8400 8106</t>
        </is>
      </c>
      <c r="F1138" s="2" t="inlineStr">
        <is>
          <t xml:space="preserve">  -</t>
        </is>
      </c>
      <c r="G1138" s="10" t="inlineStr">
        <is>
          <t>6_7_8_9_10_11_12_13_14_15_16_17</t>
        </is>
      </c>
      <c r="H1138" s="17" t="inlineStr">
        <is>
          <t>6_7_8_9_10_11_12_13_14_15_16_17</t>
        </is>
      </c>
      <c r="I1138" s="18" t="n">
        <v>53900</v>
      </c>
      <c r="J1138" s="19" t="n">
        <v>49500</v>
      </c>
      <c r="K1138" s="20" t="n">
        <v>5</v>
      </c>
      <c r="L1138" s="4" t="inlineStr">
        <is>
          <t>https://www.gucci.com/jp/ja/pr/jewellery-watches/silver-jewellery/silver-rings/trademark-ring-with-heart-pendant-p-223867J84008106</t>
        </is>
      </c>
      <c r="M1138" s="5">
        <f t="array" ref="M1138">_xlfn.IFS(J1138="NOTFOUND",I1138,J1138&gt;=I1138,J1138)</f>
        <v/>
      </c>
    </row>
    <row r="1139" ht="18" customHeight="1" s="16">
      <c r="A1139" s="5" t="n">
        <v>1138</v>
      </c>
      <c r="B1139" s="2" t="inlineStr">
        <is>
          <t>GU-3390</t>
        </is>
      </c>
      <c r="C1139" s="2" t="n"/>
      <c r="D1139" s="2" t="inlineStr">
        <is>
          <t>トレードマーク ハート ペンダント付き ブレスレット</t>
        </is>
      </c>
      <c r="E1139" s="2" t="inlineStr">
        <is>
          <t>223513 J8400 8106</t>
        </is>
      </c>
      <c r="F1139" s="2" t="inlineStr">
        <is>
          <t xml:space="preserve">  -</t>
        </is>
      </c>
      <c r="G1139" s="10" t="inlineStr">
        <is>
          <t>16_17_18</t>
        </is>
      </c>
      <c r="H1139" s="17" t="inlineStr">
        <is>
          <t>16_17_18</t>
        </is>
      </c>
      <c r="I1139" s="18" t="n">
        <v>57200</v>
      </c>
      <c r="J1139" s="19" t="n">
        <v>48400</v>
      </c>
      <c r="K1139" s="20" t="n">
        <v>5</v>
      </c>
      <c r="L1139" s="4" t="inlineStr">
        <is>
          <t>https://www.gucci.com/jp/ja/pr/jewellery-watches/silver-jewellery/silver-bracelets/trademark-bracelet-with-heart-pendant-p-223513J84008106</t>
        </is>
      </c>
      <c r="M1139" s="5">
        <f t="array" ref="M1139">_xlfn.IFS(J1139="NOTFOUND",I1139,J1139&gt;=I1139,J1139)</f>
        <v/>
      </c>
    </row>
    <row r="1140" ht="18" customHeight="1" s="16">
      <c r="A1140" s="5" t="n">
        <v>1139</v>
      </c>
      <c r="B1140" s="2" t="inlineStr">
        <is>
          <t>GU-3391</t>
        </is>
      </c>
      <c r="C1140" s="2" t="n"/>
      <c r="D1140" s="2" t="inlineStr">
        <is>
          <t>トレードマーク ハート ペンダント付き ネックレス</t>
        </is>
      </c>
      <c r="E1140" s="2" t="inlineStr">
        <is>
          <t>223512 J8400 8106</t>
        </is>
      </c>
      <c r="F1140" s="2" t="inlineStr">
        <is>
          <t xml:space="preserve">  -</t>
        </is>
      </c>
      <c r="G1140" s="10" t="inlineStr">
        <is>
          <t>OneSize</t>
        </is>
      </c>
      <c r="H1140" s="17" t="inlineStr">
        <is>
          <t>OneSize</t>
        </is>
      </c>
      <c r="I1140" s="18" t="n">
        <v>55000</v>
      </c>
      <c r="J1140" s="19" t="n">
        <v>49500</v>
      </c>
      <c r="K1140" s="20" t="n">
        <v>5</v>
      </c>
      <c r="L1140" s="4" t="inlineStr">
        <is>
          <t>https://www.gucci.com/jp/ja/pr/jewellery-watches/silver-jewellery/silver-necklaces/trademark-necklace-with-heart-pendant-p-223512J84008106</t>
        </is>
      </c>
      <c r="M1140" s="5">
        <f t="array" ref="M1140">_xlfn.IFS(J1140="NOTFOUND",I1140,J1140&gt;=I1140,J1140)</f>
        <v/>
      </c>
    </row>
    <row r="1141" ht="18" customHeight="1" s="16">
      <c r="A1141" s="5" t="n">
        <v>1140</v>
      </c>
      <c r="B1141" s="2" t="inlineStr">
        <is>
          <t>GU-3392</t>
        </is>
      </c>
      <c r="C1141" s="2" t="n"/>
      <c r="D1141" s="2" t="inlineStr">
        <is>
          <t>タグ付き トレードマーク コード ブレスレット</t>
        </is>
      </c>
      <c r="E1141" s="2" t="inlineStr">
        <is>
          <t>797194 J84R0 8140</t>
        </is>
      </c>
      <c r="F1141" s="2" t="inlineStr">
        <is>
          <t xml:space="preserve">  -</t>
        </is>
      </c>
      <c r="G1141" s="11" t="inlineStr">
        <is>
          <t>SOLD</t>
        </is>
      </c>
      <c r="H1141" s="22" t="inlineStr">
        <is>
          <t>SOLD</t>
        </is>
      </c>
      <c r="I1141" s="18" t="n">
        <v>46200</v>
      </c>
      <c r="J1141" s="23" t="inlineStr">
        <is>
          <t>NOTFOUND</t>
        </is>
      </c>
      <c r="K1141" s="20" t="n">
        <v>0</v>
      </c>
      <c r="L1141" s="4" t="inlineStr">
        <is>
          <t>https://www.gucci.com/jp/ja/pr/jewellery-watches/silver-jewellery/silver-bracelets/trademark-cord-bracelet-with-tag-p-797194J84R08140</t>
        </is>
      </c>
      <c r="M1141" s="5">
        <f t="array" ref="M1141">_xlfn.IFS(J1141="NOTFOUND",I1141,J1141&gt;=I1141,J1141)</f>
        <v/>
      </c>
    </row>
    <row r="1142" ht="18" customHeight="1" s="16">
      <c r="A1142" s="5" t="n">
        <v>1141</v>
      </c>
      <c r="B1142" s="2" t="inlineStr">
        <is>
          <t>GU-3393</t>
        </is>
      </c>
      <c r="C1142" s="2" t="n"/>
      <c r="D1142" s="2" t="inlineStr">
        <is>
          <t>トレードマーク ネックレス</t>
        </is>
      </c>
      <c r="E1142" s="2" t="inlineStr">
        <is>
          <t>779175 J8400 8106</t>
        </is>
      </c>
      <c r="F1142" s="2" t="inlineStr">
        <is>
          <t xml:space="preserve">  -</t>
        </is>
      </c>
      <c r="G1142" s="11" t="inlineStr">
        <is>
          <t>SOLD</t>
        </is>
      </c>
      <c r="H1142" s="22" t="inlineStr">
        <is>
          <t>SOLD</t>
        </is>
      </c>
      <c r="I1142" s="18" t="n">
        <v>82500</v>
      </c>
      <c r="J1142" s="23" t="inlineStr">
        <is>
          <t>NOTFOUND</t>
        </is>
      </c>
      <c r="K1142" s="20" t="n">
        <v>0</v>
      </c>
      <c r="L1142" s="4" t="inlineStr">
        <is>
          <t>https://www.gucci.com/jp/ja/pr/jewellery-watches/silver-jewellery/silver-necklaces/trademark-necklace-p-779175J84008106</t>
        </is>
      </c>
      <c r="M1142" s="5">
        <f t="array" ref="M1142">_xlfn.IFS(J1142="NOTFOUND",I1142,J1142&gt;=I1142,J1142)</f>
        <v/>
      </c>
    </row>
    <row r="1143" ht="18" customHeight="1" s="16">
      <c r="A1143" s="5" t="n">
        <v>1142</v>
      </c>
      <c r="B1143" s="2" t="inlineStr">
        <is>
          <t>GU-3394</t>
        </is>
      </c>
      <c r="C1143" s="2" t="n"/>
      <c r="D1143" s="2" t="inlineStr">
        <is>
          <t>トレードマーク ブレスレット</t>
        </is>
      </c>
      <c r="E1143" s="2" t="inlineStr">
        <is>
          <t>779173 J8400 8106</t>
        </is>
      </c>
      <c r="F1143" s="2" t="inlineStr">
        <is>
          <t xml:space="preserve">  -</t>
        </is>
      </c>
      <c r="G1143" s="11" t="inlineStr">
        <is>
          <t>SOLD</t>
        </is>
      </c>
      <c r="H1143" s="22" t="inlineStr">
        <is>
          <t>SOLD</t>
        </is>
      </c>
      <c r="I1143" s="18" t="n">
        <v>82500</v>
      </c>
      <c r="J1143" s="23" t="inlineStr">
        <is>
          <t>NOTFOUND</t>
        </is>
      </c>
      <c r="K1143" s="20" t="n">
        <v>0</v>
      </c>
      <c r="L1143" s="4" t="inlineStr">
        <is>
          <t>https://www.gucci.com/jp/ja/pr/jewellery-watches/silver-jewellery/silver-bracelets/trademark-bracelet-p-779173J84008106</t>
        </is>
      </c>
      <c r="M1143" s="5">
        <f t="array" ref="M1143">_xlfn.IFS(J1143="NOTFOUND",I1143,J1143&gt;=I1143,J1143)</f>
        <v/>
      </c>
    </row>
    <row r="1144" ht="18" customHeight="1" s="16">
      <c r="A1144" s="5" t="n">
        <v>1143</v>
      </c>
      <c r="B1144" s="2" t="inlineStr">
        <is>
          <t>GU-3395</t>
        </is>
      </c>
      <c r="C1144" s="2" t="n"/>
      <c r="D1144" s="2" t="inlineStr">
        <is>
          <t>トレードマーク スタッズ ピアス</t>
        </is>
      </c>
      <c r="E1144" s="2" t="inlineStr">
        <is>
          <t>779171 J8400 8106</t>
        </is>
      </c>
      <c r="F1144" s="2" t="inlineStr">
        <is>
          <t xml:space="preserve">  -</t>
        </is>
      </c>
      <c r="G1144" s="11" t="inlineStr">
        <is>
          <t>SOLD</t>
        </is>
      </c>
      <c r="H1144" s="22" t="inlineStr">
        <is>
          <t>SOLD</t>
        </is>
      </c>
      <c r="I1144" s="18" t="n">
        <v>57200</v>
      </c>
      <c r="J1144" s="23" t="inlineStr">
        <is>
          <t>NOTFOUND</t>
        </is>
      </c>
      <c r="K1144" s="20" t="n">
        <v>0</v>
      </c>
      <c r="L1144" s="4" t="inlineStr">
        <is>
          <t>https://www.gucci.com/jp/ja/pr/jewellery-watches/silver-jewellery/silver-earrings/trademark-stud-earrings-p-779171J84008106</t>
        </is>
      </c>
      <c r="M1144" s="5">
        <f t="array" ref="M1144">_xlfn.IFS(J1144="NOTFOUND",I1144,J1144&gt;=I1144,J1144)</f>
        <v/>
      </c>
    </row>
    <row r="1145" ht="18" customHeight="1" s="16">
      <c r="A1145" s="5" t="n">
        <v>1144</v>
      </c>
      <c r="B1145" s="2" t="inlineStr">
        <is>
          <t>GU-3396</t>
        </is>
      </c>
      <c r="C1145" s="2" t="n"/>
      <c r="D1145" s="2" t="inlineStr">
        <is>
          <t>トレードマーク ブレスレット</t>
        </is>
      </c>
      <c r="E1145" s="2" t="inlineStr">
        <is>
          <t>779169 J8400 8106</t>
        </is>
      </c>
      <c r="F1145" s="2" t="inlineStr">
        <is>
          <t xml:space="preserve">  -</t>
        </is>
      </c>
      <c r="G1145" s="11" t="inlineStr">
        <is>
          <t>SOLD</t>
        </is>
      </c>
      <c r="H1145" s="22" t="inlineStr">
        <is>
          <t>SOLD</t>
        </is>
      </c>
      <c r="I1145" s="18" t="n">
        <v>64900</v>
      </c>
      <c r="J1145" s="23" t="inlineStr">
        <is>
          <t>NOTFOUND</t>
        </is>
      </c>
      <c r="K1145" s="20" t="n">
        <v>0</v>
      </c>
      <c r="L1145" s="4" t="inlineStr">
        <is>
          <t>https://www.gucci.com/jp/ja/pr/jewellery-watches/silver-jewellery/silver-bracelets/trademark-bracelet-p-779169J84008106</t>
        </is>
      </c>
      <c r="M1145" s="5">
        <f t="array" ref="M1145">_xlfn.IFS(J1145="NOTFOUND",I1145,J1145&gt;=I1145,J1145)</f>
        <v/>
      </c>
    </row>
    <row r="1146" ht="18" customHeight="1" s="16">
      <c r="A1146" s="5" t="n">
        <v>1145</v>
      </c>
      <c r="B1146" s="2" t="inlineStr">
        <is>
          <t>GU-3397</t>
        </is>
      </c>
      <c r="C1146" s="2" t="n"/>
      <c r="D1146" s="2" t="inlineStr">
        <is>
          <t>トレードマーク スリム リング</t>
        </is>
      </c>
      <c r="E1146" s="2" t="inlineStr">
        <is>
          <t>779162 J8400 8106</t>
        </is>
      </c>
      <c r="F1146" s="2" t="inlineStr">
        <is>
          <t xml:space="preserve">  -</t>
        </is>
      </c>
      <c r="G1146" s="11" t="inlineStr">
        <is>
          <t>SOLD</t>
        </is>
      </c>
      <c r="H1146" s="22" t="inlineStr">
        <is>
          <t>SOLD</t>
        </is>
      </c>
      <c r="I1146" s="18" t="n">
        <v>62700</v>
      </c>
      <c r="J1146" s="23" t="inlineStr">
        <is>
          <t>NOTFOUND</t>
        </is>
      </c>
      <c r="K1146" s="20" t="n">
        <v>0</v>
      </c>
      <c r="L1146" s="4" t="inlineStr">
        <is>
          <t>https://www.gucci.com/jp/ja/pr/jewellery-watches/silver-jewellery/silver-rings/trademark-thin-ring-p-779162J84008106</t>
        </is>
      </c>
      <c r="M1146" s="5">
        <f t="array" ref="M1146">_xlfn.IFS(J1146="NOTFOUND",I1146,J1146&gt;=I1146,J1146)</f>
        <v/>
      </c>
    </row>
    <row r="1147" ht="18" customHeight="1" s="16">
      <c r="A1147" s="5" t="n">
        <v>1146</v>
      </c>
      <c r="B1147" s="2" t="inlineStr">
        <is>
          <t>GU-3398</t>
        </is>
      </c>
      <c r="C1147" s="2" t="n"/>
      <c r="D1147" s="2" t="inlineStr">
        <is>
          <t>エングレービング タグ付き ブレスレット</t>
        </is>
      </c>
      <c r="E1147" s="2" t="inlineStr">
        <is>
          <t>774464 JAAFW 8179</t>
        </is>
      </c>
      <c r="F1147" s="2" t="inlineStr">
        <is>
          <t>スターリングシルバー</t>
        </is>
      </c>
      <c r="G1147" s="10" t="inlineStr">
        <is>
          <t>OneSize</t>
        </is>
      </c>
      <c r="H1147" s="17" t="inlineStr">
        <is>
          <t>OneSize</t>
        </is>
      </c>
      <c r="I1147" s="18" t="n">
        <v>59400</v>
      </c>
      <c r="J1147" s="19" t="n">
        <v>59400</v>
      </c>
      <c r="K1147" s="20" t="n">
        <v>5</v>
      </c>
      <c r="L1147" s="4" t="inlineStr">
        <is>
          <t>https://www.gucci.com/jp/ja/pr/jewellery-watches/silver-jewellery/silver-bracelets/bracelet-with-engraved-tag-p-774464JAAFW8179</t>
        </is>
      </c>
      <c r="M1147" s="5">
        <f t="array" ref="M1147">_xlfn.IFS(J1147="NOTFOUND",I1147,J1147&gt;=I1147,J1147)</f>
        <v/>
      </c>
    </row>
    <row r="1148" ht="18" customHeight="1" s="16">
      <c r="A1148" s="5" t="n">
        <v>1147</v>
      </c>
      <c r="B1148" s="2" t="inlineStr">
        <is>
          <t>GU-3399</t>
        </is>
      </c>
      <c r="C1148" s="2" t="n"/>
      <c r="D1148" s="2" t="inlineStr">
        <is>
          <t>ボール チェーン ペンダント ネックレス</t>
        </is>
      </c>
      <c r="E1148" s="2" t="inlineStr">
        <is>
          <t>815540 J8410 8166</t>
        </is>
      </c>
      <c r="F1148" s="2" t="inlineStr">
        <is>
          <t xml:space="preserve">  -</t>
        </is>
      </c>
      <c r="G1148" s="11" t="inlineStr">
        <is>
          <t>SOLD</t>
        </is>
      </c>
      <c r="H1148" s="22" t="inlineStr">
        <is>
          <t>SOLD</t>
        </is>
      </c>
      <c r="I1148" s="18" t="n">
        <v>83600</v>
      </c>
      <c r="J1148" s="23" t="inlineStr">
        <is>
          <t>NOTFOUND</t>
        </is>
      </c>
      <c r="K1148" s="20" t="n">
        <v>0</v>
      </c>
      <c r="L1148" s="4" t="inlineStr">
        <is>
          <t>https://www.gucci.com/jp/ja/pr/jewellery-watches/silver-jewellery/silver-necklaces/boule-chain-pendant-necklace-p-815540J84108166</t>
        </is>
      </c>
      <c r="M1148" s="5">
        <f t="array" ref="M1148">_xlfn.IFS(J1148="NOTFOUND",I1148,J1148&gt;=I1148,J1148)</f>
        <v/>
      </c>
    </row>
    <row r="1149" ht="18" customHeight="1" s="16">
      <c r="A1149" s="5" t="n">
        <v>1148</v>
      </c>
      <c r="B1149" s="2" t="inlineStr">
        <is>
          <t>GU-3400</t>
        </is>
      </c>
      <c r="C1149" s="2" t="n"/>
      <c r="D1149" s="2" t="inlineStr">
        <is>
          <t>インターロッキング チェーン ネックレス</t>
        </is>
      </c>
      <c r="E1149" s="2" t="inlineStr">
        <is>
          <t>759703 J8400 8106</t>
        </is>
      </c>
      <c r="F1149" s="2" t="inlineStr">
        <is>
          <t xml:space="preserve">  -</t>
        </is>
      </c>
      <c r="G1149" s="10" t="inlineStr">
        <is>
          <t>OneSize</t>
        </is>
      </c>
      <c r="H1149" s="17" t="inlineStr">
        <is>
          <t>OneSize</t>
        </is>
      </c>
      <c r="I1149" s="18" t="n">
        <v>108900</v>
      </c>
      <c r="J1149" s="19" t="n">
        <v>108900</v>
      </c>
      <c r="K1149" s="20" t="n">
        <v>5</v>
      </c>
      <c r="L1149" s="4" t="inlineStr">
        <is>
          <t>https://www.gucci.com/jp/ja/pr/jewellery-watches/silver-jewellery/silver-jewelry-for-men/gucci-interlocking-chain-necklace-p-759703J84008106</t>
        </is>
      </c>
      <c r="M1149" s="5">
        <f t="array" ref="M1149">_xlfn.IFS(J1149="NOTFOUND",I1149,J1149&gt;=I1149,J1149)</f>
        <v/>
      </c>
    </row>
    <row r="1150" ht="18" customHeight="1" s="16">
      <c r="A1150" s="5" t="n">
        <v>1149</v>
      </c>
      <c r="B1150" s="2" t="inlineStr">
        <is>
          <t>GU-3401</t>
        </is>
      </c>
      <c r="C1150" s="2" t="n"/>
      <c r="D1150" s="2" t="inlineStr">
        <is>
          <t>インターロッキング チェーン ブレスレット</t>
        </is>
      </c>
      <c r="E1150" s="2" t="inlineStr">
        <is>
          <t>627068 J8400 8106</t>
        </is>
      </c>
      <c r="F1150" s="2" t="inlineStr">
        <is>
          <t>スターリングシルバー</t>
        </is>
      </c>
      <c r="G1150" s="10" t="inlineStr">
        <is>
          <t>17_18_19</t>
        </is>
      </c>
      <c r="H1150" s="17" t="inlineStr">
        <is>
          <t>17_18_19</t>
        </is>
      </c>
      <c r="I1150" s="18" t="n">
        <v>97900</v>
      </c>
      <c r="J1150" s="19" t="n">
        <v>97900</v>
      </c>
      <c r="K1150" s="20" t="n">
        <v>5</v>
      </c>
      <c r="L1150" s="4" t="inlineStr">
        <is>
          <t>https://www.gucci.com/jp/ja/pr/jewellery-watches/silver-jewellery/silver-jewelry-for-men/gucci-interlocking-chain-bracelet-p-627068J84008106</t>
        </is>
      </c>
      <c r="M1150" s="5">
        <f t="array" ref="M1150">_xlfn.IFS(J1150="NOTFOUND",I1150,J1150&gt;=I1150,J1150)</f>
        <v/>
      </c>
    </row>
    <row r="1151" ht="18" customHeight="1" s="16">
      <c r="A1151" s="5" t="n">
        <v>1150</v>
      </c>
      <c r="B1151" s="2" t="inlineStr">
        <is>
          <t>GU-3402</t>
        </is>
      </c>
      <c r="C1151" s="2" t="n"/>
      <c r="D1151" s="2" t="inlineStr">
        <is>
          <t>インターロッキング チャーム付き ブレスレット</t>
        </is>
      </c>
      <c r="E1151" s="2" t="inlineStr">
        <is>
          <t>481687 J8400 8106</t>
        </is>
      </c>
      <c r="F1151" s="2" t="inlineStr">
        <is>
          <t xml:space="preserve">  -</t>
        </is>
      </c>
      <c r="G1151" s="11" t="inlineStr">
        <is>
          <t>SOLD</t>
        </is>
      </c>
      <c r="H1151" s="22" t="inlineStr">
        <is>
          <t>SOLD</t>
        </is>
      </c>
      <c r="I1151" s="18" t="n">
        <v>73700</v>
      </c>
      <c r="J1151" s="23" t="inlineStr">
        <is>
          <t>NOTFOUND</t>
        </is>
      </c>
      <c r="K1151" s="20" t="n">
        <v>0</v>
      </c>
      <c r="L1151" s="4" t="inlineStr">
        <is>
          <t>https://www.gucci.com/jp/ja/pr/jewellery-watches/silver-jewellery/silver-bracelets/gucci-interlocking-bracelet-with-charm-p-481687J84008106</t>
        </is>
      </c>
      <c r="M1151" s="5">
        <f t="array" ref="M1151">_xlfn.IFS(J1151="NOTFOUND",I1151,J1151&gt;=I1151,J1151)</f>
        <v/>
      </c>
    </row>
    <row r="1152" ht="18" customHeight="1" s="16">
      <c r="A1152" s="5" t="n">
        <v>1151</v>
      </c>
      <c r="B1152" s="2" t="inlineStr">
        <is>
          <t>GU-3403</t>
        </is>
      </c>
      <c r="C1152" s="2" t="n"/>
      <c r="D1152" s="2" t="inlineStr">
        <is>
          <t>インターロッキング スリム オープン バンド</t>
        </is>
      </c>
      <c r="E1152" s="2" t="inlineStr">
        <is>
          <t>298036 J8400 8106</t>
        </is>
      </c>
      <c r="F1152" s="2" t="inlineStr">
        <is>
          <t xml:space="preserve">  -</t>
        </is>
      </c>
      <c r="G1152" s="11" t="inlineStr">
        <is>
          <t>SOLD</t>
        </is>
      </c>
      <c r="H1152" s="22" t="inlineStr">
        <is>
          <t>SOLD</t>
        </is>
      </c>
      <c r="I1152" s="18" t="n">
        <v>57200</v>
      </c>
      <c r="J1152" s="23" t="inlineStr">
        <is>
          <t>NOTFOUND</t>
        </is>
      </c>
      <c r="K1152" s="20" t="n">
        <v>0</v>
      </c>
      <c r="L1152" s="4" t="inlineStr">
        <is>
          <t>https://www.gucci.com/jp/ja/pr/jewellery-watches/silver-jewellery/silver-rings/gucci-interlocking-thin-open-band-p-298036J84008106</t>
        </is>
      </c>
      <c r="M1152" s="5">
        <f t="array" ref="M1152">_xlfn.IFS(J1152="NOTFOUND",I1152,J1152&gt;=I1152,J1152)</f>
        <v/>
      </c>
    </row>
    <row r="1153" ht="18" customHeight="1" s="16">
      <c r="A1153" s="5" t="n">
        <v>1152</v>
      </c>
      <c r="B1153" s="2" t="inlineStr">
        <is>
          <t>GU-3404</t>
        </is>
      </c>
      <c r="C1153" s="2" t="n"/>
      <c r="D1153" s="2" t="inlineStr">
        <is>
          <t>インターロッキング ワイド オープン バンド</t>
        </is>
      </c>
      <c r="E1153" s="2" t="inlineStr">
        <is>
          <t>295716 J8400 8106</t>
        </is>
      </c>
      <c r="F1153" s="2" t="inlineStr">
        <is>
          <t xml:space="preserve">  -</t>
        </is>
      </c>
      <c r="G1153" s="11" t="inlineStr">
        <is>
          <t>SOLD</t>
        </is>
      </c>
      <c r="H1153" s="22" t="inlineStr">
        <is>
          <t>SOLD</t>
        </is>
      </c>
      <c r="I1153" s="18" t="n">
        <v>60500</v>
      </c>
      <c r="J1153" s="23" t="inlineStr">
        <is>
          <t>NOTFOUND</t>
        </is>
      </c>
      <c r="K1153" s="20" t="n">
        <v>0</v>
      </c>
      <c r="L1153" s="4" t="inlineStr">
        <is>
          <t>https://www.gucci.com/jp/ja/pr/jewellery-watches/silver-jewellery/silver-rings/gucci-interlocking-wide-open-band-p-295716J84008106</t>
        </is>
      </c>
      <c r="M1153" s="5">
        <f t="array" ref="M1153">_xlfn.IFS(J1153="NOTFOUND",I1153,J1153&gt;=I1153,J1153)</f>
        <v/>
      </c>
    </row>
    <row r="1154" ht="18" customHeight="1" s="16">
      <c r="A1154" s="5" t="n">
        <v>1153</v>
      </c>
      <c r="B1154" s="2" t="inlineStr">
        <is>
          <t>GU-3405</t>
        </is>
      </c>
      <c r="C1154" s="2" t="n"/>
      <c r="D1154" s="2" t="inlineStr">
        <is>
          <t>ダブルG キー ブレスレット</t>
        </is>
      </c>
      <c r="E1154" s="2" t="inlineStr">
        <is>
          <t>632207 J8400 0701</t>
        </is>
      </c>
      <c r="F1154" s="2" t="inlineStr">
        <is>
          <t>スターリングシルバー</t>
        </is>
      </c>
      <c r="G1154" s="10" t="inlineStr">
        <is>
          <t>16_17_18</t>
        </is>
      </c>
      <c r="H1154" s="17" t="inlineStr">
        <is>
          <t>16_17_18</t>
        </is>
      </c>
      <c r="I1154" s="18" t="n">
        <v>57200</v>
      </c>
      <c r="J1154" s="19" t="n">
        <v>57200</v>
      </c>
      <c r="K1154" s="20" t="n">
        <v>5</v>
      </c>
      <c r="L1154" s="4" t="inlineStr">
        <is>
          <t>https://www.gucci.com/jp/ja/pr/jewellery-watches/silver-jewellery/silver-jewelry-for-men/double-g-key-bracelet-p-632207J84000701</t>
        </is>
      </c>
      <c r="M1154" s="5">
        <f t="array" ref="M1154">_xlfn.IFS(J1154="NOTFOUND",I1154,J1154&gt;=I1154,J1154)</f>
        <v/>
      </c>
    </row>
    <row r="1155" ht="18" customHeight="1" s="16">
      <c r="A1155" s="5" t="n">
        <v>1154</v>
      </c>
      <c r="B1155" s="2" t="inlineStr">
        <is>
          <t>GU-3406</t>
        </is>
      </c>
      <c r="C1155" s="2" t="n"/>
      <c r="D1155" s="2" t="inlineStr">
        <is>
          <t>ダブルG キーリング</t>
        </is>
      </c>
      <c r="E1155" s="2" t="inlineStr">
        <is>
          <t>627760 J8400 0701</t>
        </is>
      </c>
      <c r="F1155" s="2" t="inlineStr">
        <is>
          <t>スターリングシルバー</t>
        </is>
      </c>
      <c r="G1155" s="10" t="inlineStr">
        <is>
          <t>8_9_10_11_12_13_14_15_16_17_18</t>
        </is>
      </c>
      <c r="H1155" s="17" t="inlineStr">
        <is>
          <t>8_9_10_11_12_13_14_15_16_17_18</t>
        </is>
      </c>
      <c r="I1155" s="18" t="n">
        <v>60500</v>
      </c>
      <c r="J1155" s="19" t="n">
        <v>60500</v>
      </c>
      <c r="K1155" s="20" t="n">
        <v>5</v>
      </c>
      <c r="L1155" s="4" t="inlineStr">
        <is>
          <t>https://www.gucci.com/jp/ja/pr/jewellery-watches/silver-jewellery/silver-jewelry-for-men/double-g-key-ring-p-627760J84000701</t>
        </is>
      </c>
      <c r="M1155" s="5">
        <f t="array" ref="M1155">_xlfn.IFS(J1155="NOTFOUND",I1155,J1155&gt;=I1155,J1155)</f>
        <v/>
      </c>
    </row>
    <row r="1156" ht="18" customHeight="1" s="16">
      <c r="A1156" s="5" t="n">
        <v>1155</v>
      </c>
      <c r="B1156" s="2" t="inlineStr">
        <is>
          <t>GU-3407</t>
        </is>
      </c>
      <c r="C1156" s="2" t="n"/>
      <c r="D1156" s="2" t="inlineStr">
        <is>
          <t>ダブルG キー ネックレス</t>
        </is>
      </c>
      <c r="E1156" s="2" t="inlineStr">
        <is>
          <t>627757 J8400 0701</t>
        </is>
      </c>
      <c r="F1156" s="2" t="inlineStr">
        <is>
          <t xml:space="preserve">  -</t>
        </is>
      </c>
      <c r="G1156" s="10" t="inlineStr">
        <is>
          <t>OneSize</t>
        </is>
      </c>
      <c r="H1156" s="17" t="inlineStr">
        <is>
          <t>OneSize</t>
        </is>
      </c>
      <c r="I1156" s="18" t="n">
        <v>64900</v>
      </c>
      <c r="J1156" s="19" t="n">
        <v>64900</v>
      </c>
      <c r="K1156" s="20" t="n">
        <v>5</v>
      </c>
      <c r="L1156" s="4" t="inlineStr">
        <is>
          <t>https://www.gucci.com/jp/ja/pr/jewellery-watches/silver-jewellery/silver-jewelry-for-men/double-g-key-necklace-p-627757J84000701</t>
        </is>
      </c>
      <c r="M1156" s="5">
        <f t="array" ref="M1156">_xlfn.IFS(J1156="NOTFOUND",I1156,J1156&gt;=I1156,J1156)</f>
        <v/>
      </c>
    </row>
    <row r="1157" ht="18" customHeight="1" s="16">
      <c r="A1157" s="5" t="n">
        <v>1156</v>
      </c>
      <c r="B1157" s="2" t="inlineStr">
        <is>
          <t>GU-3408</t>
        </is>
      </c>
      <c r="C1157" s="2" t="n"/>
      <c r="D1157" s="2" t="inlineStr">
        <is>
          <t>ダブルG リング</t>
        </is>
      </c>
      <c r="E1157" s="2" t="inlineStr">
        <is>
          <t>627729 J8400 0701</t>
        </is>
      </c>
      <c r="F1157" s="2" t="inlineStr">
        <is>
          <t xml:space="preserve">  -</t>
        </is>
      </c>
      <c r="G1157" s="10" t="inlineStr">
        <is>
          <t>10_11_12_13_14_15_16_17_18_19_20_21_22_23_24_25_26</t>
        </is>
      </c>
      <c r="H1157" s="17" t="inlineStr">
        <is>
          <t>10_11_12_13_14_15_16_17_18_19_20_21_22_23_24_25_26</t>
        </is>
      </c>
      <c r="I1157" s="18" t="n">
        <v>64900</v>
      </c>
      <c r="J1157" s="19" t="n">
        <v>64900</v>
      </c>
      <c r="K1157" s="20" t="n">
        <v>5</v>
      </c>
      <c r="L1157" s="4" t="inlineStr">
        <is>
          <t>https://www.gucci.com/jp/ja/pr/jewellery-watches/silver-jewellery/silver-jewelry-for-men/double-g-ring-p-627729J84000701</t>
        </is>
      </c>
      <c r="M1157" s="5">
        <f t="array" ref="M1157">_xlfn.IFS(J1157="NOTFOUND",I1157,J1157&gt;=I1157,J1157)</f>
        <v/>
      </c>
    </row>
    <row r="1158" ht="18" customHeight="1" s="16">
      <c r="A1158" s="5" t="n">
        <v>1157</v>
      </c>
      <c r="B1158" s="2" t="inlineStr">
        <is>
          <t>GU-3409</t>
        </is>
      </c>
      <c r="C1158" s="2" t="n"/>
      <c r="D1158" s="2" t="inlineStr">
        <is>
          <t>ダブルG シルバー ブレスレット</t>
        </is>
      </c>
      <c r="E1158" s="2" t="inlineStr">
        <is>
          <t>551903 J8400 0811</t>
        </is>
      </c>
      <c r="F1158" s="2" t="inlineStr">
        <is>
          <t xml:space="preserve">  -</t>
        </is>
      </c>
      <c r="G1158" s="11" t="inlineStr">
        <is>
          <t>SOLD</t>
        </is>
      </c>
      <c r="H1158" s="22" t="inlineStr">
        <is>
          <t>SOLD</t>
        </is>
      </c>
      <c r="I1158" s="18" t="n">
        <v>82500</v>
      </c>
      <c r="J1158" s="23" t="inlineStr">
        <is>
          <t>NOTFOUND</t>
        </is>
      </c>
      <c r="K1158" s="20" t="n">
        <v>0</v>
      </c>
      <c r="L1158" s="4" t="inlineStr">
        <is>
          <t>https://www.gucci.com/jp/ja/pr/jewellery-watches/silver-jewellery/silver-jewelry-for-men/bracelet-with-double-g-in-silver-p-551903J84000811</t>
        </is>
      </c>
      <c r="M1158" s="5">
        <f t="array" ref="M1158">_xlfn.IFS(J1158="NOTFOUND",I1158,J1158&gt;=I1158,J1158)</f>
        <v/>
      </c>
    </row>
    <row r="1159" ht="18" customHeight="1" s="16">
      <c r="A1159" s="5" t="n">
        <v>1158</v>
      </c>
      <c r="B1159" s="2" t="inlineStr">
        <is>
          <t>GU-3410</t>
        </is>
      </c>
      <c r="C1159" s="2" t="n"/>
      <c r="D1159" s="2" t="inlineStr">
        <is>
          <t>インターロッキング ネックレス</t>
        </is>
      </c>
      <c r="E1159" s="2" t="inlineStr">
        <is>
          <t>616941 J8400 0811</t>
        </is>
      </c>
      <c r="F1159" s="2" t="inlineStr">
        <is>
          <t xml:space="preserve">  -</t>
        </is>
      </c>
      <c r="G1159" s="10" t="inlineStr">
        <is>
          <t>OneSize</t>
        </is>
      </c>
      <c r="H1159" s="17" t="inlineStr">
        <is>
          <t>OneSize</t>
        </is>
      </c>
      <c r="I1159" s="18" t="n">
        <v>115500</v>
      </c>
      <c r="J1159" s="19" t="n">
        <v>115500</v>
      </c>
      <c r="K1159" s="20" t="n">
        <v>5</v>
      </c>
      <c r="L1159" s="4" t="inlineStr">
        <is>
          <t>https://www.gucci.com/jp/ja/pr/jewellery-watches/silver-jewellery/silver-jewelry-for-men/gucci-interlocking-necklace-p-616941J84000811</t>
        </is>
      </c>
      <c r="M1159" s="5">
        <f t="array" ref="M1159">_xlfn.IFS(J1159="NOTFOUND",I1159,J1159&gt;=I1159,J1159)</f>
        <v/>
      </c>
    </row>
    <row r="1160" ht="18" customHeight="1" s="16">
      <c r="A1160" s="5" t="n">
        <v>1159</v>
      </c>
      <c r="B1160" s="2" t="inlineStr">
        <is>
          <t>GU-3411</t>
        </is>
      </c>
      <c r="C1160" s="2" t="n"/>
      <c r="D1160" s="2" t="inlineStr">
        <is>
          <t>インターロッキング リング</t>
        </is>
      </c>
      <c r="E1160" s="2" t="inlineStr">
        <is>
          <t>455302 J8400 0811</t>
        </is>
      </c>
      <c r="F1160" s="2" t="inlineStr">
        <is>
          <t xml:space="preserve">  -</t>
        </is>
      </c>
      <c r="G1160" s="11" t="inlineStr">
        <is>
          <t>SOLD</t>
        </is>
      </c>
      <c r="H1160" s="22" t="inlineStr">
        <is>
          <t>SOLD</t>
        </is>
      </c>
      <c r="I1160" s="18" t="n">
        <v>73700</v>
      </c>
      <c r="J1160" s="23" t="inlineStr">
        <is>
          <t>NOTFOUND</t>
        </is>
      </c>
      <c r="K1160" s="20" t="n">
        <v>0</v>
      </c>
      <c r="L1160" s="4" t="inlineStr">
        <is>
          <t>https://www.gucci.com/jp/ja/pr/jewellery-watches/silver-jewellery/silver-jewelry-for-men/gucci-interlocking-ring-p-455302J84000811</t>
        </is>
      </c>
      <c r="M1160" s="5">
        <f t="array" ref="M1160">_xlfn.IFS(J1160="NOTFOUND",I1160,J1160&gt;=I1160,J1160)</f>
        <v/>
      </c>
    </row>
    <row r="1161" ht="18" customHeight="1" s="16">
      <c r="A1161" s="5" t="n">
        <v>1160</v>
      </c>
      <c r="B1161" s="2" t="inlineStr">
        <is>
          <t>GU-3412</t>
        </is>
      </c>
      <c r="C1161" s="2" t="n"/>
      <c r="D1161" s="2" t="inlineStr">
        <is>
          <t>インターロッキング チェーン ブレスレット</t>
        </is>
      </c>
      <c r="E1161" s="2" t="inlineStr">
        <is>
          <t>454285 J8400 0811</t>
        </is>
      </c>
      <c r="F1161" s="2" t="inlineStr">
        <is>
          <t xml:space="preserve">  -</t>
        </is>
      </c>
      <c r="G1161" s="10" t="inlineStr">
        <is>
          <t>16_17_18_19_20</t>
        </is>
      </c>
      <c r="H1161" s="17" t="inlineStr">
        <is>
          <t>16_17_18_19_20</t>
        </is>
      </c>
      <c r="I1161" s="18" t="n">
        <v>108900</v>
      </c>
      <c r="J1161" s="19" t="n">
        <v>108900</v>
      </c>
      <c r="K1161" s="20" t="n">
        <v>5</v>
      </c>
      <c r="L1161" s="4" t="inlineStr">
        <is>
          <t>https://www.gucci.com/jp/ja/pr/jewellery-watches/silver-jewellery/silver-jewelry-for-men/gucci-interlocking-chain-bracelet-p-454285J84000811</t>
        </is>
      </c>
      <c r="M1161" s="5">
        <f t="array" ref="M1161">_xlfn.IFS(J1161="NOTFOUND",I1161,J1161&gt;=I1161,J1161)</f>
        <v/>
      </c>
    </row>
    <row r="1162" ht="18" customHeight="1" s="16">
      <c r="A1162" s="5" t="n">
        <v>1161</v>
      </c>
      <c r="B1162" s="2" t="inlineStr">
        <is>
          <t>GU-3413</t>
        </is>
      </c>
      <c r="C1162" s="2" t="n"/>
      <c r="D1162" s="2" t="inlineStr">
        <is>
          <t>ダブルG マザーオブパール ネックレス</t>
        </is>
      </c>
      <c r="E1162" s="2" t="inlineStr">
        <is>
          <t>773231 JAAFQ 8135</t>
        </is>
      </c>
      <c r="F1162" s="2" t="inlineStr">
        <is>
          <t xml:space="preserve">  -</t>
        </is>
      </c>
      <c r="G1162" s="10" t="inlineStr">
        <is>
          <t>OneSize</t>
        </is>
      </c>
      <c r="H1162" s="17" t="inlineStr">
        <is>
          <t>OneSize</t>
        </is>
      </c>
      <c r="I1162" s="18" t="n">
        <v>103400</v>
      </c>
      <c r="J1162" s="19" t="n">
        <v>103400</v>
      </c>
      <c r="K1162" s="20" t="n">
        <v>5</v>
      </c>
      <c r="L1162" s="4" t="inlineStr">
        <is>
          <t>https://www.gucci.com/jp/ja/pr/jewellery-watches/silver-jewellery/silver-necklaces/gg-marmont-mother-of-pearl-necklace-p-773231JAAFQ8135</t>
        </is>
      </c>
      <c r="M1162" s="5">
        <f t="array" ref="M1162">_xlfn.IFS(J1162="NOTFOUND",I1162,J1162&gt;=I1162,J1162)</f>
        <v/>
      </c>
    </row>
    <row r="1163" ht="18" customHeight="1" s="16">
      <c r="A1163" s="5" t="n">
        <v>1162</v>
      </c>
      <c r="B1163" s="2" t="inlineStr">
        <is>
          <t>GU-3414</t>
        </is>
      </c>
      <c r="C1163" s="2" t="n"/>
      <c r="D1163" s="2" t="inlineStr">
        <is>
          <t>ダブルG マザーオブパール ブレスレット</t>
        </is>
      </c>
      <c r="E1163" s="2" t="inlineStr">
        <is>
          <t>773229 JAAFQ 8135</t>
        </is>
      </c>
      <c r="F1163" s="2" t="inlineStr">
        <is>
          <t xml:space="preserve">  -</t>
        </is>
      </c>
      <c r="G1163" s="10" t="inlineStr">
        <is>
          <t>16_17_18</t>
        </is>
      </c>
      <c r="H1163" s="17" t="inlineStr">
        <is>
          <t>16_17_18</t>
        </is>
      </c>
      <c r="I1163" s="18" t="n">
        <v>77000</v>
      </c>
      <c r="J1163" s="19" t="n">
        <v>77000</v>
      </c>
      <c r="K1163" s="20" t="n">
        <v>5</v>
      </c>
      <c r="L1163" s="4" t="inlineStr">
        <is>
          <t>https://www.gucci.com/jp/ja/pr/jewellery-watches/silver-jewellery/silver-bracelets/gg-marmont-mother-of-pearl-bracelet-p-773229JAAFQ8135</t>
        </is>
      </c>
      <c r="M1163" s="5">
        <f t="array" ref="M1163">_xlfn.IFS(J1163="NOTFOUND",I1163,J1163&gt;=I1163,J1163)</f>
        <v/>
      </c>
    </row>
    <row r="1164" ht="18" customHeight="1" s="16">
      <c r="A1164" s="5" t="n">
        <v>1163</v>
      </c>
      <c r="B1164" s="2" t="inlineStr">
        <is>
          <t>GU-3415</t>
        </is>
      </c>
      <c r="C1164" s="2" t="n"/>
      <c r="D1164" s="2" t="inlineStr">
        <is>
          <t>ダブルG マザーオブパール ネックレス</t>
        </is>
      </c>
      <c r="E1164" s="2" t="inlineStr">
        <is>
          <t>527399 J8474 8517</t>
        </is>
      </c>
      <c r="F1164" s="2" t="inlineStr">
        <is>
          <t xml:space="preserve">  -</t>
        </is>
      </c>
      <c r="G1164" s="10" t="inlineStr">
        <is>
          <t>OneSize</t>
        </is>
      </c>
      <c r="H1164" s="17" t="inlineStr">
        <is>
          <t>OneSize</t>
        </is>
      </c>
      <c r="I1164" s="18" t="n">
        <v>108900</v>
      </c>
      <c r="J1164" s="19" t="n">
        <v>108900</v>
      </c>
      <c r="K1164" s="20" t="n">
        <v>5</v>
      </c>
      <c r="L1164" s="4" t="inlineStr">
        <is>
          <t>https://www.gucci.com/jp/ja/pr/jewellery-watches/silver-jewellery/silver-necklaces/double-g-mother-of-pearl-necklace-p-527399J84748517</t>
        </is>
      </c>
      <c r="M1164" s="5">
        <f t="array" ref="M1164">_xlfn.IFS(J1164="NOTFOUND",I1164,J1164&gt;=I1164,J1164)</f>
        <v/>
      </c>
    </row>
    <row r="1165" ht="18" customHeight="1" s="16">
      <c r="A1165" s="5" t="n">
        <v>1164</v>
      </c>
      <c r="B1165" s="2" t="inlineStr">
        <is>
          <t>GU-3416</t>
        </is>
      </c>
      <c r="C1165" s="2" t="n"/>
      <c r="D1165" s="2" t="inlineStr">
        <is>
          <t>ダブルG マザーオブパール リング</t>
        </is>
      </c>
      <c r="E1165" s="2" t="inlineStr">
        <is>
          <t>527394 J8474 8517</t>
        </is>
      </c>
      <c r="F1165" s="2" t="inlineStr">
        <is>
          <t>スターリングシルバー</t>
        </is>
      </c>
      <c r="G1165" s="10" t="inlineStr">
        <is>
          <t>8_9_10_11_12_13_14_15_16_17</t>
        </is>
      </c>
      <c r="H1165" s="17" t="inlineStr">
        <is>
          <t>8_9_10_11_12_13_14_15_16_17</t>
        </is>
      </c>
      <c r="I1165" s="18" t="n">
        <v>71500</v>
      </c>
      <c r="J1165" s="19" t="n">
        <v>71500</v>
      </c>
      <c r="K1165" s="20" t="n">
        <v>5</v>
      </c>
      <c r="L1165" s="4" t="inlineStr">
        <is>
          <t>https://www.gucci.com/jp/ja/pr/jewellery-watches/silver-jewellery/silver-rings/double-g-mother-of-pearl-ring-p-527394J84748517</t>
        </is>
      </c>
      <c r="M1165" s="5">
        <f t="array" ref="M1165">_xlfn.IFS(J1165="NOTFOUND",I1165,J1165&gt;=I1165,J1165)</f>
        <v/>
      </c>
    </row>
    <row r="1166" ht="18" customHeight="1" s="16">
      <c r="A1166" s="5" t="n">
        <v>1165</v>
      </c>
      <c r="B1166" s="2" t="inlineStr">
        <is>
          <t>GU-3417</t>
        </is>
      </c>
      <c r="C1166" s="2" t="n"/>
      <c r="D1166" s="2" t="inlineStr">
        <is>
          <t>ダブルG マザーオブパール リング</t>
        </is>
      </c>
      <c r="E1166" s="2" t="inlineStr">
        <is>
          <t>527394 J8440 8184</t>
        </is>
      </c>
      <c r="F1166" s="2" t="inlineStr">
        <is>
          <t>スターリングシルバー</t>
        </is>
      </c>
      <c r="G1166" s="10" t="inlineStr">
        <is>
          <t>8_9_10_11_12_13_14_15_16_17_18</t>
        </is>
      </c>
      <c r="H1166" s="17" t="inlineStr">
        <is>
          <t>8_9_10_11_12_13_14_15_16_17_18</t>
        </is>
      </c>
      <c r="I1166" s="18" t="n">
        <v>71500</v>
      </c>
      <c r="J1166" s="19" t="n">
        <v>71500</v>
      </c>
      <c r="K1166" s="20" t="n">
        <v>5</v>
      </c>
      <c r="L1166" s="4" t="inlineStr">
        <is>
          <t>https://www.gucci.com/jp/ja/pr/jewellery-watches/silver-jewellery/silver-rings/gg-marmont-mother-of-pearl-ring-p-527394J84408184</t>
        </is>
      </c>
      <c r="M1166" s="5">
        <f t="array" ref="M1166">_xlfn.IFS(J1166="NOTFOUND",I1166,J1166&gt;=I1166,J1166)</f>
        <v/>
      </c>
    </row>
    <row r="1167" ht="18" customHeight="1" s="16">
      <c r="A1167" s="5" t="n">
        <v>1166</v>
      </c>
      <c r="B1167" s="2" t="inlineStr">
        <is>
          <t>GU-3418</t>
        </is>
      </c>
      <c r="C1167" s="2" t="n"/>
      <c r="D1167" s="2" t="inlineStr">
        <is>
          <t>ダブルG マザーオブパール ブレスレット</t>
        </is>
      </c>
      <c r="E1167" s="2" t="inlineStr">
        <is>
          <t>527393 J8474 8517</t>
        </is>
      </c>
      <c r="F1167" s="2" t="inlineStr">
        <is>
          <t xml:space="preserve">  -</t>
        </is>
      </c>
      <c r="G1167" s="10" t="inlineStr">
        <is>
          <t>16_17_18</t>
        </is>
      </c>
      <c r="H1167" s="17" t="inlineStr">
        <is>
          <t>16_17_18</t>
        </is>
      </c>
      <c r="I1167" s="18" t="n">
        <v>83600</v>
      </c>
      <c r="J1167" s="19" t="n">
        <v>83600</v>
      </c>
      <c r="K1167" s="20" t="n">
        <v>5</v>
      </c>
      <c r="L1167" s="4" t="inlineStr">
        <is>
          <t>https://www.gucci.com/jp/ja/pr/jewellery-watches/silver-jewellery/silver-bracelets/double-g-mother-of-pearl-bracelet-p-527393J84748517</t>
        </is>
      </c>
      <c r="M1167" s="5">
        <f t="array" ref="M1167">_xlfn.IFS(J1167="NOTFOUND",I1167,J1167&gt;=I1167,J1167)</f>
        <v/>
      </c>
    </row>
    <row r="1168" ht="18" customHeight="1" s="16">
      <c r="A1168" s="5" t="n">
        <v>1167</v>
      </c>
      <c r="B1168" s="2" t="inlineStr">
        <is>
          <t>GU-3419</t>
        </is>
      </c>
      <c r="C1168" s="2" t="n"/>
      <c r="D1168" s="2" t="inlineStr">
        <is>
          <t>ダブルG フラワー スタッズ ピアス</t>
        </is>
      </c>
      <c r="E1168" s="2" t="inlineStr">
        <is>
          <t>527390 J8440 8184</t>
        </is>
      </c>
      <c r="F1168" s="2" t="inlineStr">
        <is>
          <t xml:space="preserve">  -</t>
        </is>
      </c>
      <c r="G1168" s="10" t="inlineStr">
        <is>
          <t>OneSize</t>
        </is>
      </c>
      <c r="H1168" s="17" t="inlineStr">
        <is>
          <t>OneSize</t>
        </is>
      </c>
      <c r="I1168" s="18" t="n">
        <v>57200</v>
      </c>
      <c r="J1168" s="19" t="n">
        <v>57200</v>
      </c>
      <c r="K1168" s="20" t="n">
        <v>5</v>
      </c>
      <c r="L1168" s="4" t="inlineStr">
        <is>
          <t>https://www.gucci.com/jp/ja/pr/jewellery-watches/silver-jewellery/silver-earrings/double-g-flower-stud-earrings-p-527390J84408184</t>
        </is>
      </c>
      <c r="M1168" s="5">
        <f t="array" ref="M1168">_xlfn.IFS(J1168="NOTFOUND",I1168,J1168&gt;=I1168,J1168)</f>
        <v/>
      </c>
    </row>
    <row r="1169" ht="18" customHeight="1" s="16">
      <c r="A1169" s="5" t="n">
        <v>1168</v>
      </c>
      <c r="B1169" s="2" t="inlineStr">
        <is>
          <t>GU-3420</t>
        </is>
      </c>
      <c r="C1169" s="2" t="n"/>
      <c r="D1169" s="2" t="inlineStr">
        <is>
          <t>ダブルＧ フラワー スタッズ ピアス</t>
        </is>
      </c>
      <c r="E1169" s="2" t="inlineStr">
        <is>
          <t>527344 I5569 8183</t>
        </is>
      </c>
      <c r="F1169" s="2" t="inlineStr">
        <is>
          <t xml:space="preserve">  -</t>
        </is>
      </c>
      <c r="G1169" s="10" t="inlineStr">
        <is>
          <t>OneSize</t>
        </is>
      </c>
      <c r="H1169" s="17" t="inlineStr">
        <is>
          <t>OneSize</t>
        </is>
      </c>
      <c r="I1169" s="18" t="n">
        <v>64900</v>
      </c>
      <c r="J1169" s="19" t="n">
        <v>64900</v>
      </c>
      <c r="K1169" s="20" t="n">
        <v>5</v>
      </c>
      <c r="L1169" s="4" t="inlineStr">
        <is>
          <t>https://www.gucci.com/jp/ja/pr/jewellery-watches/silver-jewellery/silver-earrings/double-g-flower-stud-earrings-p-527344I55698183</t>
        </is>
      </c>
      <c r="M1169" s="5">
        <f t="array" ref="M1169">_xlfn.IFS(J1169="NOTFOUND",I1169,J1169&gt;=I1169,J1169)</f>
        <v/>
      </c>
    </row>
    <row r="1170" ht="18" customHeight="1" s="16">
      <c r="A1170" s="5" t="n">
        <v>1169</v>
      </c>
      <c r="B1170" s="2" t="inlineStr">
        <is>
          <t>GU-3421</t>
        </is>
      </c>
      <c r="C1170" s="2" t="n"/>
      <c r="D1170" s="2" t="inlineStr">
        <is>
          <t>BLIND FOR LOVE ペンダント ネックレス</t>
        </is>
      </c>
      <c r="E1170" s="2" t="inlineStr">
        <is>
          <t>455542 J8400 0701</t>
        </is>
      </c>
      <c r="F1170" s="2" t="inlineStr">
        <is>
          <t xml:space="preserve">  -</t>
        </is>
      </c>
      <c r="G1170" s="11" t="inlineStr">
        <is>
          <t>SOLD</t>
        </is>
      </c>
      <c r="H1170" s="22" t="inlineStr">
        <is>
          <t>SOLD</t>
        </is>
      </c>
      <c r="I1170" s="18" t="n">
        <v>62700</v>
      </c>
      <c r="J1170" s="23" t="inlineStr">
        <is>
          <t>NOTFOUND</t>
        </is>
      </c>
      <c r="K1170" s="20" t="n">
        <v>0</v>
      </c>
      <c r="L1170" s="4" t="inlineStr">
        <is>
          <t>https://www.gucci.com/jp/ja/pr/jewellery-watches/silver-jewellery/silver-necklaces/blind-for-love-pendant-necklace-p-455542J84000701</t>
        </is>
      </c>
      <c r="M1170" s="5">
        <f t="array" ref="M1170">_xlfn.IFS(J1170="NOTFOUND",I1170,J1170&gt;=I1170,J1170)</f>
        <v/>
      </c>
    </row>
    <row r="1171" ht="18" customHeight="1" s="16">
      <c r="A1171" s="5" t="n">
        <v>1170</v>
      </c>
      <c r="B1171" s="2" t="inlineStr">
        <is>
          <t>GU-3422</t>
        </is>
      </c>
      <c r="C1171" s="2" t="n"/>
      <c r="D1171" s="2" t="inlineStr">
        <is>
          <t>BLIND FOR LOVE リング</t>
        </is>
      </c>
      <c r="E1171" s="2" t="inlineStr">
        <is>
          <t>455247 J8400 0701</t>
        </is>
      </c>
      <c r="F1171" s="2" t="inlineStr">
        <is>
          <t xml:space="preserve">  -</t>
        </is>
      </c>
      <c r="G1171" s="11" t="inlineStr">
        <is>
          <t>SOLD</t>
        </is>
      </c>
      <c r="H1171" s="22" t="inlineStr">
        <is>
          <t>SOLD</t>
        </is>
      </c>
      <c r="I1171" s="18" t="n">
        <v>60500</v>
      </c>
      <c r="J1171" s="23" t="inlineStr">
        <is>
          <t>NOTFOUND</t>
        </is>
      </c>
      <c r="K1171" s="20" t="n">
        <v>0</v>
      </c>
      <c r="L1171" s="4" t="inlineStr">
        <is>
          <t>https://www.gucci.com/jp/ja/pr/jewellery-watches/silver-jewellery/silver-rings/blind-for-love-ring-p-455247J84000701</t>
        </is>
      </c>
      <c r="M1171" s="5">
        <f t="array" ref="M1171">_xlfn.IFS(J1171="NOTFOUND",I1171,J1171&gt;=I1171,J1171)</f>
        <v/>
      </c>
    </row>
    <row r="1172" ht="18" customHeight="1" s="16">
      <c r="A1172" s="5" t="n">
        <v>1171</v>
      </c>
      <c r="B1172" s="2" t="inlineStr">
        <is>
          <t>GU-3423</t>
        </is>
      </c>
      <c r="C1172" s="2" t="n"/>
      <c r="D1172" s="2" t="inlineStr">
        <is>
          <t>インターロッキング リング</t>
        </is>
      </c>
      <c r="E1172" s="2" t="inlineStr">
        <is>
          <t>645573 J8410 1064</t>
        </is>
      </c>
      <c r="F1172" s="2" t="inlineStr">
        <is>
          <t>スターリングシルバー</t>
        </is>
      </c>
      <c r="G1172" s="11" t="inlineStr">
        <is>
          <t>SOLD</t>
        </is>
      </c>
      <c r="H1172" s="22" t="inlineStr">
        <is>
          <t>SOLD</t>
        </is>
      </c>
      <c r="I1172" s="18" t="n">
        <v>69300</v>
      </c>
      <c r="J1172" s="23" t="inlineStr">
        <is>
          <t>NOTFOUND</t>
        </is>
      </c>
      <c r="K1172" s="20" t="n">
        <v>0</v>
      </c>
      <c r="L1172" s="4" t="inlineStr">
        <is>
          <t>https://www.gucci.com/jp/ja/pr/jewellery-watches/silver-jewellery/silver-jewelry-for-men/gucci-interlocking-ring-p-645573J84101064</t>
        </is>
      </c>
      <c r="M1172" s="5">
        <f t="array" ref="M1172">_xlfn.IFS(J1172="NOTFOUND",I1172,J1172&gt;=I1172,J1172)</f>
        <v/>
      </c>
    </row>
    <row r="1173" ht="18" customHeight="1" s="16">
      <c r="A1173" s="5" t="n">
        <v>1172</v>
      </c>
      <c r="B1173" s="2" t="inlineStr">
        <is>
          <t>GU-3424</t>
        </is>
      </c>
      <c r="C1173" s="2" t="n"/>
      <c r="D1173" s="2" t="inlineStr">
        <is>
          <t>インターロッキング リング</t>
        </is>
      </c>
      <c r="E1173" s="2" t="inlineStr">
        <is>
          <t>645573 J8410 9071</t>
        </is>
      </c>
      <c r="F1173" s="2" t="inlineStr">
        <is>
          <t>スターリングシルバー</t>
        </is>
      </c>
      <c r="G1173" s="11" t="inlineStr">
        <is>
          <t>SOLD</t>
        </is>
      </c>
      <c r="H1173" s="22" t="inlineStr">
        <is>
          <t>SOLD</t>
        </is>
      </c>
      <c r="I1173" s="18" t="n">
        <v>69300</v>
      </c>
      <c r="J1173" s="23" t="inlineStr">
        <is>
          <t>NOTFOUND</t>
        </is>
      </c>
      <c r="K1173" s="20" t="n">
        <v>0</v>
      </c>
      <c r="L1173" s="4" t="inlineStr">
        <is>
          <t>https://www.gucci.com/jp/ja/pr/jewellery-watches/silver-jewellery/silver-jewelry-for-men/gucci-interlocking-ring-p-645573J84109071</t>
        </is>
      </c>
      <c r="M1173" s="5">
        <f t="array" ref="M1173">_xlfn.IFS(J1173="NOTFOUND",I1173,J1173&gt;=I1173,J1173)</f>
        <v/>
      </c>
    </row>
    <row r="1174" ht="18" customHeight="1" s="16">
      <c r="A1174" s="5" t="n">
        <v>1173</v>
      </c>
      <c r="B1174" s="2" t="inlineStr">
        <is>
          <t>GU-3425</t>
        </is>
      </c>
      <c r="C1174" s="2" t="n"/>
      <c r="D1174" s="2" t="inlineStr">
        <is>
          <t>インターロッキング ブレスレット</t>
        </is>
      </c>
      <c r="E1174" s="2" t="inlineStr">
        <is>
          <t>678660 J8410 8191</t>
        </is>
      </c>
      <c r="F1174" s="2" t="inlineStr">
        <is>
          <t xml:space="preserve">  -</t>
        </is>
      </c>
      <c r="G1174" s="11" t="inlineStr">
        <is>
          <t>SOLD</t>
        </is>
      </c>
      <c r="H1174" s="22" t="inlineStr">
        <is>
          <t>SOLD</t>
        </is>
      </c>
      <c r="I1174" s="18" t="n">
        <v>71500</v>
      </c>
      <c r="J1174" s="23" t="inlineStr">
        <is>
          <t>NOTFOUND</t>
        </is>
      </c>
      <c r="K1174" s="20" t="n">
        <v>0</v>
      </c>
      <c r="L1174" s="4" t="inlineStr">
        <is>
          <t>https://www.gucci.com/jp/ja/pr/jewellery-watches/silver-jewellery/silver-jewelry-for-men/gucci-interlocking-bracelet-p-678660J84108191</t>
        </is>
      </c>
      <c r="M1174" s="5">
        <f t="array" ref="M1174">_xlfn.IFS(J1174="NOTFOUND",I1174,J1174&gt;=I1174,J1174)</f>
        <v/>
      </c>
    </row>
    <row r="1175" ht="18" customHeight="1" s="16">
      <c r="A1175" s="5" t="n">
        <v>1174</v>
      </c>
      <c r="B1175" s="2" t="inlineStr">
        <is>
          <t>GU-3426</t>
        </is>
      </c>
      <c r="C1175" s="2" t="n"/>
      <c r="D1175" s="2" t="inlineStr">
        <is>
          <t>グッチゴースト  シルバー リング</t>
        </is>
      </c>
      <c r="E1175" s="2" t="inlineStr">
        <is>
          <t>477932 J8400 0701</t>
        </is>
      </c>
      <c r="F1175" s="2" t="inlineStr">
        <is>
          <t xml:space="preserve">  -</t>
        </is>
      </c>
      <c r="G1175" s="11" t="inlineStr">
        <is>
          <t>SOLD</t>
        </is>
      </c>
      <c r="H1175" s="22" t="inlineStr">
        <is>
          <t>SOLD</t>
        </is>
      </c>
      <c r="I1175" s="18" t="n">
        <v>57200</v>
      </c>
      <c r="J1175" s="23" t="inlineStr">
        <is>
          <t>NOTFOUND</t>
        </is>
      </c>
      <c r="K1175" s="20" t="n">
        <v>0</v>
      </c>
      <c r="L1175" s="4" t="inlineStr">
        <is>
          <t>https://www.gucci.com/jp/ja/pr/jewellery-watches/silver-jewellery/silver-jewelry-for-men/guccighost-ring-in-silver-p-477932J84000701</t>
        </is>
      </c>
      <c r="M1175" s="5">
        <f t="array" ref="M1175">_xlfn.IFS(J1175="NOTFOUND",I1175,J1175&gt;=I1175,J1175)</f>
        <v/>
      </c>
    </row>
    <row r="1176" ht="18" customHeight="1" s="16">
      <c r="A1176" s="5" t="n">
        <v>1175</v>
      </c>
      <c r="B1176" s="2" t="inlineStr">
        <is>
          <t>GU-3427</t>
        </is>
      </c>
      <c r="C1176" s="2" t="n"/>
      <c r="D1176" s="2" t="inlineStr">
        <is>
          <t>グッチゴースト シルバー リング</t>
        </is>
      </c>
      <c r="E1176" s="2" t="inlineStr">
        <is>
          <t>477339 J8400 0701</t>
        </is>
      </c>
      <c r="F1176" s="2" t="inlineStr">
        <is>
          <t xml:space="preserve">  -</t>
        </is>
      </c>
      <c r="G1176" s="11" t="inlineStr">
        <is>
          <t>SOLD</t>
        </is>
      </c>
      <c r="H1176" s="22" t="inlineStr">
        <is>
          <t>SOLD</t>
        </is>
      </c>
      <c r="I1176" s="18" t="n">
        <v>60500</v>
      </c>
      <c r="J1176" s="23" t="inlineStr">
        <is>
          <t>NOTFOUND</t>
        </is>
      </c>
      <c r="K1176" s="20" t="n">
        <v>0</v>
      </c>
      <c r="L1176" s="4" t="inlineStr">
        <is>
          <t>https://www.gucci.com/jp/ja/pr/jewellery-watches/silver-jewellery/silver-jewelry-for-men/guccighost-ring-in-silver-p-477339J84000701</t>
        </is>
      </c>
      <c r="M1176" s="5">
        <f t="array" ref="M1176">_xlfn.IFS(J1176="NOTFOUND",I1176,J1176&gt;=I1176,J1176)</f>
        <v/>
      </c>
    </row>
    <row r="1177" ht="18" customHeight="1" s="16">
      <c r="A1177" s="5" t="n">
        <v>1176</v>
      </c>
      <c r="B1177" s="2" t="inlineStr">
        <is>
          <t>GU-3428</t>
        </is>
      </c>
      <c r="C1177" s="2" t="n"/>
      <c r="D1177" s="2" t="inlineStr">
        <is>
          <t>グッチゴースト チェーン ブレスレット</t>
        </is>
      </c>
      <c r="E1177" s="2" t="inlineStr">
        <is>
          <t>455321 J8400 0701</t>
        </is>
      </c>
      <c r="F1177" s="2" t="inlineStr">
        <is>
          <t xml:space="preserve">  -</t>
        </is>
      </c>
      <c r="G1177" s="11" t="inlineStr">
        <is>
          <t>SOLD</t>
        </is>
      </c>
      <c r="H1177" s="22" t="inlineStr">
        <is>
          <t>SOLD</t>
        </is>
      </c>
      <c r="I1177" s="18" t="n">
        <v>69300</v>
      </c>
      <c r="J1177" s="23" t="inlineStr">
        <is>
          <t>NOTFOUND</t>
        </is>
      </c>
      <c r="K1177" s="20" t="n">
        <v>0</v>
      </c>
      <c r="L1177" s="4" t="inlineStr">
        <is>
          <t>https://www.gucci.com/jp/ja/pr/jewellery-watches/silver-jewellery/silver-jewelry-for-men/guccighost-chain-bracelet-p-455321J84000701</t>
        </is>
      </c>
      <c r="M1177" s="5">
        <f t="array" ref="M1177">_xlfn.IFS(J1177="NOTFOUND",I1177,J1177&gt;=I1177,J1177)</f>
        <v/>
      </c>
    </row>
    <row r="1178" ht="18" customHeight="1" s="16">
      <c r="A1178" s="5" t="n">
        <v>1177</v>
      </c>
      <c r="B1178" s="2" t="inlineStr">
        <is>
          <t>GU-3429</t>
        </is>
      </c>
      <c r="C1178" s="2" t="n"/>
      <c r="D1178" s="2" t="inlineStr">
        <is>
          <t>グッチゴースト ペンダント ネックレス</t>
        </is>
      </c>
      <c r="E1178" s="2" t="inlineStr">
        <is>
          <t>455315 J8400 0701</t>
        </is>
      </c>
      <c r="F1178" s="2" t="inlineStr">
        <is>
          <t xml:space="preserve">  -</t>
        </is>
      </c>
      <c r="G1178" s="11" t="inlineStr">
        <is>
          <t>SOLD</t>
        </is>
      </c>
      <c r="H1178" s="22" t="inlineStr">
        <is>
          <t>SOLD</t>
        </is>
      </c>
      <c r="I1178" s="18" t="n">
        <v>69300</v>
      </c>
      <c r="J1178" s="23" t="inlineStr">
        <is>
          <t>NOTFOUND</t>
        </is>
      </c>
      <c r="K1178" s="20" t="n">
        <v>0</v>
      </c>
      <c r="L1178" s="4" t="inlineStr">
        <is>
          <t>https://www.gucci.com/jp/ja/pr/jewellery-watches/silver-jewellery/silver-jewelry-for-men/guccighost-pendant-necklace-p-455315J84000701</t>
        </is>
      </c>
      <c r="M1178" s="5">
        <f t="array" ref="M1178">_xlfn.IFS(J1178="NOTFOUND",I1178,J1178&gt;=I1178,J1178)</f>
        <v/>
      </c>
    </row>
    <row r="1179" ht="18" customHeight="1" s="16">
      <c r="A1179" s="5" t="n">
        <v>1178</v>
      </c>
      <c r="B1179" s="2" t="inlineStr">
        <is>
          <t>GU-3430</t>
        </is>
      </c>
      <c r="C1179" s="2" t="n"/>
      <c r="D1179" s="2" t="inlineStr">
        <is>
          <t>インターロッキング キーリング</t>
        </is>
      </c>
      <c r="E1179" s="2" t="inlineStr">
        <is>
          <t>820471 J8400 8106</t>
        </is>
      </c>
      <c r="F1179" s="2" t="inlineStr">
        <is>
          <t xml:space="preserve">  -</t>
        </is>
      </c>
      <c r="G1179" s="10" t="inlineStr">
        <is>
          <t>OneSize</t>
        </is>
      </c>
      <c r="H1179" s="17" t="inlineStr">
        <is>
          <t>OneSize</t>
        </is>
      </c>
      <c r="I1179" s="18" t="n">
        <v>40700</v>
      </c>
      <c r="J1179" s="19" t="n">
        <v>40700</v>
      </c>
      <c r="K1179" s="20" t="n">
        <v>5</v>
      </c>
      <c r="L1179" s="4" t="inlineStr">
        <is>
          <t>https://www.gucci.com/jp/ja/pr/jewellery-watches/silver-jewellery/silver-cufflinks-others-accessories/gucci-interlocking-keyring-p-820471J84008106</t>
        </is>
      </c>
      <c r="M1179" s="5">
        <f t="array" ref="M1179">_xlfn.IFS(J1179="NOTFOUND",I1179,J1179&gt;=I1179,J1179)</f>
        <v/>
      </c>
    </row>
    <row r="1180" ht="18" customHeight="1" s="16">
      <c r="A1180" s="5" t="n">
        <v>1179</v>
      </c>
      <c r="B1180" s="2" t="inlineStr">
        <is>
          <t>GU-3431</t>
        </is>
      </c>
      <c r="C1180" s="2" t="n"/>
      <c r="D1180" s="2" t="inlineStr">
        <is>
          <t>バンブー チョーカーネックレス</t>
        </is>
      </c>
      <c r="E1180" s="2" t="inlineStr">
        <is>
          <t>830680 I4710 8005</t>
        </is>
      </c>
      <c r="F1180" s="2" t="inlineStr">
        <is>
          <t xml:space="preserve">  -</t>
        </is>
      </c>
      <c r="G1180" s="10" t="inlineStr">
        <is>
          <t>M</t>
        </is>
      </c>
      <c r="H1180" s="17" t="inlineStr">
        <is>
          <t>OneSize</t>
        </is>
      </c>
      <c r="I1180" s="18" t="n">
        <v>341000</v>
      </c>
      <c r="J1180" s="19" t="n">
        <v>341000</v>
      </c>
      <c r="K1180" s="20" t="n">
        <v>5</v>
      </c>
      <c r="L1180" s="4" t="inlineStr">
        <is>
          <t>https://www.gucci.com/jp/ja/pr/jewellery-watches/fashion-jewellery/fashion-necklaces/gucci-bamboo-choker-necklace-p-830680I47108005</t>
        </is>
      </c>
      <c r="M1180" s="5">
        <f t="array" ref="M1180">_xlfn.IFS(J1180="NOTFOUND",I1180,J1180&gt;=I1180,J1180)</f>
        <v/>
      </c>
    </row>
    <row r="1181" ht="18" customHeight="1" s="16">
      <c r="A1181" s="5" t="n">
        <v>1180</v>
      </c>
      <c r="B1181" s="2" t="inlineStr">
        <is>
          <t>GU-3432</t>
        </is>
      </c>
      <c r="C1181" s="2" t="n"/>
      <c r="D1181" s="2" t="inlineStr">
        <is>
          <t>ブロンディ クリスタル ワイドリング</t>
        </is>
      </c>
      <c r="E1181" s="2" t="inlineStr">
        <is>
          <t>837231 JAAHV 8062</t>
        </is>
      </c>
      <c r="F1181" s="2" t="inlineStr">
        <is>
          <t xml:space="preserve">  -</t>
        </is>
      </c>
      <c r="G1181" s="10" t="inlineStr">
        <is>
          <t>XS_S_M_L</t>
        </is>
      </c>
      <c r="H1181" s="17" t="inlineStr">
        <is>
          <t>XS_S_M_L</t>
        </is>
      </c>
      <c r="I1181" s="18" t="n">
        <v>71500</v>
      </c>
      <c r="J1181" s="19" t="n">
        <v>71500</v>
      </c>
      <c r="K1181" s="20" t="n">
        <v>5</v>
      </c>
      <c r="L1181" s="4" t="inlineStr">
        <is>
          <t>https://www.gucci.com/jp/ja/pr/jewellery-watches/fashion-jewellery/fashion-rings/gucci-blondie-wide-crystal-ring-p-837231JAAHV8062</t>
        </is>
      </c>
      <c r="M1181" s="5">
        <f t="array" ref="M1181">_xlfn.IFS(J1181="NOTFOUND",I1181,J1181&gt;=I1181,J1181)</f>
        <v/>
      </c>
    </row>
    <row r="1182" ht="18" customHeight="1" s="16">
      <c r="A1182" s="5" t="n">
        <v>1181</v>
      </c>
      <c r="B1182" s="2" t="inlineStr">
        <is>
          <t>GU-3433</t>
        </is>
      </c>
      <c r="C1182" s="2" t="n"/>
      <c r="D1182" s="2" t="inlineStr">
        <is>
          <t>ブロンディ リンク クリスタル ピアス</t>
        </is>
      </c>
      <c r="E1182" s="2" t="inlineStr">
        <is>
          <t>837271 JAAHV 8062</t>
        </is>
      </c>
      <c r="F1182" s="2" t="inlineStr">
        <is>
          <t xml:space="preserve">  -</t>
        </is>
      </c>
      <c r="G1182" s="10" t="inlineStr">
        <is>
          <t>OneSize</t>
        </is>
      </c>
      <c r="H1182" s="17" t="inlineStr">
        <is>
          <t>OneSize</t>
        </is>
      </c>
      <c r="I1182" s="18" t="n">
        <v>123200</v>
      </c>
      <c r="J1182" s="19" t="n">
        <v>123200</v>
      </c>
      <c r="K1182" s="20" t="n">
        <v>5</v>
      </c>
      <c r="L1182" s="4" t="inlineStr">
        <is>
          <t>https://www.gucci.com/jp/ja/pr/jewellery-watches/fashion-jewellery/fashion-earrings/gucci-blondie-intertwined-crystal-earrings-p-837271JAAHV8062</t>
        </is>
      </c>
      <c r="M1182" s="5">
        <f t="array" ref="M1182">_xlfn.IFS(J1182="NOTFOUND",I1182,J1182&gt;=I1182,J1182)</f>
        <v/>
      </c>
    </row>
    <row r="1183" ht="18" customHeight="1" s="16">
      <c r="A1183" s="5" t="n">
        <v>1182</v>
      </c>
      <c r="B1183" s="2" t="inlineStr">
        <is>
          <t>GU-3434</t>
        </is>
      </c>
      <c r="C1183" s="2" t="n"/>
      <c r="D1183" s="2" t="inlineStr">
        <is>
          <t>ブロンディ ダブルチェーン ネックレス</t>
        </is>
      </c>
      <c r="E1183" s="2" t="inlineStr">
        <is>
          <t>837327 J9740 8519</t>
        </is>
      </c>
      <c r="F1183" s="2" t="inlineStr">
        <is>
          <t xml:space="preserve">  -</t>
        </is>
      </c>
      <c r="G1183" s="10" t="inlineStr">
        <is>
          <t>OneSize</t>
        </is>
      </c>
      <c r="H1183" s="17" t="inlineStr">
        <is>
          <t>OneSize</t>
        </is>
      </c>
      <c r="I1183" s="18" t="n">
        <v>121000</v>
      </c>
      <c r="J1183" s="19" t="n">
        <v>121000</v>
      </c>
      <c r="K1183" s="20" t="n">
        <v>5</v>
      </c>
      <c r="L1183" s="4" t="inlineStr">
        <is>
          <t>https://www.gucci.com/jp/ja/pr/jewellery-watches/fashion-jewellery/fashion-necklaces/gucci-blondie-double-chain-necklace-p-837327J97408519</t>
        </is>
      </c>
      <c r="M1183" s="5">
        <f t="array" ref="M1183">_xlfn.IFS(J1183="NOTFOUND",I1183,J1183&gt;=I1183,J1183)</f>
        <v/>
      </c>
    </row>
    <row r="1184" ht="18" customHeight="1" s="16">
      <c r="A1184" s="5" t="n">
        <v>1183</v>
      </c>
      <c r="B1184" s="2" t="inlineStr">
        <is>
          <t>GU-3435</t>
        </is>
      </c>
      <c r="C1184" s="2" t="n"/>
      <c r="D1184" s="2" t="inlineStr">
        <is>
          <t>ブロンディ クリスタル ミニ ピアス</t>
        </is>
      </c>
      <c r="E1184" s="2" t="inlineStr">
        <is>
          <t>837265 JAAHV 8062</t>
        </is>
      </c>
      <c r="F1184" s="2" t="inlineStr">
        <is>
          <t xml:space="preserve">  -</t>
        </is>
      </c>
      <c r="G1184" s="10" t="inlineStr">
        <is>
          <t>OneSize</t>
        </is>
      </c>
      <c r="H1184" s="17" t="inlineStr">
        <is>
          <t>OneSize</t>
        </is>
      </c>
      <c r="I1184" s="18" t="n">
        <v>86900</v>
      </c>
      <c r="J1184" s="19" t="n">
        <v>86900</v>
      </c>
      <c r="K1184" s="20" t="n">
        <v>5</v>
      </c>
      <c r="L1184" s="4" t="inlineStr">
        <is>
          <t>https://www.gucci.com/jp/ja/pr/jewellery-watches/fashion-jewellery/fashion-earrings/gucci-blondie-crystal-mini-earrings-p-837265JAAHV8062</t>
        </is>
      </c>
      <c r="M1184" s="5">
        <f t="array" ref="M1184">_xlfn.IFS(J1184="NOTFOUND",I1184,J1184&gt;=I1184,J1184)</f>
        <v/>
      </c>
    </row>
    <row r="1185" ht="18" customHeight="1" s="16">
      <c r="A1185" s="5" t="n">
        <v>1184</v>
      </c>
      <c r="B1185" s="2" t="inlineStr">
        <is>
          <t>GU-3436</t>
        </is>
      </c>
      <c r="C1185" s="2" t="n"/>
      <c r="D1185" s="2" t="inlineStr">
        <is>
          <t>ブロンディ チャーム ブレスレット</t>
        </is>
      </c>
      <c r="E1185" s="2" t="inlineStr">
        <is>
          <t>837340 J9740 8519</t>
        </is>
      </c>
      <c r="F1185" s="2" t="inlineStr">
        <is>
          <t xml:space="preserve">  -</t>
        </is>
      </c>
      <c r="G1185" s="10" t="inlineStr">
        <is>
          <t>OneSize</t>
        </is>
      </c>
      <c r="H1185" s="17" t="inlineStr">
        <is>
          <t>OneSize</t>
        </is>
      </c>
      <c r="I1185" s="18" t="n">
        <v>84700</v>
      </c>
      <c r="J1185" s="19" t="n">
        <v>84700</v>
      </c>
      <c r="K1185" s="20" t="n">
        <v>5</v>
      </c>
      <c r="L1185" s="4" t="inlineStr">
        <is>
          <t>https://www.gucci.com/jp/ja/pr/jewellery-watches/fashion-jewellery/fashion-bracelets/gucci-blondie-charm-bracelet-p-837340J97408519</t>
        </is>
      </c>
      <c r="M1185" s="5">
        <f t="array" ref="M1185">_xlfn.IFS(J1185="NOTFOUND",I1185,J1185&gt;=I1185,J1185)</f>
        <v/>
      </c>
    </row>
    <row r="1186" ht="18" customHeight="1" s="16">
      <c r="A1186" s="5" t="n">
        <v>1185</v>
      </c>
      <c r="B1186" s="2" t="inlineStr">
        <is>
          <t>GU-3437</t>
        </is>
      </c>
      <c r="C1186" s="2" t="n"/>
      <c r="D1186" s="2" t="inlineStr">
        <is>
          <t>ブロンディ クリスタル ペンダント ネックレス</t>
        </is>
      </c>
      <c r="E1186" s="2" t="inlineStr">
        <is>
          <t>837291 J9740 8519</t>
        </is>
      </c>
      <c r="F1186" s="2" t="inlineStr">
        <is>
          <t xml:space="preserve">  -</t>
        </is>
      </c>
      <c r="G1186" s="10" t="inlineStr">
        <is>
          <t>OneSize</t>
        </is>
      </c>
      <c r="H1186" s="17" t="inlineStr">
        <is>
          <t>OneSize</t>
        </is>
      </c>
      <c r="I1186" s="18" t="n">
        <v>99000</v>
      </c>
      <c r="J1186" s="19" t="n">
        <v>97900</v>
      </c>
      <c r="K1186" s="20" t="n">
        <v>5</v>
      </c>
      <c r="L1186" s="4" t="inlineStr">
        <is>
          <t>https://www.gucci.com/jp/ja/pr/jewellery-watches/fashion-jewellery/fashion-necklaces/gucci-blondie-crystal-pendant-necklace-p-837291J97408519</t>
        </is>
      </c>
      <c r="M1186" s="5">
        <f t="array" ref="M1186">_xlfn.IFS(J1186="NOTFOUND",I1186,J1186&gt;=I1186,J1186)</f>
        <v/>
      </c>
    </row>
    <row r="1187" ht="18" customHeight="1" s="16">
      <c r="A1187" s="5" t="n">
        <v>1186</v>
      </c>
      <c r="B1187" s="2" t="inlineStr">
        <is>
          <t>GU-3438</t>
        </is>
      </c>
      <c r="C1187" s="2" t="n"/>
      <c r="D1187" s="2" t="inlineStr">
        <is>
          <t>ブロンディ フープピアス</t>
        </is>
      </c>
      <c r="E1187" s="2" t="inlineStr">
        <is>
          <t>774532 I4710 8005</t>
        </is>
      </c>
      <c r="F1187" s="2" t="inlineStr">
        <is>
          <t xml:space="preserve">  -</t>
        </is>
      </c>
      <c r="G1187" s="10" t="inlineStr">
        <is>
          <t>OneSize</t>
        </is>
      </c>
      <c r="H1187" s="17" t="inlineStr">
        <is>
          <t>OneSize</t>
        </is>
      </c>
      <c r="I1187" s="18" t="n">
        <v>81400</v>
      </c>
      <c r="J1187" s="19" t="n">
        <v>86900</v>
      </c>
      <c r="K1187" s="20" t="n">
        <v>5</v>
      </c>
      <c r="L1187" s="4" t="inlineStr">
        <is>
          <t>https://www.gucci.com/jp/ja/pr/jewellery-watches/fashion-jewellery/fashion-earrings/gucci-blondie-hoop-earrings-p-774532I47108005</t>
        </is>
      </c>
      <c r="M1187" s="5">
        <f t="array" ref="M1187">_xlfn.IFS(J1187="NOTFOUND",I1187,J1187&gt;=I1187,J1187)</f>
        <v/>
      </c>
    </row>
    <row r="1188" ht="18" customHeight="1" s="16">
      <c r="A1188" s="5" t="n">
        <v>1187</v>
      </c>
      <c r="B1188" s="2" t="inlineStr">
        <is>
          <t>GU-3439</t>
        </is>
      </c>
      <c r="C1188" s="2" t="n"/>
      <c r="D1188" s="2" t="inlineStr">
        <is>
          <t>マリナチェーン ピアス</t>
        </is>
      </c>
      <c r="E1188" s="2" t="inlineStr">
        <is>
          <t>789049 I4600 8005</t>
        </is>
      </c>
      <c r="F1188" s="2" t="inlineStr">
        <is>
          <t xml:space="preserve">  -</t>
        </is>
      </c>
      <c r="G1188" s="10" t="inlineStr">
        <is>
          <t>OneSize</t>
        </is>
      </c>
      <c r="H1188" s="17" t="inlineStr">
        <is>
          <t>OneSize</t>
        </is>
      </c>
      <c r="I1188" s="18" t="n">
        <v>118800</v>
      </c>
      <c r="J1188" s="19" t="n">
        <v>132000</v>
      </c>
      <c r="K1188" s="20" t="n">
        <v>5</v>
      </c>
      <c r="L1188" s="4" t="inlineStr">
        <is>
          <t>https://www.gucci.com/jp/ja/pr/jewellery-watches/fashion-jewellery/fashion-earrings/gucci-marina-chain-earrings-p-789049I46008005</t>
        </is>
      </c>
      <c r="M1188" s="5">
        <f t="array" ref="M1188">_xlfn.IFS(J1188="NOTFOUND",I1188,J1188&gt;=I1188,J1188)</f>
        <v/>
      </c>
    </row>
    <row r="1189" ht="18" customHeight="1" s="16">
      <c r="A1189" s="5" t="n">
        <v>1188</v>
      </c>
      <c r="B1189" s="2" t="inlineStr">
        <is>
          <t>GU-3440</t>
        </is>
      </c>
      <c r="C1189" s="2" t="n"/>
      <c r="D1189" s="2" t="inlineStr">
        <is>
          <t>インターロッキング チェーン ネックレス</t>
        </is>
      </c>
      <c r="E1189" s="2" t="inlineStr">
        <is>
          <t>837169 I4601 0926</t>
        </is>
      </c>
      <c r="F1189" s="2" t="inlineStr">
        <is>
          <t xml:space="preserve">  -</t>
        </is>
      </c>
      <c r="G1189" s="10" t="inlineStr">
        <is>
          <t>OneSize</t>
        </is>
      </c>
      <c r="H1189" s="17" t="inlineStr">
        <is>
          <t>OneSize</t>
        </is>
      </c>
      <c r="I1189" s="18" t="n">
        <v>170500</v>
      </c>
      <c r="J1189" s="19" t="n">
        <v>170500</v>
      </c>
      <c r="K1189" s="20" t="n">
        <v>5</v>
      </c>
      <c r="L1189" s="4" t="inlineStr">
        <is>
          <t>https://www.gucci.com/jp/ja/pr/jewellery-watches/fashion-jewellery/fashion-necklaces/gucci-interlocking-chain-necklace-p-837169I46010926</t>
        </is>
      </c>
      <c r="M1189" s="5">
        <f t="array" ref="M1189">_xlfn.IFS(J1189="NOTFOUND",I1189,J1189&gt;=I1189,J1189)</f>
        <v/>
      </c>
    </row>
    <row r="1190" ht="18" customHeight="1" s="16">
      <c r="A1190" s="5" t="n">
        <v>1189</v>
      </c>
      <c r="B1190" s="2" t="inlineStr">
        <is>
          <t>GU-3441</t>
        </is>
      </c>
      <c r="C1190" s="2" t="n"/>
      <c r="D1190" s="2" t="inlineStr">
        <is>
          <t>インターロッキング ブレスレット</t>
        </is>
      </c>
      <c r="E1190" s="2" t="inlineStr">
        <is>
          <t>837162 I4601 0926</t>
        </is>
      </c>
      <c r="F1190" s="2" t="inlineStr">
        <is>
          <t xml:space="preserve">  -</t>
        </is>
      </c>
      <c r="G1190" s="10" t="inlineStr">
        <is>
          <t>S_M_L</t>
        </is>
      </c>
      <c r="H1190" s="17" t="inlineStr">
        <is>
          <t>S_M_L</t>
        </is>
      </c>
      <c r="I1190" s="18" t="n">
        <v>53900</v>
      </c>
      <c r="J1190" s="19" t="n">
        <v>53900</v>
      </c>
      <c r="K1190" s="20" t="n">
        <v>5</v>
      </c>
      <c r="L1190" s="4" t="inlineStr">
        <is>
          <t>https://www.gucci.com/jp/ja/pr/jewellery-watches/fashion-jewellery/fashion-bracelets/gucci-interlocking-bracelet-p-837162I46010926</t>
        </is>
      </c>
      <c r="M1190" s="5">
        <f t="array" ref="M1190">_xlfn.IFS(J1190="NOTFOUND",I1190,J1190&gt;=I1190,J1190)</f>
        <v/>
      </c>
    </row>
    <row r="1191" ht="18" customHeight="1" s="16">
      <c r="A1191" s="5" t="n">
        <v>1190</v>
      </c>
      <c r="B1191" s="2" t="inlineStr">
        <is>
          <t>GU-3442</t>
        </is>
      </c>
      <c r="C1191" s="2" t="n"/>
      <c r="D1191" s="2" t="inlineStr">
        <is>
          <t>インターロッキング ペンダント ネックレス</t>
        </is>
      </c>
      <c r="E1191" s="2" t="inlineStr">
        <is>
          <t>837167 I4601 0926</t>
        </is>
      </c>
      <c r="F1191" s="2" t="inlineStr">
        <is>
          <t xml:space="preserve">  -</t>
        </is>
      </c>
      <c r="G1191" s="10" t="inlineStr">
        <is>
          <t>OneSize</t>
        </is>
      </c>
      <c r="H1191" s="17" t="inlineStr">
        <is>
          <t>OneSize</t>
        </is>
      </c>
      <c r="I1191" s="18" t="n">
        <v>61600</v>
      </c>
      <c r="J1191" s="19" t="n">
        <v>61600</v>
      </c>
      <c r="K1191" s="20" t="n">
        <v>5</v>
      </c>
      <c r="L1191" s="4" t="inlineStr">
        <is>
          <t>https://www.gucci.com/jp/ja/pr/jewellery-watches/fashion-jewellery/fashion-necklaces/gucci-interlocking-pendant-necklace-p-837167I46010926</t>
        </is>
      </c>
      <c r="M1191" s="5">
        <f t="array" ref="M1191">_xlfn.IFS(J1191="NOTFOUND",I1191,J1191&gt;=I1191,J1191)</f>
        <v/>
      </c>
    </row>
    <row r="1192" ht="18" customHeight="1" s="16">
      <c r="A1192" s="5" t="n">
        <v>1191</v>
      </c>
      <c r="B1192" s="2" t="inlineStr">
        <is>
          <t>GU-3443</t>
        </is>
      </c>
      <c r="C1192" s="2" t="n"/>
      <c r="D1192" s="2" t="inlineStr">
        <is>
          <t>ダブルG クリスタル ピアス</t>
        </is>
      </c>
      <c r="E1192" s="2" t="inlineStr">
        <is>
          <t>753886 J1D50 8031</t>
        </is>
      </c>
      <c r="F1192" s="2" t="inlineStr">
        <is>
          <t>イエローゴールド</t>
        </is>
      </c>
      <c r="G1192" s="11" t="inlineStr">
        <is>
          <t>SOLD</t>
        </is>
      </c>
      <c r="H1192" s="22" t="inlineStr">
        <is>
          <t>SOLD</t>
        </is>
      </c>
      <c r="I1192" s="18" t="n">
        <v>68200</v>
      </c>
      <c r="J1192" s="23" t="inlineStr">
        <is>
          <t>NOTFOUND</t>
        </is>
      </c>
      <c r="K1192" s="20" t="n">
        <v>0</v>
      </c>
      <c r="L1192" s="4" t="inlineStr">
        <is>
          <t>https://www.gucci.com/jp/ja/pr/jewellery-watches/fashion-jewellery/fashion-earrings/gg-marmont-crystal-earrings-p-753886J1D508031</t>
        </is>
      </c>
      <c r="M1192" s="5">
        <f t="array" ref="M1192">_xlfn.IFS(J1192="NOTFOUND",I1192,J1192&gt;=I1192,J1192)</f>
        <v/>
      </c>
    </row>
    <row r="1193" ht="18" customHeight="1" s="16">
      <c r="A1193" s="5" t="n">
        <v>1192</v>
      </c>
      <c r="B1193" s="2" t="inlineStr">
        <is>
          <t>GU-3444</t>
        </is>
      </c>
      <c r="C1193" s="2" t="n"/>
      <c r="D1193" s="2" t="inlineStr">
        <is>
          <t>スクリプト フープピアス</t>
        </is>
      </c>
      <c r="E1193" s="2" t="inlineStr">
        <is>
          <t>814422 J1D50 8031</t>
        </is>
      </c>
      <c r="F1193" s="2" t="inlineStr">
        <is>
          <t xml:space="preserve">  -</t>
        </is>
      </c>
      <c r="G1193" s="10" t="inlineStr">
        <is>
          <t>OneSize</t>
        </is>
      </c>
      <c r="H1193" s="17" t="inlineStr">
        <is>
          <t>OneSize</t>
        </is>
      </c>
      <c r="I1193" s="18" t="n">
        <v>75900</v>
      </c>
      <c r="J1193" s="19" t="n">
        <v>79200</v>
      </c>
      <c r="K1193" s="20" t="n">
        <v>5</v>
      </c>
      <c r="L1193" s="4" t="inlineStr">
        <is>
          <t>https://www.gucci.com/jp/ja/pr/jewellery-watches/fashion-jewellery/fashion-earrings/hoop-earrings-with-gucci-script-p-814422J1D508031</t>
        </is>
      </c>
      <c r="M1193" s="5">
        <f t="array" ref="M1193">_xlfn.IFS(J1193="NOTFOUND",I1193,J1193&gt;=I1193,J1193)</f>
        <v/>
      </c>
    </row>
    <row r="1194" ht="18" customHeight="1" s="16">
      <c r="A1194" s="5" t="n">
        <v>1193</v>
      </c>
      <c r="B1194" s="2" t="inlineStr">
        <is>
          <t>GU-3445</t>
        </is>
      </c>
      <c r="C1194" s="2" t="n"/>
      <c r="D1194" s="2" t="inlineStr">
        <is>
          <t>スクリプト ワイドリング</t>
        </is>
      </c>
      <c r="E1194" s="2" t="inlineStr">
        <is>
          <t>814360 J1D50 8031</t>
        </is>
      </c>
      <c r="F1194" s="2" t="inlineStr">
        <is>
          <t xml:space="preserve">  -</t>
        </is>
      </c>
      <c r="G1194" s="10" t="inlineStr">
        <is>
          <t>XS_S_M_L</t>
        </is>
      </c>
      <c r="H1194" s="17" t="inlineStr">
        <is>
          <t>XS_S_M_L</t>
        </is>
      </c>
      <c r="I1194" s="18" t="n">
        <v>48400</v>
      </c>
      <c r="J1194" s="19" t="n">
        <v>50600</v>
      </c>
      <c r="K1194" s="20" t="n">
        <v>5</v>
      </c>
      <c r="L1194" s="4" t="inlineStr">
        <is>
          <t>https://www.gucci.com/jp/ja/pr/jewellery-watches/fashion-jewellery/fashion-rings/wide-ring-with-gucci-script-p-814360J1D508031</t>
        </is>
      </c>
      <c r="M1194" s="5">
        <f t="array" ref="M1194">_xlfn.IFS(J1194="NOTFOUND",I1194,J1194&gt;=I1194,J1194)</f>
        <v/>
      </c>
    </row>
    <row r="1195" ht="18" customHeight="1" s="16">
      <c r="A1195" s="5" t="n">
        <v>1194</v>
      </c>
      <c r="B1195" s="2" t="inlineStr">
        <is>
          <t>GU-3446</t>
        </is>
      </c>
      <c r="C1195" s="2" t="n"/>
      <c r="D1195" s="2" t="inlineStr">
        <is>
          <t>スクリプト チェーン ネックレス</t>
        </is>
      </c>
      <c r="E1195" s="2" t="inlineStr">
        <is>
          <t>796859 I4600 8005</t>
        </is>
      </c>
      <c r="F1195" s="2" t="inlineStr">
        <is>
          <t xml:space="preserve">  -</t>
        </is>
      </c>
      <c r="G1195" s="10" t="inlineStr">
        <is>
          <t>OneSize</t>
        </is>
      </c>
      <c r="H1195" s="17" t="inlineStr">
        <is>
          <t>OneSize</t>
        </is>
      </c>
      <c r="I1195" s="18" t="n">
        <v>81400</v>
      </c>
      <c r="J1195" s="19" t="n">
        <v>86900</v>
      </c>
      <c r="K1195" s="20" t="n">
        <v>5</v>
      </c>
      <c r="L1195" s="4" t="inlineStr">
        <is>
          <t>https://www.gucci.com/jp/ja/pr/jewellery-watches/fashion-jewellery/fashion-necklaces/chain-necklace-with-gucci-script-p-796859I46008005</t>
        </is>
      </c>
      <c r="M1195" s="5">
        <f t="array" ref="M1195">_xlfn.IFS(J1195="NOTFOUND",I1195,J1195&gt;=I1195,J1195)</f>
        <v/>
      </c>
    </row>
    <row r="1196" ht="18" customHeight="1" s="16">
      <c r="A1196" s="5" t="n">
        <v>1195</v>
      </c>
      <c r="B1196" s="2" t="inlineStr">
        <is>
          <t>GU-3447</t>
        </is>
      </c>
      <c r="C1196" s="2" t="n"/>
      <c r="D1196" s="2" t="inlineStr">
        <is>
          <t>スクリプト チェーン ヘアバンド</t>
        </is>
      </c>
      <c r="E1196" s="2" t="inlineStr">
        <is>
          <t>815735 IAAFB 8517</t>
        </is>
      </c>
      <c r="F1196" s="2" t="inlineStr">
        <is>
          <t xml:space="preserve">  -</t>
        </is>
      </c>
      <c r="G1196" s="11" t="inlineStr">
        <is>
          <t>SOLD</t>
        </is>
      </c>
      <c r="H1196" s="22" t="inlineStr">
        <is>
          <t>SOLD</t>
        </is>
      </c>
      <c r="I1196" s="18" t="n">
        <v>97900</v>
      </c>
      <c r="J1196" s="23" t="inlineStr">
        <is>
          <t>NOTFOUND</t>
        </is>
      </c>
      <c r="K1196" s="20" t="n">
        <v>0</v>
      </c>
      <c r="L1196" s="4" t="inlineStr">
        <is>
          <t>https://www.gucci.com/jp/ja/pr/jewellery-watches/fashion-jewellery/fashion-hair-accessories/chain-headband-with-gucci-script-p-815735IAAFB8517</t>
        </is>
      </c>
      <c r="M1196" s="5">
        <f t="array" ref="M1196">_xlfn.IFS(J1196="NOTFOUND",I1196,J1196&gt;=I1196,J1196)</f>
        <v/>
      </c>
    </row>
    <row r="1197" ht="18" customHeight="1" s="16">
      <c r="A1197" s="5" t="n">
        <v>1196</v>
      </c>
      <c r="B1197" s="2" t="inlineStr">
        <is>
          <t>GU-3448</t>
        </is>
      </c>
      <c r="C1197" s="2" t="n"/>
      <c r="D1197" s="2" t="inlineStr">
        <is>
          <t>ダブルG パール ドロップ ピアス</t>
        </is>
      </c>
      <c r="E1197" s="2" t="inlineStr">
        <is>
          <t>815307 I4620 8078</t>
        </is>
      </c>
      <c r="F1197" s="2" t="inlineStr">
        <is>
          <t xml:space="preserve">  -</t>
        </is>
      </c>
      <c r="G1197" s="10" t="inlineStr">
        <is>
          <t>OneSize</t>
        </is>
      </c>
      <c r="H1197" s="17" t="inlineStr">
        <is>
          <t>OneSize</t>
        </is>
      </c>
      <c r="I1197" s="18" t="n">
        <v>55000</v>
      </c>
      <c r="J1197" s="19" t="n">
        <v>57200</v>
      </c>
      <c r="K1197" s="20" t="n">
        <v>5</v>
      </c>
      <c r="L1197" s="4" t="inlineStr">
        <is>
          <t>https://www.gucci.com/jp/ja/pr/jewellery-watches/fashion-jewellery/fashion-earrings/gg-marmont-pearl-drop-earrings-p-815307I46208078</t>
        </is>
      </c>
      <c r="M1197" s="5">
        <f t="array" ref="M1197">_xlfn.IFS(J1197="NOTFOUND",I1197,J1197&gt;=I1197,J1197)</f>
        <v/>
      </c>
    </row>
    <row r="1198" ht="18" customHeight="1" s="16">
      <c r="A1198" s="5" t="n">
        <v>1197</v>
      </c>
      <c r="B1198" s="2" t="inlineStr">
        <is>
          <t>GU-3449</t>
        </is>
      </c>
      <c r="C1198" s="2" t="n"/>
      <c r="D1198" s="2" t="inlineStr">
        <is>
          <t>ダブルG ペンダント ネックレス</t>
        </is>
      </c>
      <c r="E1198" s="2" t="inlineStr">
        <is>
          <t>815310 I4620 8078</t>
        </is>
      </c>
      <c r="F1198" s="2" t="inlineStr">
        <is>
          <t xml:space="preserve">  -</t>
        </is>
      </c>
      <c r="G1198" s="10" t="inlineStr">
        <is>
          <t>OneSize</t>
        </is>
      </c>
      <c r="H1198" s="17" t="inlineStr">
        <is>
          <t>OneSize</t>
        </is>
      </c>
      <c r="I1198" s="18" t="n">
        <v>70400</v>
      </c>
      <c r="J1198" s="19" t="n">
        <v>73700</v>
      </c>
      <c r="K1198" s="20" t="n">
        <v>5</v>
      </c>
      <c r="L1198" s="4" t="inlineStr">
        <is>
          <t>https://www.gucci.com/jp/ja/pr/jewellery-watches/fashion-jewellery/fashion-necklaces/gg-marmont-pendant-necklace-p-815310I46208078</t>
        </is>
      </c>
      <c r="M1198" s="5">
        <f t="array" ref="M1198">_xlfn.IFS(J1198="NOTFOUND",I1198,J1198&gt;=I1198,J1198)</f>
        <v/>
      </c>
    </row>
    <row r="1199" ht="18" customHeight="1" s="16">
      <c r="A1199" s="5" t="n">
        <v>1198</v>
      </c>
      <c r="B1199" s="2" t="inlineStr">
        <is>
          <t>GU-3450</t>
        </is>
      </c>
      <c r="C1199" s="2" t="n"/>
      <c r="D1199" s="2" t="inlineStr">
        <is>
          <t>チャーム付き ダブルG チェーン ブレスレット</t>
        </is>
      </c>
      <c r="E1199" s="2" t="inlineStr">
        <is>
          <t>815298 I4620 8078</t>
        </is>
      </c>
      <c r="F1199" s="2" t="inlineStr">
        <is>
          <t xml:space="preserve">  -</t>
        </is>
      </c>
      <c r="G1199" s="10" t="inlineStr">
        <is>
          <t>S</t>
        </is>
      </c>
      <c r="H1199" s="17" t="inlineStr">
        <is>
          <t>OneSize</t>
        </is>
      </c>
      <c r="I1199" s="18" t="n">
        <v>48400</v>
      </c>
      <c r="J1199" s="19" t="n">
        <v>50600</v>
      </c>
      <c r="K1199" s="20" t="n">
        <v>5</v>
      </c>
      <c r="L1199" s="4" t="inlineStr">
        <is>
          <t>https://www.gucci.com/jp/ja/pr/jewellery-watches/fashion-jewellery/fashion-bracelets/gg-marmont-chain-bracelet-with-charm-p-815298I46208078</t>
        </is>
      </c>
      <c r="M1199" s="5">
        <f t="array" ref="M1199">_xlfn.IFS(J1199="NOTFOUND",I1199,J1199&gt;=I1199,J1199)</f>
        <v/>
      </c>
    </row>
    <row r="1200" ht="18" customHeight="1" s="16">
      <c r="A1200" s="5" t="n">
        <v>1199</v>
      </c>
      <c r="B1200" s="2" t="inlineStr">
        <is>
          <t>GU-3451</t>
        </is>
      </c>
      <c r="C1200" s="2" t="n"/>
      <c r="D1200" s="2" t="inlineStr">
        <is>
          <t>ダブルG フラワー スタッズ ピアス</t>
        </is>
      </c>
      <c r="E1200" s="2" t="inlineStr">
        <is>
          <t>702583 I9875 8623</t>
        </is>
      </c>
      <c r="F1200" s="2" t="inlineStr">
        <is>
          <t xml:space="preserve">  -</t>
        </is>
      </c>
      <c r="G1200" s="10" t="inlineStr">
        <is>
          <t>OneSize</t>
        </is>
      </c>
      <c r="H1200" s="17" t="inlineStr">
        <is>
          <t>OneSize</t>
        </is>
      </c>
      <c r="I1200" s="18" t="n">
        <v>52800</v>
      </c>
      <c r="J1200" s="19" t="n">
        <v>56100</v>
      </c>
      <c r="K1200" s="20" t="n">
        <v>5</v>
      </c>
      <c r="L1200" s="4" t="inlineStr">
        <is>
          <t>https://www.gucci.com/jp/ja/pr/jewellery-watches/fashion-jewellery/fashion-earrings/gg-marmont-flower-stud-earrings-p-702583I98758623</t>
        </is>
      </c>
      <c r="M1200" s="5">
        <f t="array" ref="M1200">_xlfn.IFS(J1200="NOTFOUND",I1200,J1200&gt;=I1200,J1200)</f>
        <v/>
      </c>
    </row>
    <row r="1201" ht="18" customHeight="1" s="16">
      <c r="A1201" s="5" t="n">
        <v>1200</v>
      </c>
      <c r="B1201" s="2" t="inlineStr">
        <is>
          <t>GU-3452</t>
        </is>
      </c>
      <c r="C1201" s="2" t="n"/>
      <c r="D1201" s="2" t="inlineStr">
        <is>
          <t>クリスタル付き ダブルG キー ネックレス</t>
        </is>
      </c>
      <c r="E1201" s="2" t="inlineStr">
        <is>
          <t>645620 J1D50 8062</t>
        </is>
      </c>
      <c r="F1201" s="2" t="inlineStr">
        <is>
          <t xml:space="preserve">  -</t>
        </is>
      </c>
      <c r="G1201" s="11" t="inlineStr">
        <is>
          <t>SOLD</t>
        </is>
      </c>
      <c r="H1201" s="22" t="inlineStr">
        <is>
          <t>SOLD</t>
        </is>
      </c>
      <c r="I1201" s="18" t="n">
        <v>81400</v>
      </c>
      <c r="J1201" s="23" t="inlineStr">
        <is>
          <t>NOTFOUND</t>
        </is>
      </c>
      <c r="K1201" s="20" t="n">
        <v>0</v>
      </c>
      <c r="L1201" s="4" t="inlineStr">
        <is>
          <t>https://www.gucci.com/jp/ja/pr/jewellery-watches/fashion-jewellery/fashion-necklaces/double-g-key-necklace-with-crystals-p-645620J1D508062</t>
        </is>
      </c>
      <c r="M1201" s="5">
        <f t="array" ref="M1201">_xlfn.IFS(J1201="NOTFOUND",I1201,J1201&gt;=I1201,J1201)</f>
        <v/>
      </c>
    </row>
    <row r="1202" ht="18" customHeight="1" s="16">
      <c r="A1202" s="5" t="n">
        <v>1201</v>
      </c>
      <c r="B1202" s="2" t="inlineStr">
        <is>
          <t>GU-3453</t>
        </is>
      </c>
      <c r="C1202" s="2" t="n"/>
      <c r="D1202" s="2" t="inlineStr">
        <is>
          <t>ダブルG フラワー ブレスレット</t>
        </is>
      </c>
      <c r="E1202" s="2" t="inlineStr">
        <is>
          <t>702604 I9875 8623</t>
        </is>
      </c>
      <c r="F1202" s="2" t="inlineStr">
        <is>
          <t xml:space="preserve">  -</t>
        </is>
      </c>
      <c r="G1202" s="10" t="inlineStr">
        <is>
          <t>OneSize</t>
        </is>
      </c>
      <c r="H1202" s="17" t="inlineStr">
        <is>
          <t>OneSize</t>
        </is>
      </c>
      <c r="I1202" s="18" t="n">
        <v>70400</v>
      </c>
      <c r="J1202" s="19" t="n">
        <v>73700</v>
      </c>
      <c r="K1202" s="20" t="n">
        <v>5</v>
      </c>
      <c r="L1202" s="4" t="inlineStr">
        <is>
          <t>https://www.gucci.com/jp/ja/pr/jewellery-watches/fashion-jewellery/fashion-bracelets/gg-marmont-double-g-flower-bracelet-p-702604I98758623</t>
        </is>
      </c>
      <c r="M1202" s="5">
        <f t="array" ref="M1202">_xlfn.IFS(J1202="NOTFOUND",I1202,J1202&gt;=I1202,J1202)</f>
        <v/>
      </c>
    </row>
    <row r="1203" ht="18" customHeight="1" s="16">
      <c r="A1203" s="5" t="n">
        <v>1202</v>
      </c>
      <c r="B1203" s="2" t="inlineStr">
        <is>
          <t>GU-3454</t>
        </is>
      </c>
      <c r="C1203" s="2" t="n"/>
      <c r="D1203" s="2" t="inlineStr">
        <is>
          <t>ダブルG フラワー ネックレス</t>
        </is>
      </c>
      <c r="E1203" s="2" t="inlineStr">
        <is>
          <t>702568 I9875 8623</t>
        </is>
      </c>
      <c r="F1203" s="2" t="inlineStr">
        <is>
          <t xml:space="preserve">  -</t>
        </is>
      </c>
      <c r="G1203" s="10" t="inlineStr">
        <is>
          <t>OneSize</t>
        </is>
      </c>
      <c r="H1203" s="17" t="inlineStr">
        <is>
          <t>OneSize</t>
        </is>
      </c>
      <c r="I1203" s="18" t="n">
        <v>97900</v>
      </c>
      <c r="J1203" s="19" t="n">
        <v>103400</v>
      </c>
      <c r="K1203" s="20" t="n">
        <v>5</v>
      </c>
      <c r="L1203" s="4" t="inlineStr">
        <is>
          <t>https://www.gucci.com/jp/ja/pr/jewellery-watches/fashion-jewellery/fashion-necklaces/gg-marmont-double-g-flower-necklace-p-702568I98758623</t>
        </is>
      </c>
      <c r="M1203" s="5">
        <f t="array" ref="M1203">_xlfn.IFS(J1203="NOTFOUND",I1203,J1203&gt;=I1203,J1203)</f>
        <v/>
      </c>
    </row>
    <row r="1204" ht="18" customHeight="1" s="16">
      <c r="A1204" s="5" t="n">
        <v>1203</v>
      </c>
      <c r="B1204" s="2" t="inlineStr">
        <is>
          <t>GU-3455</t>
        </is>
      </c>
      <c r="C1204" s="2" t="n"/>
      <c r="D1204" s="2" t="inlineStr">
        <is>
          <t>ダブルG フラワー リング</t>
        </is>
      </c>
      <c r="E1204" s="2" t="inlineStr">
        <is>
          <t>702585 I9875 8623</t>
        </is>
      </c>
      <c r="F1204" s="2" t="inlineStr">
        <is>
          <t xml:space="preserve">  -</t>
        </is>
      </c>
      <c r="G1204" s="10" t="inlineStr">
        <is>
          <t>XS_S_M</t>
        </is>
      </c>
      <c r="H1204" s="17" t="inlineStr">
        <is>
          <t>XS_S_M</t>
        </is>
      </c>
      <c r="I1204" s="18" t="n">
        <v>48400</v>
      </c>
      <c r="J1204" s="19" t="n">
        <v>50600</v>
      </c>
      <c r="K1204" s="20" t="n">
        <v>5</v>
      </c>
      <c r="L1204" s="4" t="inlineStr">
        <is>
          <t>https://www.gucci.com/jp/ja/pr/jewellery-watches/fashion-jewellery/fashion-rings/gg-marmont-double-g-flower-ring-p-702585I98758623</t>
        </is>
      </c>
      <c r="M1204" s="5">
        <f t="array" ref="M1204">_xlfn.IFS(J1204="NOTFOUND",I1204,J1204&gt;=I1204,J1204)</f>
        <v/>
      </c>
    </row>
    <row r="1205" ht="18" customHeight="1" s="16">
      <c r="A1205" s="5" t="n">
        <v>1204</v>
      </c>
      <c r="B1205" s="2" t="inlineStr">
        <is>
          <t>GU-3456</t>
        </is>
      </c>
      <c r="C1205" s="2" t="n"/>
      <c r="D1205" s="2" t="inlineStr">
        <is>
          <t>パール ダブルG ピアス</t>
        </is>
      </c>
      <c r="E1205" s="2" t="inlineStr">
        <is>
          <t>645665 I4620 8078</t>
        </is>
      </c>
      <c r="F1205" s="2" t="inlineStr">
        <is>
          <t xml:space="preserve">  -</t>
        </is>
      </c>
      <c r="G1205" s="11" t="inlineStr">
        <is>
          <t>SOLD</t>
        </is>
      </c>
      <c r="H1205" s="22" t="inlineStr">
        <is>
          <t>SOLD</t>
        </is>
      </c>
      <c r="I1205" s="18" t="n">
        <v>55000</v>
      </c>
      <c r="J1205" s="23" t="inlineStr">
        <is>
          <t>NOTFOUND</t>
        </is>
      </c>
      <c r="K1205" s="20" t="n">
        <v>0</v>
      </c>
      <c r="L1205" s="4" t="inlineStr">
        <is>
          <t>https://www.gucci.com/jp/ja/pr/jewellery-watches/fashion-jewellery/fashion-earrings/pearl-double-g-earrings-p-645665I46208078</t>
        </is>
      </c>
      <c r="M1205" s="5">
        <f t="array" ref="M1205">_xlfn.IFS(J1205="NOTFOUND",I1205,J1205&gt;=I1205,J1205)</f>
        <v/>
      </c>
    </row>
    <row r="1206" ht="18" customHeight="1" s="16">
      <c r="A1206" s="5" t="n">
        <v>1205</v>
      </c>
      <c r="B1206" s="2" t="inlineStr">
        <is>
          <t>GU-3457</t>
        </is>
      </c>
      <c r="C1206" s="2" t="n"/>
      <c r="D1206" s="2" t="inlineStr">
        <is>
          <t>スクリプト チェーン ブレスレット</t>
        </is>
      </c>
      <c r="E1206" s="2" t="inlineStr">
        <is>
          <t>798504 I4600 8005</t>
        </is>
      </c>
      <c r="F1206" s="2" t="inlineStr">
        <is>
          <t xml:space="preserve">  -</t>
        </is>
      </c>
      <c r="G1206" s="10" t="inlineStr">
        <is>
          <t>OneSize</t>
        </is>
      </c>
      <c r="H1206" s="17" t="inlineStr">
        <is>
          <t>OneSize</t>
        </is>
      </c>
      <c r="I1206" s="18" t="n">
        <v>59400</v>
      </c>
      <c r="J1206" s="19" t="n">
        <v>61600</v>
      </c>
      <c r="K1206" s="20" t="n">
        <v>5</v>
      </c>
      <c r="L1206" s="4" t="inlineStr">
        <is>
          <t>https://www.gucci.com/jp/ja/pr/jewellery-watches/fashion-jewellery/fashion-bracelets/chain-bracelet-with-gucci-script-p-798504I46008005</t>
        </is>
      </c>
      <c r="M1206" s="5">
        <f t="array" ref="M1206">_xlfn.IFS(J1206="NOTFOUND",I1206,J1206&gt;=I1206,J1206)</f>
        <v/>
      </c>
    </row>
    <row r="1207" ht="18" customHeight="1" s="16">
      <c r="A1207" s="5" t="n">
        <v>1206</v>
      </c>
      <c r="B1207" s="2" t="inlineStr">
        <is>
          <t>GU-3458</t>
        </is>
      </c>
      <c r="C1207" s="2" t="n"/>
      <c r="D1207" s="2" t="inlineStr">
        <is>
          <t>ブロンディ ヘアアクセサリー</t>
        </is>
      </c>
      <c r="E1207" s="2" t="inlineStr">
        <is>
          <t>796953 IAAE2 8523</t>
        </is>
      </c>
      <c r="F1207" s="2" t="inlineStr">
        <is>
          <t xml:space="preserve">  -</t>
        </is>
      </c>
      <c r="G1207" s="11" t="inlineStr">
        <is>
          <t>SOLD</t>
        </is>
      </c>
      <c r="H1207" s="22" t="inlineStr">
        <is>
          <t>SOLD</t>
        </is>
      </c>
      <c r="I1207" s="18" t="n">
        <v>61600</v>
      </c>
      <c r="J1207" s="23" t="inlineStr">
        <is>
          <t>NOTFOUND</t>
        </is>
      </c>
      <c r="K1207" s="20" t="n">
        <v>0</v>
      </c>
      <c r="L1207" s="4" t="inlineStr">
        <is>
          <t>https://www.gucci.com/jp/ja/pr/jewellery-watches/fashion-jewellery/fashion-hair-accessories/gucci-blondie-hair-accessory-p-796953IAAE28523</t>
        </is>
      </c>
      <c r="M1207" s="5">
        <f t="array" ref="M1207">_xlfn.IFS(J1207="NOTFOUND",I1207,J1207&gt;=I1207,J1207)</f>
        <v/>
      </c>
    </row>
    <row r="1208" ht="18" customHeight="1" s="16">
      <c r="A1208" s="5" t="n">
        <v>1207</v>
      </c>
      <c r="B1208" s="2" t="inlineStr">
        <is>
          <t>GU-3459</t>
        </is>
      </c>
      <c r="C1208" s="2" t="n"/>
      <c r="D1208" s="2" t="inlineStr">
        <is>
          <t>ラウンド インターロッキングG ブレスレット</t>
        </is>
      </c>
      <c r="E1208" s="2" t="inlineStr">
        <is>
          <t>796921 IAAEM 8071</t>
        </is>
      </c>
      <c r="F1208" s="2" t="inlineStr">
        <is>
          <t>ライトピンクレザー</t>
        </is>
      </c>
      <c r="G1208" s="10" t="inlineStr">
        <is>
          <t>S_M</t>
        </is>
      </c>
      <c r="H1208" s="17" t="inlineStr">
        <is>
          <t>S_M</t>
        </is>
      </c>
      <c r="I1208" s="18" t="n">
        <v>59400</v>
      </c>
      <c r="J1208" s="19" t="n">
        <v>61600</v>
      </c>
      <c r="K1208" s="20" t="n">
        <v>5</v>
      </c>
      <c r="L1208" s="4" t="inlineStr">
        <is>
          <t>https://www.gucci.com/jp/ja/pr/jewellery-watches/fashion-jewellery/fashion-bracelets/bracelet-with-round-interlocking-g-p-796921IAAEM8071</t>
        </is>
      </c>
      <c r="M1208" s="5">
        <f t="array" ref="M1208">_xlfn.IFS(J1208="NOTFOUND",I1208,J1208&gt;=I1208,J1208)</f>
        <v/>
      </c>
    </row>
    <row r="1209" ht="18" customHeight="1" s="16">
      <c r="A1209" s="5" t="n">
        <v>1208</v>
      </c>
      <c r="B1209" s="2" t="inlineStr">
        <is>
          <t>GU-3460</t>
        </is>
      </c>
      <c r="C1209" s="2" t="n"/>
      <c r="D1209" s="2" t="inlineStr">
        <is>
          <t>ラウンド インターロッキングG ブレスレット</t>
        </is>
      </c>
      <c r="E1209" s="2" t="inlineStr">
        <is>
          <t>796921 IAAEM 8029</t>
        </is>
      </c>
      <c r="F1209" s="2" t="inlineStr">
        <is>
          <t>ブラックレザー</t>
        </is>
      </c>
      <c r="G1209" s="10" t="inlineStr">
        <is>
          <t>S_M</t>
        </is>
      </c>
      <c r="H1209" s="17" t="inlineStr">
        <is>
          <t>S_M</t>
        </is>
      </c>
      <c r="I1209" s="18" t="n">
        <v>59400</v>
      </c>
      <c r="J1209" s="19" t="n">
        <v>61600</v>
      </c>
      <c r="K1209" s="20" t="n">
        <v>5</v>
      </c>
      <c r="L1209" s="4" t="inlineStr">
        <is>
          <t>https://www.gucci.com/jp/ja/pr/jewellery-watches/fashion-jewellery/fashion-bracelets/bracelet-with-round-interlocking-g-p-796921IAAEM8029</t>
        </is>
      </c>
      <c r="M1209" s="5">
        <f t="array" ref="M1209">_xlfn.IFS(J1209="NOTFOUND",I1209,J1209&gt;=I1209,J1209)</f>
        <v/>
      </c>
    </row>
    <row r="1210" ht="18" customHeight="1" s="16">
      <c r="A1210" s="5" t="n">
        <v>1209</v>
      </c>
      <c r="B1210" s="2" t="inlineStr">
        <is>
          <t>GU-3461</t>
        </is>
      </c>
      <c r="C1210" s="2" t="n"/>
      <c r="D1210" s="2" t="inlineStr">
        <is>
          <t>ブロンディ ブローチ</t>
        </is>
      </c>
      <c r="E1210" s="2" t="inlineStr">
        <is>
          <t>792317 I4600 8005</t>
        </is>
      </c>
      <c r="F1210" s="2" t="inlineStr">
        <is>
          <t xml:space="preserve">  -</t>
        </is>
      </c>
      <c r="G1210" s="10" t="inlineStr">
        <is>
          <t>OneSize</t>
        </is>
      </c>
      <c r="H1210" s="17" t="inlineStr">
        <is>
          <t>OneSize</t>
        </is>
      </c>
      <c r="I1210" s="18" t="n">
        <v>49500</v>
      </c>
      <c r="J1210" s="19" t="n">
        <v>53900</v>
      </c>
      <c r="K1210" s="20" t="n">
        <v>5</v>
      </c>
      <c r="L1210" s="4" t="inlineStr">
        <is>
          <t>https://www.gucci.com/jp/ja/pr/jewellery-watches/fashion-jewellery/fashion-jewellery-for-men/gucci-blondie-brooch-p-792317I46008005</t>
        </is>
      </c>
      <c r="M1210" s="5">
        <f t="array" ref="M1210">_xlfn.IFS(J1210="NOTFOUND",I1210,J1210&gt;=I1210,J1210)</f>
        <v/>
      </c>
    </row>
    <row r="1211" ht="18" customHeight="1" s="16">
      <c r="A1211" s="5" t="n">
        <v>1210</v>
      </c>
      <c r="B1211" s="2" t="inlineStr">
        <is>
          <t>GU-3462</t>
        </is>
      </c>
      <c r="C1211" s="2" t="n"/>
      <c r="D1211" s="2" t="inlineStr">
        <is>
          <t>ブロンディ パール ドロップ ネックレス</t>
        </is>
      </c>
      <c r="E1211" s="2" t="inlineStr">
        <is>
          <t>774689 I4620 8078</t>
        </is>
      </c>
      <c r="F1211" s="2" t="inlineStr">
        <is>
          <t xml:space="preserve">  -</t>
        </is>
      </c>
      <c r="G1211" s="10" t="inlineStr">
        <is>
          <t>OneSize</t>
        </is>
      </c>
      <c r="H1211" s="17" t="inlineStr">
        <is>
          <t>OneSize</t>
        </is>
      </c>
      <c r="I1211" s="18" t="n">
        <v>79200</v>
      </c>
      <c r="J1211" s="19" t="n">
        <v>84700</v>
      </c>
      <c r="K1211" s="20" t="n">
        <v>5</v>
      </c>
      <c r="L1211" s="4" t="inlineStr">
        <is>
          <t>https://www.gucci.com/jp/ja/pr/jewellery-watches/fashion-jewellery/fashion-necklaces/gucci-blondie-pearl-drop-necklace-p-774689I46208078</t>
        </is>
      </c>
      <c r="M1211" s="5">
        <f t="array" ref="M1211">_xlfn.IFS(J1211="NOTFOUND",I1211,J1211&gt;=I1211,J1211)</f>
        <v/>
      </c>
    </row>
    <row r="1212" ht="18" customHeight="1" s="16">
      <c r="A1212" s="5" t="n">
        <v>1211</v>
      </c>
      <c r="B1212" s="2" t="inlineStr">
        <is>
          <t>GU-3463</t>
        </is>
      </c>
      <c r="C1212" s="2" t="n"/>
      <c r="D1212" s="2" t="inlineStr">
        <is>
          <t>ブロンディ ブレスレット</t>
        </is>
      </c>
      <c r="E1212" s="2" t="inlineStr">
        <is>
          <t>774638 I4600 8005</t>
        </is>
      </c>
      <c r="F1212" s="2" t="inlineStr">
        <is>
          <t xml:space="preserve">  -</t>
        </is>
      </c>
      <c r="G1212" s="10" t="inlineStr">
        <is>
          <t>OneSize</t>
        </is>
      </c>
      <c r="H1212" s="17" t="inlineStr">
        <is>
          <t>OneSize</t>
        </is>
      </c>
      <c r="I1212" s="18" t="n">
        <v>68200</v>
      </c>
      <c r="J1212" s="19" t="n">
        <v>71500</v>
      </c>
      <c r="K1212" s="20" t="n">
        <v>5</v>
      </c>
      <c r="L1212" s="4" t="inlineStr">
        <is>
          <t>https://www.gucci.com/jp/ja/pr/jewellery-watches/fashion-jewellery/fashion-bracelets/gucci-blondie-bracelet-p-774638I46008005</t>
        </is>
      </c>
      <c r="M1212" s="5">
        <f t="array" ref="M1212">_xlfn.IFS(J1212="NOTFOUND",I1212,J1212&gt;=I1212,J1212)</f>
        <v/>
      </c>
    </row>
    <row r="1213" ht="18" customHeight="1" s="16">
      <c r="A1213" s="5" t="n">
        <v>1212</v>
      </c>
      <c r="B1213" s="2" t="inlineStr">
        <is>
          <t>GU-3464</t>
        </is>
      </c>
      <c r="C1213" s="2" t="n"/>
      <c r="D1213" s="2" t="inlineStr">
        <is>
          <t>ブロンディ フープピアス</t>
        </is>
      </c>
      <c r="E1213" s="2" t="inlineStr">
        <is>
          <t>774534 I4600 8005</t>
        </is>
      </c>
      <c r="F1213" s="2" t="inlineStr">
        <is>
          <t xml:space="preserve">  -</t>
        </is>
      </c>
      <c r="G1213" s="10" t="inlineStr">
        <is>
          <t>OneSize</t>
        </is>
      </c>
      <c r="H1213" s="17" t="inlineStr">
        <is>
          <t>OneSize</t>
        </is>
      </c>
      <c r="I1213" s="18" t="n">
        <v>75900</v>
      </c>
      <c r="J1213" s="19" t="n">
        <v>82500</v>
      </c>
      <c r="K1213" s="20" t="n">
        <v>5</v>
      </c>
      <c r="L1213" s="4" t="inlineStr">
        <is>
          <t>https://www.gucci.com/jp/ja/pr/jewellery-watches/fashion-jewellery/fashion-earrings/gucci-blondie-hoop-earrings-p-774534I46008005</t>
        </is>
      </c>
      <c r="M1213" s="5">
        <f t="array" ref="M1213">_xlfn.IFS(J1213="NOTFOUND",I1213,J1213&gt;=I1213,J1213)</f>
        <v/>
      </c>
    </row>
    <row r="1214" ht="18" customHeight="1" s="16">
      <c r="A1214" s="5" t="n">
        <v>1213</v>
      </c>
      <c r="B1214" s="2" t="inlineStr">
        <is>
          <t>GU-3465</t>
        </is>
      </c>
      <c r="C1214" s="2" t="n"/>
      <c r="D1214" s="2" t="inlineStr">
        <is>
          <t>ブロンディ クリスタル ブローチ</t>
        </is>
      </c>
      <c r="E1214" s="2" t="inlineStr">
        <is>
          <t>815320 JAAHV 8062</t>
        </is>
      </c>
      <c r="F1214" s="2" t="inlineStr">
        <is>
          <t xml:space="preserve">  -</t>
        </is>
      </c>
      <c r="G1214" s="10" t="inlineStr">
        <is>
          <t>OneSize</t>
        </is>
      </c>
      <c r="H1214" s="17" t="inlineStr">
        <is>
          <t>OneSize</t>
        </is>
      </c>
      <c r="I1214" s="18" t="n">
        <v>96800</v>
      </c>
      <c r="J1214" s="19" t="n">
        <v>101200</v>
      </c>
      <c r="K1214" s="20" t="n">
        <v>5</v>
      </c>
      <c r="L1214" s="4" t="inlineStr">
        <is>
          <t>https://www.gucci.com/jp/ja/pr/jewellery-watches/fashion-jewellery/fashion-brooches/gucci-blondie-crystal-brooch-p-815320JAAHV8062</t>
        </is>
      </c>
      <c r="M1214" s="5">
        <f t="array" ref="M1214">_xlfn.IFS(J1214="NOTFOUND",I1214,J1214&gt;=I1214,J1214)</f>
        <v/>
      </c>
    </row>
    <row r="1215" ht="18" customHeight="1" s="16">
      <c r="A1215" s="5" t="n">
        <v>1214</v>
      </c>
      <c r="B1215" s="2" t="inlineStr">
        <is>
          <t>GU-3466</t>
        </is>
      </c>
      <c r="C1215" s="2" t="n"/>
      <c r="D1215" s="2" t="inlineStr">
        <is>
          <t>ブロンディ クリスタル フープピアス</t>
        </is>
      </c>
      <c r="E1215" s="2" t="inlineStr">
        <is>
          <t>815318 J1D50 8031</t>
        </is>
      </c>
      <c r="F1215" s="2" t="inlineStr">
        <is>
          <t xml:space="preserve">  -</t>
        </is>
      </c>
      <c r="G1215" s="10" t="inlineStr">
        <is>
          <t>OneSize</t>
        </is>
      </c>
      <c r="H1215" s="17" t="inlineStr">
        <is>
          <t>OneSize</t>
        </is>
      </c>
      <c r="I1215" s="18" t="n">
        <v>97900</v>
      </c>
      <c r="J1215" s="19" t="n">
        <v>103400</v>
      </c>
      <c r="K1215" s="20" t="n">
        <v>5</v>
      </c>
      <c r="L1215" s="4" t="inlineStr">
        <is>
          <t>https://www.gucci.com/jp/ja/pr/jewellery-watches/fashion-jewellery/fashion-earrings/gucci-blondie-crystal-hoop-earrings-p-815318J1D508031</t>
        </is>
      </c>
      <c r="M1215" s="5">
        <f t="array" ref="M1215">_xlfn.IFS(J1215="NOTFOUND",I1215,J1215&gt;=I1215,J1215)</f>
        <v/>
      </c>
    </row>
    <row r="1216" ht="18" customHeight="1" s="16">
      <c r="A1216" s="5" t="n">
        <v>1215</v>
      </c>
      <c r="B1216" s="2" t="inlineStr">
        <is>
          <t>GU-3467</t>
        </is>
      </c>
      <c r="C1216" s="2" t="n"/>
      <c r="D1216" s="2" t="inlineStr">
        <is>
          <t>ブロンディ ラッカーフィニッシュ ブレスレット</t>
        </is>
      </c>
      <c r="E1216" s="2" t="inlineStr">
        <is>
          <t>815133 I9757 8517</t>
        </is>
      </c>
      <c r="F1216" s="2" t="inlineStr">
        <is>
          <t xml:space="preserve">  -</t>
        </is>
      </c>
      <c r="G1216" s="11" t="inlineStr">
        <is>
          <t>SOLD</t>
        </is>
      </c>
      <c r="H1216" s="22" t="inlineStr">
        <is>
          <t>SOLD</t>
        </is>
      </c>
      <c r="I1216" s="18" t="n">
        <v>52800</v>
      </c>
      <c r="J1216" s="23" t="inlineStr">
        <is>
          <t>NOTFOUND</t>
        </is>
      </c>
      <c r="K1216" s="20" t="n">
        <v>0</v>
      </c>
      <c r="L1216" s="4" t="inlineStr">
        <is>
          <t>https://www.gucci.com/jp/ja/pr/jewellery-watches/fashion-jewellery/fashion-bracelets/gucci-blondie-enamel-bracelet-p-815133I97578517</t>
        </is>
      </c>
      <c r="M1216" s="5">
        <f t="array" ref="M1216">_xlfn.IFS(J1216="NOTFOUND",I1216,J1216&gt;=I1216,J1216)</f>
        <v/>
      </c>
    </row>
    <row r="1217" ht="18" customHeight="1" s="16">
      <c r="A1217" s="5" t="n">
        <v>1216</v>
      </c>
      <c r="B1217" s="2" t="inlineStr">
        <is>
          <t>GU-3468</t>
        </is>
      </c>
      <c r="C1217" s="2" t="n"/>
      <c r="D1217" s="2" t="inlineStr">
        <is>
          <t>ブロンディ リング</t>
        </is>
      </c>
      <c r="E1217" s="2" t="inlineStr">
        <is>
          <t>815131 J1630 8036</t>
        </is>
      </c>
      <c r="F1217" s="2" t="inlineStr">
        <is>
          <t xml:space="preserve">  -</t>
        </is>
      </c>
      <c r="G1217" s="11" t="inlineStr">
        <is>
          <t>SOLD</t>
        </is>
      </c>
      <c r="H1217" s="22" t="inlineStr">
        <is>
          <t>SOLD</t>
        </is>
      </c>
      <c r="I1217" s="18" t="n">
        <v>52800</v>
      </c>
      <c r="J1217" s="23" t="inlineStr">
        <is>
          <t>NOTFOUND</t>
        </is>
      </c>
      <c r="K1217" s="20" t="n">
        <v>0</v>
      </c>
      <c r="L1217" s="4" t="inlineStr">
        <is>
          <t>https://www.gucci.com/jp/ja/pr/jewellery-watches/fashion-jewellery/fashion-rings/gucci-blondie-enamel-ring-p-815131J16308036</t>
        </is>
      </c>
      <c r="M1217" s="5">
        <f t="array" ref="M1217">_xlfn.IFS(J1217="NOTFOUND",I1217,J1217&gt;=I1217,J1217)</f>
        <v/>
      </c>
    </row>
    <row r="1218" ht="18" customHeight="1" s="16">
      <c r="A1218" s="5" t="n">
        <v>1217</v>
      </c>
      <c r="B1218" s="2" t="inlineStr">
        <is>
          <t>GU-3469</t>
        </is>
      </c>
      <c r="C1218" s="2" t="n"/>
      <c r="D1218" s="2" t="inlineStr">
        <is>
          <t>ブロンディ ペンダント ネックレス</t>
        </is>
      </c>
      <c r="E1218" s="2" t="inlineStr">
        <is>
          <t>774620 I9757 8517</t>
        </is>
      </c>
      <c r="F1218" s="2" t="inlineStr">
        <is>
          <t>イエローゴールド</t>
        </is>
      </c>
      <c r="G1218" s="11" t="inlineStr">
        <is>
          <t>SOLD</t>
        </is>
      </c>
      <c r="H1218" s="22" t="inlineStr">
        <is>
          <t>SOLD</t>
        </is>
      </c>
      <c r="I1218" s="18" t="n">
        <v>97900</v>
      </c>
      <c r="J1218" s="23" t="inlineStr">
        <is>
          <t>NOTFOUND</t>
        </is>
      </c>
      <c r="K1218" s="20" t="n">
        <v>0</v>
      </c>
      <c r="L1218" s="4" t="inlineStr">
        <is>
          <t>https://www.gucci.com/jp/ja/pr/jewellery-watches/fashion-jewellery/fashion-necklaces/gucci-blondie-pendant-necklace-p-774620I97578517</t>
        </is>
      </c>
      <c r="M1218" s="5">
        <f t="array" ref="M1218">_xlfn.IFS(J1218="NOTFOUND",I1218,J1218&gt;=I1218,J1218)</f>
        <v/>
      </c>
    </row>
    <row r="1219" ht="18" customHeight="1" s="16">
      <c r="A1219" s="5" t="n">
        <v>1218</v>
      </c>
      <c r="B1219" s="2" t="inlineStr">
        <is>
          <t>GU-3470</t>
        </is>
      </c>
      <c r="C1219" s="2" t="n"/>
      <c r="D1219" s="2" t="inlineStr">
        <is>
          <t>ブロンディ パール ドロップ ピアス</t>
        </is>
      </c>
      <c r="E1219" s="2" t="inlineStr">
        <is>
          <t>774612 I9757 8517</t>
        </is>
      </c>
      <c r="F1219" s="2" t="inlineStr">
        <is>
          <t>イエローゴールド</t>
        </is>
      </c>
      <c r="G1219" s="11" t="inlineStr">
        <is>
          <t>SOLD</t>
        </is>
      </c>
      <c r="H1219" s="22" t="inlineStr">
        <is>
          <t>SOLD</t>
        </is>
      </c>
      <c r="I1219" s="18" t="n">
        <v>68200</v>
      </c>
      <c r="J1219" s="23" t="inlineStr">
        <is>
          <t>NOTFOUND</t>
        </is>
      </c>
      <c r="K1219" s="20" t="n">
        <v>0</v>
      </c>
      <c r="L1219" s="4" t="inlineStr">
        <is>
          <t>https://www.gucci.com/jp/ja/pr/jewellery-watches/fashion-jewellery/fashion-earrings/gucci-blondie-pearl-drop-earrings-p-774612I97578517</t>
        </is>
      </c>
      <c r="M1219" s="5">
        <f t="array" ref="M1219">_xlfn.IFS(J1219="NOTFOUND",I1219,J1219&gt;=I1219,J1219)</f>
        <v/>
      </c>
    </row>
    <row r="1220" ht="18" customHeight="1" s="16">
      <c r="A1220" s="5" t="n">
        <v>1219</v>
      </c>
      <c r="B1220" s="2" t="inlineStr">
        <is>
          <t>GU-3471</t>
        </is>
      </c>
      <c r="C1220" s="2" t="n"/>
      <c r="D1220" s="2" t="inlineStr">
        <is>
          <t>ブロンディ クリスタル ドロップ ピアス</t>
        </is>
      </c>
      <c r="E1220" s="2" t="inlineStr">
        <is>
          <t>819068 J1D50 8070</t>
        </is>
      </c>
      <c r="F1220" s="2" t="inlineStr">
        <is>
          <t xml:space="preserve">  -</t>
        </is>
      </c>
      <c r="G1220" s="11" t="inlineStr">
        <is>
          <t>SOLD</t>
        </is>
      </c>
      <c r="H1220" s="22" t="inlineStr">
        <is>
          <t>SOLD</t>
        </is>
      </c>
      <c r="I1220" s="18" t="n">
        <v>59400</v>
      </c>
      <c r="J1220" s="23" t="inlineStr">
        <is>
          <t>NOTFOUND</t>
        </is>
      </c>
      <c r="K1220" s="20" t="n">
        <v>0</v>
      </c>
      <c r="L1220" s="4" t="inlineStr">
        <is>
          <t>https://www.gucci.com/jp/ja/pr/jewellery-watches/fashion-jewellery/fashion-earrings/gucci-blondie-crystal-drop-earrings-p-819068J1D508070</t>
        </is>
      </c>
      <c r="M1220" s="5">
        <f t="array" ref="M1220">_xlfn.IFS(J1220="NOTFOUND",I1220,J1220&gt;=I1220,J1220)</f>
        <v/>
      </c>
    </row>
    <row r="1221" ht="18" customHeight="1" s="16">
      <c r="A1221" s="5" t="n">
        <v>1220</v>
      </c>
      <c r="B1221" s="2" t="inlineStr">
        <is>
          <t>GU-3472</t>
        </is>
      </c>
      <c r="C1221" s="2" t="n"/>
      <c r="D1221" s="2" t="inlineStr">
        <is>
          <t>ブロンディ クリスタル ブレスレット</t>
        </is>
      </c>
      <c r="E1221" s="2" t="inlineStr">
        <is>
          <t>797605 J1D51 8527</t>
        </is>
      </c>
      <c r="F1221" s="2" t="inlineStr">
        <is>
          <t>ローズゴールド</t>
        </is>
      </c>
      <c r="G1221" s="10" t="inlineStr">
        <is>
          <t>OneSize</t>
        </is>
      </c>
      <c r="H1221" s="17" t="inlineStr">
        <is>
          <t>OneSize</t>
        </is>
      </c>
      <c r="I1221" s="18" t="n">
        <v>70400</v>
      </c>
      <c r="J1221" s="19" t="n">
        <v>73700</v>
      </c>
      <c r="K1221" s="20" t="n">
        <v>5</v>
      </c>
      <c r="L1221" s="4" t="inlineStr">
        <is>
          <t>https://www.gucci.com/jp/ja/pr/jewellery-watches/fashion-jewellery/fashion-bracelets/gucci-blondie-crystal-bracelet-p-797605J1D518527</t>
        </is>
      </c>
      <c r="M1221" s="5">
        <f t="array" ref="M1221">_xlfn.IFS(J1221="NOTFOUND",I1221,J1221&gt;=I1221,J1221)</f>
        <v/>
      </c>
    </row>
    <row r="1222" ht="18" customHeight="1" s="16">
      <c r="A1222" s="5" t="n">
        <v>1221</v>
      </c>
      <c r="B1222" s="2" t="inlineStr">
        <is>
          <t>GU-3473</t>
        </is>
      </c>
      <c r="C1222" s="2" t="n"/>
      <c r="D1222" s="2" t="inlineStr">
        <is>
          <t>ブロンディ クリスタル ネックレス</t>
        </is>
      </c>
      <c r="E1222" s="2" t="inlineStr">
        <is>
          <t>797530 J1D51 8527</t>
        </is>
      </c>
      <c r="F1222" s="2" t="inlineStr">
        <is>
          <t>ローズゴールド</t>
        </is>
      </c>
      <c r="G1222" s="10" t="inlineStr">
        <is>
          <t>OneSize</t>
        </is>
      </c>
      <c r="H1222" s="17" t="inlineStr">
        <is>
          <t>OneSize</t>
        </is>
      </c>
      <c r="I1222" s="18" t="n">
        <v>81400</v>
      </c>
      <c r="J1222" s="19" t="n">
        <v>86900</v>
      </c>
      <c r="K1222" s="20" t="n">
        <v>5</v>
      </c>
      <c r="L1222" s="4" t="inlineStr">
        <is>
          <t>https://www.gucci.com/jp/ja/pr/jewellery-watches/fashion-jewellery/fashion-necklaces/gucci-blondie-crystal-necklace-p-797530J1D518527</t>
        </is>
      </c>
      <c r="M1222" s="5">
        <f t="array" ref="M1222">_xlfn.IFS(J1222="NOTFOUND",I1222,J1222&gt;=I1222,J1222)</f>
        <v/>
      </c>
    </row>
    <row r="1223" ht="18" customHeight="1" s="16">
      <c r="A1223" s="5" t="n">
        <v>1222</v>
      </c>
      <c r="B1223" s="2" t="inlineStr">
        <is>
          <t>GU-3474</t>
        </is>
      </c>
      <c r="C1223" s="2" t="n"/>
      <c r="D1223" s="2" t="inlineStr">
        <is>
          <t>ブロンディ レジン パール ピアス</t>
        </is>
      </c>
      <c r="E1223" s="2" t="inlineStr">
        <is>
          <t>797497 I4620 8522</t>
        </is>
      </c>
      <c r="F1223" s="2" t="inlineStr">
        <is>
          <t>ローズゴールド</t>
        </is>
      </c>
      <c r="G1223" s="10" t="inlineStr">
        <is>
          <t>OneSize</t>
        </is>
      </c>
      <c r="H1223" s="17" t="inlineStr">
        <is>
          <t>OneSize</t>
        </is>
      </c>
      <c r="I1223" s="18" t="n">
        <v>59400</v>
      </c>
      <c r="J1223" s="19" t="n">
        <v>61600</v>
      </c>
      <c r="K1223" s="20" t="n">
        <v>5</v>
      </c>
      <c r="L1223" s="4" t="inlineStr">
        <is>
          <t>https://www.gucci.com/jp/ja/pr/jewellery-watches/fashion-jewellery/fashion-earrings/gucci-blondie-resin-pearl-earrings-p-797497I46208522</t>
        </is>
      </c>
      <c r="M1223" s="5">
        <f t="array" ref="M1223">_xlfn.IFS(J1223="NOTFOUND",I1223,J1223&gt;=I1223,J1223)</f>
        <v/>
      </c>
    </row>
    <row r="1224" ht="18" customHeight="1" s="16">
      <c r="A1224" s="5" t="n">
        <v>1223</v>
      </c>
      <c r="B1224" s="2" t="inlineStr">
        <is>
          <t>GU-3475</t>
        </is>
      </c>
      <c r="C1224" s="2" t="n"/>
      <c r="D1224" s="2" t="inlineStr">
        <is>
          <t>ブロンディ レジン パール リング</t>
        </is>
      </c>
      <c r="E1224" s="2" t="inlineStr">
        <is>
          <t>797423 I4620 8522</t>
        </is>
      </c>
      <c r="F1224" s="2" t="inlineStr">
        <is>
          <t>ローズゴールド</t>
        </is>
      </c>
      <c r="G1224" s="10" t="inlineStr">
        <is>
          <t>XS_S_M</t>
        </is>
      </c>
      <c r="H1224" s="17" t="inlineStr">
        <is>
          <t>XS_S_M</t>
        </is>
      </c>
      <c r="I1224" s="18" t="n">
        <v>45100</v>
      </c>
      <c r="J1224" s="19" t="n">
        <v>48400</v>
      </c>
      <c r="K1224" s="20" t="n">
        <v>5</v>
      </c>
      <c r="L1224" s="4" t="inlineStr">
        <is>
          <t>https://www.gucci.com/jp/ja/pr/jewellery-watches/fashion-jewellery/fashion-rings/gucci-blondie-resin-pearl-ring-p-797423I46208522</t>
        </is>
      </c>
      <c r="M1224" s="5">
        <f t="array" ref="M1224">_xlfn.IFS(J1224="NOTFOUND",I1224,J1224&gt;=I1224,J1224)</f>
        <v/>
      </c>
    </row>
    <row r="1225" ht="18" customHeight="1" s="16">
      <c r="A1225" s="5" t="n">
        <v>1224</v>
      </c>
      <c r="B1225" s="2" t="inlineStr">
        <is>
          <t>GU-3476</t>
        </is>
      </c>
      <c r="C1225" s="2" t="n"/>
      <c r="D1225" s="2" t="inlineStr">
        <is>
          <t>ブロンディ クリスタル リング</t>
        </is>
      </c>
      <c r="E1225" s="2" t="inlineStr">
        <is>
          <t>797336 J1D50 8070</t>
        </is>
      </c>
      <c r="F1225" s="2" t="inlineStr">
        <is>
          <t>ローズゴールド</t>
        </is>
      </c>
      <c r="G1225" s="11" t="inlineStr">
        <is>
          <t>SOLD</t>
        </is>
      </c>
      <c r="H1225" s="22" t="inlineStr">
        <is>
          <t>SOLD</t>
        </is>
      </c>
      <c r="I1225" s="18" t="n">
        <v>45100</v>
      </c>
      <c r="J1225" s="23" t="inlineStr">
        <is>
          <t>NOTFOUND</t>
        </is>
      </c>
      <c r="K1225" s="20" t="n">
        <v>0</v>
      </c>
      <c r="L1225" s="4" t="inlineStr">
        <is>
          <t>https://www.gucci.com/jp/ja/pr/jewellery-watches/fashion-jewellery/fashion-rings/gucci-blondie-crystal-ring-p-797336J1D508070</t>
        </is>
      </c>
      <c r="M1225" s="5">
        <f t="array" ref="M1225">_xlfn.IFS(J1225="NOTFOUND",I1225,J1225&gt;=I1225,J1225)</f>
        <v/>
      </c>
    </row>
    <row r="1226" ht="18" customHeight="1" s="16">
      <c r="A1226" s="5" t="n">
        <v>1225</v>
      </c>
      <c r="B1226" s="2" t="inlineStr">
        <is>
          <t>GU-3477</t>
        </is>
      </c>
      <c r="C1226" s="2" t="n"/>
      <c r="D1226" s="2" t="inlineStr">
        <is>
          <t>ブロンディ クリスタル ブレスレット</t>
        </is>
      </c>
      <c r="E1226" s="2" t="inlineStr">
        <is>
          <t>797605 I9875 8623</t>
        </is>
      </c>
      <c r="F1226" s="2" t="inlineStr">
        <is>
          <t>イエローゴールド</t>
        </is>
      </c>
      <c r="G1226" s="10" t="inlineStr">
        <is>
          <t>OneSize</t>
        </is>
      </c>
      <c r="H1226" s="17" t="inlineStr">
        <is>
          <t>OneSize</t>
        </is>
      </c>
      <c r="I1226" s="18" t="n">
        <v>70400</v>
      </c>
      <c r="J1226" s="19" t="n">
        <v>73700</v>
      </c>
      <c r="K1226" s="20" t="n">
        <v>5</v>
      </c>
      <c r="L1226" s="4" t="inlineStr">
        <is>
          <t>https://www.gucci.com/jp/ja/pr/jewellery-watches/fashion-jewellery/fashion-bracelets/gucci-blondie-crystal-bracelet-p-797605I98758623</t>
        </is>
      </c>
      <c r="M1226" s="5">
        <f t="array" ref="M1226">_xlfn.IFS(J1226="NOTFOUND",I1226,J1226&gt;=I1226,J1226)</f>
        <v/>
      </c>
    </row>
    <row r="1227" ht="18" customHeight="1" s="16">
      <c r="A1227" s="5" t="n">
        <v>1226</v>
      </c>
      <c r="B1227" s="2" t="inlineStr">
        <is>
          <t>GU-3478</t>
        </is>
      </c>
      <c r="C1227" s="2" t="n"/>
      <c r="D1227" s="2" t="inlineStr">
        <is>
          <t>ブロンディ クリスタル パール ピアス</t>
        </is>
      </c>
      <c r="E1227" s="2" t="inlineStr">
        <is>
          <t>797593 I9875 8623</t>
        </is>
      </c>
      <c r="F1227" s="2" t="inlineStr">
        <is>
          <t xml:space="preserve">  -</t>
        </is>
      </c>
      <c r="G1227" s="10" t="inlineStr">
        <is>
          <t>OneSize</t>
        </is>
      </c>
      <c r="H1227" s="17" t="inlineStr">
        <is>
          <t>OneSize</t>
        </is>
      </c>
      <c r="I1227" s="18" t="n">
        <v>59400</v>
      </c>
      <c r="J1227" s="19" t="n">
        <v>61600</v>
      </c>
      <c r="K1227" s="20" t="n">
        <v>5</v>
      </c>
      <c r="L1227" s="4" t="inlineStr">
        <is>
          <t>https://www.gucci.com/jp/ja/pr/jewellery-watches/fashion-jewellery/fashion-earrings/gucci-blondie-crystal-pearl-earrings-p-797593I98758623</t>
        </is>
      </c>
      <c r="M1227" s="5">
        <f t="array" ref="M1227">_xlfn.IFS(J1227="NOTFOUND",I1227,J1227&gt;=I1227,J1227)</f>
        <v/>
      </c>
    </row>
    <row r="1228" ht="18" customHeight="1" s="16">
      <c r="A1228" s="5" t="n">
        <v>1227</v>
      </c>
      <c r="B1228" s="2" t="inlineStr">
        <is>
          <t>GU-3479</t>
        </is>
      </c>
      <c r="C1228" s="2" t="n"/>
      <c r="D1228" s="2" t="inlineStr">
        <is>
          <t>ブロンディ クリスタル ネックレス</t>
        </is>
      </c>
      <c r="E1228" s="2" t="inlineStr">
        <is>
          <t>797530 I9875 8623</t>
        </is>
      </c>
      <c r="F1228" s="2" t="inlineStr">
        <is>
          <t>イエローゴールド</t>
        </is>
      </c>
      <c r="G1228" s="10" t="inlineStr">
        <is>
          <t>OneSize</t>
        </is>
      </c>
      <c r="H1228" s="17" t="inlineStr">
        <is>
          <t>OneSize</t>
        </is>
      </c>
      <c r="I1228" s="18" t="n">
        <v>81400</v>
      </c>
      <c r="J1228" s="19" t="n">
        <v>86900</v>
      </c>
      <c r="K1228" s="20" t="n">
        <v>5</v>
      </c>
      <c r="L1228" s="4" t="inlineStr">
        <is>
          <t>https://www.gucci.com/jp/ja/pr/jewellery-watches/fashion-jewellery/fashion-necklaces/gucci-blondie-crystal-necklace-p-797530I98758623</t>
        </is>
      </c>
      <c r="M1228" s="5">
        <f t="array" ref="M1228">_xlfn.IFS(J1228="NOTFOUND",I1228,J1228&gt;=I1228,J1228)</f>
        <v/>
      </c>
    </row>
    <row r="1229" ht="18" customHeight="1" s="16">
      <c r="A1229" s="5" t="n">
        <v>1228</v>
      </c>
      <c r="B1229" s="2" t="inlineStr">
        <is>
          <t>GU-3480</t>
        </is>
      </c>
      <c r="C1229" s="2" t="n"/>
      <c r="D1229" s="2" t="inlineStr">
        <is>
          <t>ブロンディ レジン パール ピアス</t>
        </is>
      </c>
      <c r="E1229" s="2" t="inlineStr">
        <is>
          <t>797497 JCF27 8062</t>
        </is>
      </c>
      <c r="F1229" s="2" t="inlineStr">
        <is>
          <t>イエローゴールド</t>
        </is>
      </c>
      <c r="G1229" s="10" t="inlineStr">
        <is>
          <t>OneSize</t>
        </is>
      </c>
      <c r="H1229" s="17" t="inlineStr">
        <is>
          <t>OneSize</t>
        </is>
      </c>
      <c r="I1229" s="18" t="n">
        <v>59400</v>
      </c>
      <c r="J1229" s="19" t="n">
        <v>61600</v>
      </c>
      <c r="K1229" s="20" t="n">
        <v>5</v>
      </c>
      <c r="L1229" s="4" t="inlineStr">
        <is>
          <t>https://www.gucci.com/jp/ja/pr/jewellery-watches/fashion-jewellery/fashion-earrings/gucci-blondie-resin-pearl-earrings-p-797497JCF278062</t>
        </is>
      </c>
      <c r="M1229" s="5">
        <f t="array" ref="M1229">_xlfn.IFS(J1229="NOTFOUND",I1229,J1229&gt;=I1229,J1229)</f>
        <v/>
      </c>
    </row>
    <row r="1230" ht="18" customHeight="1" s="16">
      <c r="A1230" s="5" t="n">
        <v>1229</v>
      </c>
      <c r="B1230" s="2" t="inlineStr">
        <is>
          <t>GU-3481</t>
        </is>
      </c>
      <c r="C1230" s="2" t="n"/>
      <c r="D1230" s="2" t="inlineStr">
        <is>
          <t>ブロンディ レジン パール リング</t>
        </is>
      </c>
      <c r="E1230" s="2" t="inlineStr">
        <is>
          <t>797423 JCF27 8062</t>
        </is>
      </c>
      <c r="F1230" s="2" t="inlineStr">
        <is>
          <t>イエローゴールド</t>
        </is>
      </c>
      <c r="G1230" s="10" t="inlineStr">
        <is>
          <t>XS_S_M</t>
        </is>
      </c>
      <c r="H1230" s="17" t="inlineStr">
        <is>
          <t>XS_S_M</t>
        </is>
      </c>
      <c r="I1230" s="18" t="n">
        <v>45100</v>
      </c>
      <c r="J1230" s="19" t="n">
        <v>48400</v>
      </c>
      <c r="K1230" s="20" t="n">
        <v>5</v>
      </c>
      <c r="L1230" s="4" t="inlineStr">
        <is>
          <t>https://www.gucci.com/jp/ja/pr/jewellery-watches/fashion-jewellery/fashion-rings/gucci-blondie-resin-pearl-ring-p-797423JCF278062</t>
        </is>
      </c>
      <c r="M1230" s="5">
        <f t="array" ref="M1230">_xlfn.IFS(J1230="NOTFOUND",I1230,J1230&gt;=I1230,J1230)</f>
        <v/>
      </c>
    </row>
    <row r="1231" ht="18" customHeight="1" s="16">
      <c r="A1231" s="5" t="n">
        <v>1230</v>
      </c>
      <c r="B1231" s="2" t="inlineStr">
        <is>
          <t>GU-3482</t>
        </is>
      </c>
      <c r="C1231" s="2" t="n"/>
      <c r="D1231" s="2" t="inlineStr">
        <is>
          <t>ブロンディ クリスタル ピアス</t>
        </is>
      </c>
      <c r="E1231" s="2" t="inlineStr">
        <is>
          <t>797402 J1D50 8031</t>
        </is>
      </c>
      <c r="F1231" s="2" t="inlineStr">
        <is>
          <t xml:space="preserve">  -</t>
        </is>
      </c>
      <c r="G1231" s="11" t="inlineStr">
        <is>
          <t>SOLD</t>
        </is>
      </c>
      <c r="H1231" s="22" t="inlineStr">
        <is>
          <t>SOLD</t>
        </is>
      </c>
      <c r="I1231" s="18" t="n">
        <v>59400</v>
      </c>
      <c r="J1231" s="23" t="inlineStr">
        <is>
          <t>NOTFOUND</t>
        </is>
      </c>
      <c r="K1231" s="20" t="n">
        <v>0</v>
      </c>
      <c r="L1231" s="4" t="inlineStr">
        <is>
          <t>https://www.gucci.com/jp/ja/pr/jewellery-watches/fashion-jewellery/fashion-earrings/gucci-blondie-crystal-earrings-p-797402J1D508031</t>
        </is>
      </c>
      <c r="M1231" s="5">
        <f t="array" ref="M1231">_xlfn.IFS(J1231="NOTFOUND",I1231,J1231&gt;=I1231,J1231)</f>
        <v/>
      </c>
    </row>
    <row r="1232" ht="18" customHeight="1" s="16">
      <c r="A1232" s="5" t="n">
        <v>1231</v>
      </c>
      <c r="B1232" s="2" t="inlineStr">
        <is>
          <t>GU-3483</t>
        </is>
      </c>
      <c r="C1232" s="2" t="n"/>
      <c r="D1232" s="2" t="inlineStr">
        <is>
          <t>ブロンディ クリスタル リング</t>
        </is>
      </c>
      <c r="E1232" s="2" t="inlineStr">
        <is>
          <t>797336 J1D50 8031</t>
        </is>
      </c>
      <c r="F1232" s="2" t="inlineStr">
        <is>
          <t>イエローゴールド</t>
        </is>
      </c>
      <c r="G1232" s="10" t="inlineStr">
        <is>
          <t>XS_S_M</t>
        </is>
      </c>
      <c r="H1232" s="17" t="inlineStr">
        <is>
          <t>XS_S_M</t>
        </is>
      </c>
      <c r="I1232" s="18" t="n">
        <v>45100</v>
      </c>
      <c r="J1232" s="19" t="n">
        <v>48400</v>
      </c>
      <c r="K1232" s="20" t="n">
        <v>5</v>
      </c>
      <c r="L1232" s="4" t="inlineStr">
        <is>
          <t>https://www.gucci.com/jp/ja/pr/jewellery-watches/fashion-jewellery/fashion-rings/gucci-blondie-crystal-ring-p-797336J1D508031</t>
        </is>
      </c>
      <c r="M1232" s="5">
        <f t="array" ref="M1232">_xlfn.IFS(J1232="NOTFOUND",I1232,J1232&gt;=I1232,J1232)</f>
        <v/>
      </c>
    </row>
    <row r="1233" ht="18" customHeight="1" s="16">
      <c r="A1233" s="5" t="n">
        <v>1232</v>
      </c>
      <c r="B1233" s="2" t="inlineStr">
        <is>
          <t>GU-3484</t>
        </is>
      </c>
      <c r="C1233" s="2" t="n"/>
      <c r="D1233" s="2" t="inlineStr">
        <is>
          <t>スクリプト チェーン ブレスレット</t>
        </is>
      </c>
      <c r="E1233" s="2" t="inlineStr">
        <is>
          <t>796655 I4601 0926</t>
        </is>
      </c>
      <c r="F1233" s="2" t="inlineStr">
        <is>
          <t>パラジウム</t>
        </is>
      </c>
      <c r="G1233" s="11" t="inlineStr">
        <is>
          <t>SOLD</t>
        </is>
      </c>
      <c r="H1233" s="22" t="inlineStr">
        <is>
          <t>SOLD</t>
        </is>
      </c>
      <c r="I1233" s="18" t="n">
        <v>81400</v>
      </c>
      <c r="J1233" s="23" t="inlineStr">
        <is>
          <t>NOTFOUND</t>
        </is>
      </c>
      <c r="K1233" s="20" t="n">
        <v>0</v>
      </c>
      <c r="L1233" s="4" t="inlineStr">
        <is>
          <t>https://www.gucci.com/jp/ja/pr/jewellery-watches/fashion-jewellery/fashion-bracelets/chain-bracelet-with-gucci-script-p-796655I46010926</t>
        </is>
      </c>
      <c r="M1233" s="5">
        <f t="array" ref="M1233">_xlfn.IFS(J1233="NOTFOUND",I1233,J1233&gt;=I1233,J1233)</f>
        <v/>
      </c>
    </row>
    <row r="1234" ht="18" customHeight="1" s="16">
      <c r="A1234" s="5" t="n">
        <v>1233</v>
      </c>
      <c r="B1234" s="2" t="inlineStr">
        <is>
          <t>GU-3485</t>
        </is>
      </c>
      <c r="C1234" s="2" t="n"/>
      <c r="D1234" s="2" t="inlineStr">
        <is>
          <t>スクリプト チェーン ブレスレット</t>
        </is>
      </c>
      <c r="E1234" s="2" t="inlineStr">
        <is>
          <t>796655 I4600 8005</t>
        </is>
      </c>
      <c r="F1234" s="2" t="inlineStr">
        <is>
          <t>イエローゴールド</t>
        </is>
      </c>
      <c r="G1234" s="10" t="inlineStr">
        <is>
          <t>S_M_L</t>
        </is>
      </c>
      <c r="H1234" s="17" t="inlineStr">
        <is>
          <t>S_M_L</t>
        </is>
      </c>
      <c r="I1234" s="18" t="n">
        <v>81400</v>
      </c>
      <c r="J1234" s="19" t="n">
        <v>86900</v>
      </c>
      <c r="K1234" s="20" t="n">
        <v>5</v>
      </c>
      <c r="L1234" s="4" t="inlineStr">
        <is>
          <t>https://www.gucci.com/jp/ja/pr/jewellery-watches/fashion-jewellery/fashion-bracelets/chain-bracelet-with-gucci-script-p-796655I46008005</t>
        </is>
      </c>
      <c r="M1234" s="5">
        <f t="array" ref="M1234">_xlfn.IFS(J1234="NOTFOUND",I1234,J1234&gt;=I1234,J1234)</f>
        <v/>
      </c>
    </row>
    <row r="1235" ht="18" customHeight="1" s="16">
      <c r="A1235" s="5" t="n">
        <v>1234</v>
      </c>
      <c r="B1235" s="2" t="inlineStr">
        <is>
          <t>GU-3486</t>
        </is>
      </c>
      <c r="C1235" s="2" t="n"/>
      <c r="D1235" s="2" t="inlineStr">
        <is>
          <t>スクリプト チェーン ネックレス</t>
        </is>
      </c>
      <c r="E1235" s="2" t="inlineStr">
        <is>
          <t>796654 I4601 0926</t>
        </is>
      </c>
      <c r="F1235" s="2" t="inlineStr">
        <is>
          <t xml:space="preserve">  -</t>
        </is>
      </c>
      <c r="G1235" s="11" t="inlineStr">
        <is>
          <t>SOLD</t>
        </is>
      </c>
      <c r="H1235" s="22" t="inlineStr">
        <is>
          <t>SOLD</t>
        </is>
      </c>
      <c r="I1235" s="18" t="n">
        <v>115500</v>
      </c>
      <c r="J1235" s="23" t="inlineStr">
        <is>
          <t>NOTFOUND</t>
        </is>
      </c>
      <c r="K1235" s="20" t="n">
        <v>0</v>
      </c>
      <c r="L1235" s="4" t="inlineStr">
        <is>
          <t>https://www.gucci.com/jp/ja/pr/jewellery-watches/fashion-jewellery/fashion-necklaces/chain-necklace-with-gucci-script-p-796654I46010926</t>
        </is>
      </c>
      <c r="M1235" s="5">
        <f t="array" ref="M1235">_xlfn.IFS(J1235="NOTFOUND",I1235,J1235&gt;=I1235,J1235)</f>
        <v/>
      </c>
    </row>
    <row r="1236" ht="18" customHeight="1" s="16">
      <c r="A1236" s="5" t="n">
        <v>1235</v>
      </c>
      <c r="B1236" s="2" t="inlineStr">
        <is>
          <t>GU-3487</t>
        </is>
      </c>
      <c r="C1236" s="2" t="n"/>
      <c r="D1236" s="2" t="inlineStr">
        <is>
          <t>スクリプト チェーン ネックレス</t>
        </is>
      </c>
      <c r="E1236" s="2" t="inlineStr">
        <is>
          <t>796582 I4600 8005</t>
        </is>
      </c>
      <c r="F1236" s="2" t="inlineStr">
        <is>
          <t xml:space="preserve">  -</t>
        </is>
      </c>
      <c r="G1236" s="11" t="inlineStr">
        <is>
          <t>SOLD</t>
        </is>
      </c>
      <c r="H1236" s="22" t="inlineStr">
        <is>
          <t>SOLD</t>
        </is>
      </c>
      <c r="I1236" s="18" t="n">
        <v>82500</v>
      </c>
      <c r="J1236" s="23" t="inlineStr">
        <is>
          <t>NOTFOUND</t>
        </is>
      </c>
      <c r="K1236" s="20" t="n">
        <v>0</v>
      </c>
      <c r="L1236" s="4" t="inlineStr">
        <is>
          <t>https://www.gucci.com/jp/ja/pr/jewellery-watches/fashion-jewellery/fashion-necklaces/chain-necklace-with-gucci-script-p-796582I46008005</t>
        </is>
      </c>
      <c r="M1236" s="5">
        <f t="array" ref="M1236">_xlfn.IFS(J1236="NOTFOUND",I1236,J1236&gt;=I1236,J1236)</f>
        <v/>
      </c>
    </row>
    <row r="1237" ht="18" customHeight="1" s="16">
      <c r="A1237" s="5" t="n">
        <v>1236</v>
      </c>
      <c r="B1237" s="2" t="inlineStr">
        <is>
          <t>GU-3488</t>
        </is>
      </c>
      <c r="C1237" s="2" t="n"/>
      <c r="D1237" s="2" t="inlineStr">
        <is>
          <t>スクリプト タグ付き チェーン ネックレス</t>
        </is>
      </c>
      <c r="E1237" s="2" t="inlineStr">
        <is>
          <t>796574 I4600 8005</t>
        </is>
      </c>
      <c r="F1237" s="2" t="inlineStr">
        <is>
          <t xml:space="preserve">  -</t>
        </is>
      </c>
      <c r="G1237" s="10" t="inlineStr">
        <is>
          <t>OneSize</t>
        </is>
      </c>
      <c r="H1237" s="17" t="inlineStr">
        <is>
          <t>OneSize</t>
        </is>
      </c>
      <c r="I1237" s="18" t="n">
        <v>97900</v>
      </c>
      <c r="J1237" s="19" t="n">
        <v>103400</v>
      </c>
      <c r="K1237" s="20" t="n">
        <v>5</v>
      </c>
      <c r="L1237" s="4" t="inlineStr">
        <is>
          <t>https://www.gucci.com/jp/ja/pr/jewellery-watches/fashion-jewellery/fashion-necklaces/chain-necklace-with-gucci-script-tag-p-796574I46008005</t>
        </is>
      </c>
      <c r="M1237" s="5">
        <f t="array" ref="M1237">_xlfn.IFS(J1237="NOTFOUND",I1237,J1237&gt;=I1237,J1237)</f>
        <v/>
      </c>
    </row>
    <row r="1238" ht="18" customHeight="1" s="16">
      <c r="A1238" s="5" t="n">
        <v>1237</v>
      </c>
      <c r="B1238" s="2" t="inlineStr">
        <is>
          <t>GU-3489</t>
        </is>
      </c>
      <c r="C1238" s="2" t="n"/>
      <c r="D1238" s="2" t="inlineStr">
        <is>
          <t>スクリプト タグ付き チェーン ブレスレット</t>
        </is>
      </c>
      <c r="E1238" s="2" t="inlineStr">
        <is>
          <t>796566 I4600 8005</t>
        </is>
      </c>
      <c r="F1238" s="2" t="inlineStr">
        <is>
          <t xml:space="preserve">  -</t>
        </is>
      </c>
      <c r="G1238" s="10" t="inlineStr">
        <is>
          <t>S_M_L</t>
        </is>
      </c>
      <c r="H1238" s="17" t="inlineStr">
        <is>
          <t>S_M_L</t>
        </is>
      </c>
      <c r="I1238" s="18" t="n">
        <v>75900</v>
      </c>
      <c r="J1238" s="19" t="n">
        <v>82500</v>
      </c>
      <c r="K1238" s="20" t="n">
        <v>5</v>
      </c>
      <c r="L1238" s="4" t="inlineStr">
        <is>
          <t>https://www.gucci.com/jp/ja/pr/jewellery-watches/fashion-jewellery/fashion-bracelets/chain-bracelet-with-gucci-script-tag-p-796566I46008005</t>
        </is>
      </c>
      <c r="M1238" s="5">
        <f t="array" ref="M1238">_xlfn.IFS(J1238="NOTFOUND",I1238,J1238&gt;=I1238,J1238)</f>
        <v/>
      </c>
    </row>
    <row r="1239" ht="18" customHeight="1" s="16">
      <c r="A1239" s="5" t="n">
        <v>1238</v>
      </c>
      <c r="B1239" s="2" t="inlineStr">
        <is>
          <t>GU-3490</t>
        </is>
      </c>
      <c r="C1239" s="2" t="n"/>
      <c r="D1239" s="2" t="inlineStr">
        <is>
          <t>スクリプト チェーン ネックレス</t>
        </is>
      </c>
      <c r="E1239" s="2" t="inlineStr">
        <is>
          <t>796562 I4600 8005</t>
        </is>
      </c>
      <c r="F1239" s="2" t="inlineStr">
        <is>
          <t xml:space="preserve">  -</t>
        </is>
      </c>
      <c r="G1239" s="10" t="inlineStr">
        <is>
          <t>OneSize</t>
        </is>
      </c>
      <c r="H1239" s="17" t="inlineStr">
        <is>
          <t>OneSize</t>
        </is>
      </c>
      <c r="I1239" s="18" t="n">
        <v>103400</v>
      </c>
      <c r="J1239" s="19" t="n">
        <v>108900</v>
      </c>
      <c r="K1239" s="20" t="n">
        <v>5</v>
      </c>
      <c r="L1239" s="4" t="inlineStr">
        <is>
          <t>https://www.gucci.com/jp/ja/pr/jewellery-watches/fashion-jewellery/fashion-necklaces/chain-necklace-with-gucci-script-p-796562I46008005</t>
        </is>
      </c>
      <c r="M1239" s="5">
        <f t="array" ref="M1239">_xlfn.IFS(J1239="NOTFOUND",I1239,J1239&gt;=I1239,J1239)</f>
        <v/>
      </c>
    </row>
    <row r="1240" ht="18" customHeight="1" s="16">
      <c r="A1240" s="5" t="n">
        <v>1239</v>
      </c>
      <c r="B1240" s="2" t="inlineStr">
        <is>
          <t>GU-3491</t>
        </is>
      </c>
      <c r="C1240" s="2" t="n"/>
      <c r="D1240" s="2" t="inlineStr">
        <is>
          <t>インターロッキング フープピアス</t>
        </is>
      </c>
      <c r="E1240" s="2" t="inlineStr">
        <is>
          <t>702525 I4600 8005</t>
        </is>
      </c>
      <c r="F1240" s="2" t="inlineStr">
        <is>
          <t xml:space="preserve">  -</t>
        </is>
      </c>
      <c r="G1240" s="10" t="inlineStr">
        <is>
          <t>OneSize</t>
        </is>
      </c>
      <c r="H1240" s="17" t="inlineStr">
        <is>
          <t>OneSize</t>
        </is>
      </c>
      <c r="I1240" s="18" t="n">
        <v>70400</v>
      </c>
      <c r="J1240" s="19" t="n">
        <v>73700</v>
      </c>
      <c r="K1240" s="20" t="n">
        <v>5</v>
      </c>
      <c r="L1240" s="4" t="inlineStr">
        <is>
          <t>https://www.gucci.com/jp/ja/pr/jewellery-watches/fashion-jewellery/fashion-jewellery-for-men/gucci-interlocking-hoop-earrings-p-702525I46008005</t>
        </is>
      </c>
      <c r="M1240" s="5">
        <f t="array" ref="M1240">_xlfn.IFS(J1240="NOTFOUND",I1240,J1240&gt;=I1240,J1240)</f>
        <v/>
      </c>
    </row>
    <row r="1241" ht="18" customHeight="1" s="16">
      <c r="A1241" s="5" t="n">
        <v>1240</v>
      </c>
      <c r="B1241" s="2" t="inlineStr">
        <is>
          <t>GU-3492</t>
        </is>
      </c>
      <c r="C1241" s="2" t="n"/>
      <c r="D1241" s="2" t="inlineStr">
        <is>
          <t>インターロッキング ピアス</t>
        </is>
      </c>
      <c r="E1241" s="2" t="inlineStr">
        <is>
          <t>702524 I4600 8005</t>
        </is>
      </c>
      <c r="F1241" s="2" t="inlineStr">
        <is>
          <t xml:space="preserve">  -</t>
        </is>
      </c>
      <c r="G1241" s="11" t="inlineStr">
        <is>
          <t>SOLD</t>
        </is>
      </c>
      <c r="H1241" s="22" t="inlineStr">
        <is>
          <t>SOLD</t>
        </is>
      </c>
      <c r="I1241" s="18" t="n">
        <v>59400</v>
      </c>
      <c r="J1241" s="23" t="inlineStr">
        <is>
          <t>NOTFOUND</t>
        </is>
      </c>
      <c r="K1241" s="20" t="n">
        <v>0</v>
      </c>
      <c r="L1241" s="4" t="inlineStr">
        <is>
          <t>https://www.gucci.com/jp/ja/pr/jewellery-watches/fashion-jewellery/fashion-earrings/gucci-interlocking-earrings-p-702524I46008005</t>
        </is>
      </c>
      <c r="M1241" s="5">
        <f t="array" ref="M1241">_xlfn.IFS(J1241="NOTFOUND",I1241,J1241&gt;=I1241,J1241)</f>
        <v/>
      </c>
    </row>
    <row r="1242" ht="18" customHeight="1" s="16">
      <c r="A1242" s="5" t="n">
        <v>1241</v>
      </c>
      <c r="B1242" s="2" t="inlineStr">
        <is>
          <t>GU-3493</t>
        </is>
      </c>
      <c r="C1242" s="2" t="n"/>
      <c r="D1242" s="2" t="inlineStr">
        <is>
          <t>インターロッキング ゴルメットチェーン リング</t>
        </is>
      </c>
      <c r="E1242" s="2" t="inlineStr">
        <is>
          <t>702514 I4600 8005</t>
        </is>
      </c>
      <c r="F1242" s="2" t="inlineStr">
        <is>
          <t xml:space="preserve">  -</t>
        </is>
      </c>
      <c r="G1242" s="11" t="inlineStr">
        <is>
          <t>SOLD</t>
        </is>
      </c>
      <c r="H1242" s="22" t="inlineStr">
        <is>
          <t>SOLD</t>
        </is>
      </c>
      <c r="I1242" s="18" t="n">
        <v>45100</v>
      </c>
      <c r="J1242" s="23" t="inlineStr">
        <is>
          <t>NOTFOUND</t>
        </is>
      </c>
      <c r="K1242" s="20" t="n">
        <v>0</v>
      </c>
      <c r="L1242" s="4" t="inlineStr">
        <is>
          <t>https://www.gucci.com/jp/ja/pr/jewellery-watches/fashion-jewellery/fashion-jewellery-for-men/gucci-interlocking-gourmette-chain-ring-p-702514I46008005</t>
        </is>
      </c>
      <c r="M1242" s="5">
        <f t="array" ref="M1242">_xlfn.IFS(J1242="NOTFOUND",I1242,J1242&gt;=I1242,J1242)</f>
        <v/>
      </c>
    </row>
    <row r="1243" ht="18" customHeight="1" s="16">
      <c r="A1243" s="5" t="n">
        <v>1242</v>
      </c>
      <c r="B1243" s="2" t="inlineStr">
        <is>
          <t>GU-3494</t>
        </is>
      </c>
      <c r="C1243" s="2" t="n"/>
      <c r="D1243" s="2" t="inlineStr">
        <is>
          <t>ロゴ ネックレス</t>
        </is>
      </c>
      <c r="E1243" s="2" t="inlineStr">
        <is>
          <t>777037 I4620 8078</t>
        </is>
      </c>
      <c r="F1243" s="2" t="inlineStr">
        <is>
          <t xml:space="preserve">  -</t>
        </is>
      </c>
      <c r="G1243" s="10" t="inlineStr">
        <is>
          <t>OneSize</t>
        </is>
      </c>
      <c r="H1243" s="17" t="inlineStr">
        <is>
          <t>OneSize</t>
        </is>
      </c>
      <c r="I1243" s="18" t="n">
        <v>75900</v>
      </c>
      <c r="J1243" s="19" t="n">
        <v>79200</v>
      </c>
      <c r="K1243" s="20" t="n">
        <v>5</v>
      </c>
      <c r="L1243" s="4" t="inlineStr">
        <is>
          <t>https://www.gucci.com/jp/ja/pr/jewellery-watches/fashion-jewellery/fashion-necklaces/gucci-letter-necklace-p-777037I46208078</t>
        </is>
      </c>
      <c r="M1243" s="5">
        <f t="array" ref="M1243">_xlfn.IFS(J1243="NOTFOUND",I1243,J1243&gt;=I1243,J1243)</f>
        <v/>
      </c>
    </row>
    <row r="1244" ht="18" customHeight="1" s="16">
      <c r="A1244" s="5" t="n">
        <v>1243</v>
      </c>
      <c r="B1244" s="2" t="inlineStr">
        <is>
          <t>GU-3495</t>
        </is>
      </c>
      <c r="C1244" s="2" t="n"/>
      <c r="D1244" s="2" t="inlineStr">
        <is>
          <t>ロゴ ブレスレット</t>
        </is>
      </c>
      <c r="E1244" s="2" t="inlineStr">
        <is>
          <t>776777 I4620 8078</t>
        </is>
      </c>
      <c r="F1244" s="2" t="inlineStr">
        <is>
          <t xml:space="preserve">  -</t>
        </is>
      </c>
      <c r="G1244" s="10" t="inlineStr">
        <is>
          <t>OneSize</t>
        </is>
      </c>
      <c r="H1244" s="17" t="inlineStr">
        <is>
          <t>OneSize</t>
        </is>
      </c>
      <c r="I1244" s="18" t="n">
        <v>59400</v>
      </c>
      <c r="J1244" s="19" t="n">
        <v>61600</v>
      </c>
      <c r="K1244" s="20" t="n">
        <v>5</v>
      </c>
      <c r="L1244" s="4" t="inlineStr">
        <is>
          <t>https://www.gucci.com/jp/ja/pr/jewellery-watches/fashion-jewellery/fashion-bracelets/gucci-letter-bracelet-p-776777I46208078</t>
        </is>
      </c>
      <c r="M1244" s="5">
        <f t="array" ref="M1244">_xlfn.IFS(J1244="NOTFOUND",I1244,J1244&gt;=I1244,J1244)</f>
        <v/>
      </c>
    </row>
    <row r="1245" ht="18" customHeight="1" s="16">
      <c r="A1245" s="5" t="n">
        <v>1244</v>
      </c>
      <c r="B1245" s="2" t="inlineStr">
        <is>
          <t>GU-3496</t>
        </is>
      </c>
      <c r="C1245" s="2" t="n"/>
      <c r="D1245" s="2" t="inlineStr">
        <is>
          <t>ロゴ ブレスレット</t>
        </is>
      </c>
      <c r="E1245" s="2" t="inlineStr">
        <is>
          <t>774708 J1D50 8070</t>
        </is>
      </c>
      <c r="F1245" s="2" t="inlineStr">
        <is>
          <t xml:space="preserve">  -</t>
        </is>
      </c>
      <c r="G1245" s="10" t="inlineStr">
        <is>
          <t>OneSize</t>
        </is>
      </c>
      <c r="H1245" s="17" t="inlineStr">
        <is>
          <t>OneSize</t>
        </is>
      </c>
      <c r="I1245" s="18" t="n">
        <v>86900</v>
      </c>
      <c r="J1245" s="19" t="n">
        <v>90200</v>
      </c>
      <c r="K1245" s="20" t="n">
        <v>5</v>
      </c>
      <c r="L1245" s="4" t="inlineStr">
        <is>
          <t>https://www.gucci.com/jp/ja/pr/jewellery-watches/fashion-jewellery/fashion-bracelets/gucci-letter-bracelet-p-774708J1D508070</t>
        </is>
      </c>
      <c r="M1245" s="5">
        <f t="array" ref="M1245">_xlfn.IFS(J1245="NOTFOUND",I1245,J1245&gt;=I1245,J1245)</f>
        <v/>
      </c>
    </row>
    <row r="1246" ht="18" customHeight="1" s="16">
      <c r="A1246" s="5" t="n">
        <v>1245</v>
      </c>
      <c r="B1246" s="2" t="inlineStr">
        <is>
          <t>GU-3497</t>
        </is>
      </c>
      <c r="C1246" s="2" t="n"/>
      <c r="D1246" s="2" t="inlineStr">
        <is>
          <t>ロゴ ネックレス</t>
        </is>
      </c>
      <c r="E1246" s="2" t="inlineStr">
        <is>
          <t>774693 J1D50 8070</t>
        </is>
      </c>
      <c r="F1246" s="2" t="inlineStr">
        <is>
          <t xml:space="preserve">  -</t>
        </is>
      </c>
      <c r="G1246" s="10" t="inlineStr">
        <is>
          <t>OneSize</t>
        </is>
      </c>
      <c r="H1246" s="17" t="inlineStr">
        <is>
          <t>OneSize</t>
        </is>
      </c>
      <c r="I1246" s="18" t="n">
        <v>97900</v>
      </c>
      <c r="J1246" s="19" t="n">
        <v>103400</v>
      </c>
      <c r="K1246" s="20" t="n">
        <v>5</v>
      </c>
      <c r="L1246" s="4" t="inlineStr">
        <is>
          <t>https://www.gucci.com/jp/ja/pr/jewellery-watches/fashion-jewellery/fashion-necklaces/gucci-letter-necklace-p-774693J1D508070</t>
        </is>
      </c>
      <c r="M1246" s="5">
        <f t="array" ref="M1246">_xlfn.IFS(J1246="NOTFOUND",I1246,J1246&gt;=I1246,J1246)</f>
        <v/>
      </c>
    </row>
    <row r="1247" ht="18" customHeight="1" s="16">
      <c r="A1247" s="5" t="n">
        <v>1246</v>
      </c>
      <c r="B1247" s="2" t="inlineStr">
        <is>
          <t>GU-3498</t>
        </is>
      </c>
      <c r="C1247" s="2" t="n"/>
      <c r="D1247" s="2" t="inlineStr">
        <is>
          <t>ロゴ フープピアス</t>
        </is>
      </c>
      <c r="E1247" s="2" t="inlineStr">
        <is>
          <t>774690 J1D50 8070</t>
        </is>
      </c>
      <c r="F1247" s="2" t="inlineStr">
        <is>
          <t xml:space="preserve">  -</t>
        </is>
      </c>
      <c r="G1247" s="10" t="inlineStr">
        <is>
          <t>OneSize</t>
        </is>
      </c>
      <c r="H1247" s="17" t="inlineStr">
        <is>
          <t>OneSize</t>
        </is>
      </c>
      <c r="I1247" s="18" t="n">
        <v>95700</v>
      </c>
      <c r="J1247" s="19" t="n">
        <v>96800</v>
      </c>
      <c r="K1247" s="20" t="n">
        <v>5</v>
      </c>
      <c r="L1247" s="4" t="inlineStr">
        <is>
          <t>https://www.gucci.com/jp/ja/pr/jewellery-watches/fashion-jewellery/fashion-earrings/gucci-letter-hoop-earrings-p-774690J1D508070</t>
        </is>
      </c>
      <c r="M1247" s="5">
        <f t="array" ref="M1247">_xlfn.IFS(J1247="NOTFOUND",I1247,J1247&gt;=I1247,J1247)</f>
        <v/>
      </c>
    </row>
    <row r="1248" ht="18" customHeight="1" s="16">
      <c r="A1248" s="5" t="n">
        <v>1247</v>
      </c>
      <c r="B1248" s="2" t="inlineStr">
        <is>
          <t>GU-3499</t>
        </is>
      </c>
      <c r="C1248" s="2" t="n"/>
      <c r="D1248" s="2" t="inlineStr">
        <is>
          <t>ロゴ フープピアス</t>
        </is>
      </c>
      <c r="E1248" s="2" t="inlineStr">
        <is>
          <t>774627 I4600 8005</t>
        </is>
      </c>
      <c r="F1248" s="2" t="inlineStr">
        <is>
          <t xml:space="preserve">  -</t>
        </is>
      </c>
      <c r="G1248" s="10" t="inlineStr">
        <is>
          <t>OneSize</t>
        </is>
      </c>
      <c r="H1248" s="17" t="inlineStr">
        <is>
          <t>OneSize</t>
        </is>
      </c>
      <c r="I1248" s="18" t="n">
        <v>75900</v>
      </c>
      <c r="J1248" s="19" t="n">
        <v>82500</v>
      </c>
      <c r="K1248" s="20" t="n">
        <v>5</v>
      </c>
      <c r="L1248" s="4" t="inlineStr">
        <is>
          <t>https://www.gucci.com/jp/ja/pr/jewellery-watches/fashion-jewellery/fashion-earrings/gucci-letter-hoop-earrings-p-774627I46008005</t>
        </is>
      </c>
      <c r="M1248" s="5">
        <f t="array" ref="M1248">_xlfn.IFS(J1248="NOTFOUND",I1248,J1248&gt;=I1248,J1248)</f>
        <v/>
      </c>
    </row>
    <row r="1249" ht="18" customHeight="1" s="16">
      <c r="A1249" s="5" t="n">
        <v>1248</v>
      </c>
      <c r="B1249" s="2" t="inlineStr">
        <is>
          <t>GU-3500</t>
        </is>
      </c>
      <c r="C1249" s="2" t="n"/>
      <c r="D1249" s="2" t="inlineStr">
        <is>
          <t>ロゴ リング</t>
        </is>
      </c>
      <c r="E1249" s="2" t="inlineStr">
        <is>
          <t>773857 J1D50 8523</t>
        </is>
      </c>
      <c r="F1249" s="2" t="inlineStr">
        <is>
          <t xml:space="preserve">  -</t>
        </is>
      </c>
      <c r="G1249" s="10" t="inlineStr">
        <is>
          <t>S_M_L</t>
        </is>
      </c>
      <c r="H1249" s="17" t="inlineStr">
        <is>
          <t>S_M_L</t>
        </is>
      </c>
      <c r="I1249" s="18" t="n">
        <v>49500</v>
      </c>
      <c r="J1249" s="19" t="n">
        <v>53900</v>
      </c>
      <c r="K1249" s="20" t="n">
        <v>5</v>
      </c>
      <c r="L1249" s="4" t="inlineStr">
        <is>
          <t>https://www.gucci.com/jp/ja/pr/jewellery-watches/fashion-jewellery/fashion-rings/-gucci-letter-ring-p-773857J1D508523</t>
        </is>
      </c>
      <c r="M1249" s="5">
        <f t="array" ref="M1249">_xlfn.IFS(J1249="NOTFOUND",I1249,J1249&gt;=I1249,J1249)</f>
        <v/>
      </c>
    </row>
    <row r="1250" ht="18" customHeight="1" s="16">
      <c r="A1250" s="5" t="n">
        <v>1249</v>
      </c>
      <c r="B1250" s="2" t="inlineStr">
        <is>
          <t>GU-3501</t>
        </is>
      </c>
      <c r="C1250" s="2" t="n"/>
      <c r="D1250" s="2" t="inlineStr">
        <is>
          <t>ロゴ リング</t>
        </is>
      </c>
      <c r="E1250" s="2" t="inlineStr">
        <is>
          <t>773855 I4600 8005</t>
        </is>
      </c>
      <c r="F1250" s="2" t="inlineStr">
        <is>
          <t xml:space="preserve">  -</t>
        </is>
      </c>
      <c r="G1250" s="10" t="inlineStr">
        <is>
          <t>S_M_L</t>
        </is>
      </c>
      <c r="H1250" s="17" t="inlineStr">
        <is>
          <t>S_M_L</t>
        </is>
      </c>
      <c r="I1250" s="18" t="n">
        <v>45100</v>
      </c>
      <c r="J1250" s="19" t="n">
        <v>48400</v>
      </c>
      <c r="K1250" s="20" t="n">
        <v>5</v>
      </c>
      <c r="L1250" s="4" t="inlineStr">
        <is>
          <t>https://www.gucci.com/jp/ja/pr/jewellery-watches/fashion-jewellery/fashion-jewellery-for-men/-gucci-letter-ring-p-773855I46008005</t>
        </is>
      </c>
      <c r="M1250" s="5">
        <f t="array" ref="M1250">_xlfn.IFS(J1250="NOTFOUND",I1250,J1250&gt;=I1250,J1250)</f>
        <v/>
      </c>
    </row>
    <row r="1251" ht="18" customHeight="1" s="16">
      <c r="A1251" s="5" t="n">
        <v>1250</v>
      </c>
      <c r="B1251" s="2" t="inlineStr">
        <is>
          <t>GU-3502</t>
        </is>
      </c>
      <c r="C1251" s="2" t="n"/>
      <c r="D1251" s="2" t="inlineStr">
        <is>
          <t>レザー ブレスレット</t>
        </is>
      </c>
      <c r="E1251" s="2" t="inlineStr">
        <is>
          <t>684631 IAAA1 8078</t>
        </is>
      </c>
      <c r="F1251" s="2" t="inlineStr">
        <is>
          <t>ホワイトレザー</t>
        </is>
      </c>
      <c r="G1251" s="11" t="inlineStr">
        <is>
          <t>SOLD</t>
        </is>
      </c>
      <c r="H1251" s="22" t="inlineStr">
        <is>
          <t>SOLD</t>
        </is>
      </c>
      <c r="I1251" s="18" t="n">
        <v>68200</v>
      </c>
      <c r="J1251" s="23" t="inlineStr">
        <is>
          <t>NOTFOUND</t>
        </is>
      </c>
      <c r="K1251" s="20" t="n">
        <v>0</v>
      </c>
      <c r="L1251" s="4" t="inlineStr">
        <is>
          <t>https://www.gucci.com/jp/ja/pr/jewellery-watches/fashion-jewellery/fashion-bracelets/leather-gucci-bracelet-p-684631IAAA18078</t>
        </is>
      </c>
      <c r="M1251" s="5">
        <f t="array" ref="M1251">_xlfn.IFS(J1251="NOTFOUND",I1251,J1251&gt;=I1251,J1251)</f>
        <v/>
      </c>
    </row>
    <row r="1252" ht="18" customHeight="1" s="16">
      <c r="A1252" s="5" t="n">
        <v>1251</v>
      </c>
      <c r="B1252" s="2" t="inlineStr">
        <is>
          <t>GU-3503</t>
        </is>
      </c>
      <c r="C1252" s="2" t="n"/>
      <c r="D1252" s="2" t="inlineStr">
        <is>
          <t>レザー ブレスレット</t>
        </is>
      </c>
      <c r="E1252" s="2" t="inlineStr">
        <is>
          <t>684631 IAAA1 8029</t>
        </is>
      </c>
      <c r="F1252" s="2" t="inlineStr">
        <is>
          <t>ブラックレザー</t>
        </is>
      </c>
      <c r="G1252" s="11" t="inlineStr">
        <is>
          <t>SOLD</t>
        </is>
      </c>
      <c r="H1252" s="22" t="inlineStr">
        <is>
          <t>SOLD</t>
        </is>
      </c>
      <c r="I1252" s="18" t="n">
        <v>68200</v>
      </c>
      <c r="J1252" s="23" t="inlineStr">
        <is>
          <t>NOTFOUND</t>
        </is>
      </c>
      <c r="K1252" s="20" t="n">
        <v>0</v>
      </c>
      <c r="L1252" s="4" t="inlineStr">
        <is>
          <t>https://www.gucci.com/jp/ja/pr/jewellery-watches/fashion-jewellery/fashion-bracelets/leather-gucci-bracelet-p-684631IAAA18029</t>
        </is>
      </c>
      <c r="M1252" s="5">
        <f t="array" ref="M1252">_xlfn.IFS(J1252="NOTFOUND",I1252,J1252&gt;=I1252,J1252)</f>
        <v/>
      </c>
    </row>
    <row r="1253" ht="18" customHeight="1" s="16">
      <c r="A1253" s="5" t="n">
        <v>1252</v>
      </c>
      <c r="B1253" s="2" t="inlineStr">
        <is>
          <t>GU-3504</t>
        </is>
      </c>
      <c r="C1253" s="2" t="n"/>
      <c r="D1253" s="2" t="inlineStr">
        <is>
          <t>レザー ネックレス</t>
        </is>
      </c>
      <c r="E1253" s="2" t="inlineStr">
        <is>
          <t>684630 IAAA1 8029</t>
        </is>
      </c>
      <c r="F1253" s="2" t="inlineStr">
        <is>
          <t xml:space="preserve">  -</t>
        </is>
      </c>
      <c r="G1253" s="11" t="inlineStr">
        <is>
          <t>SOLD</t>
        </is>
      </c>
      <c r="H1253" s="22" t="inlineStr">
        <is>
          <t>SOLD</t>
        </is>
      </c>
      <c r="I1253" s="18" t="n">
        <v>70400</v>
      </c>
      <c r="J1253" s="23" t="inlineStr">
        <is>
          <t>NOTFOUND</t>
        </is>
      </c>
      <c r="K1253" s="20" t="n">
        <v>0</v>
      </c>
      <c r="L1253" s="4" t="inlineStr">
        <is>
          <t>https://www.gucci.com/jp/ja/pr/jewellery-watches/fashion-jewellery/fashion-necklaces/leather-gucci-necklace-p-684630IAAA18029</t>
        </is>
      </c>
      <c r="M1253" s="5">
        <f t="array" ref="M1253">_xlfn.IFS(J1253="NOTFOUND",I1253,J1253&gt;=I1253,J1253)</f>
        <v/>
      </c>
    </row>
    <row r="1254" ht="18" customHeight="1" s="16">
      <c r="A1254" s="5" t="n">
        <v>1253</v>
      </c>
      <c r="B1254" s="2" t="inlineStr">
        <is>
          <t>GU-3505</t>
        </is>
      </c>
      <c r="C1254" s="2" t="n"/>
      <c r="D1254" s="2" t="inlineStr">
        <is>
          <t>ブロンディ ペンダント ネックレス</t>
        </is>
      </c>
      <c r="E1254" s="2" t="inlineStr">
        <is>
          <t>774620 I9757 8495</t>
        </is>
      </c>
      <c r="F1254" s="2" t="inlineStr">
        <is>
          <t>イエローゴールド</t>
        </is>
      </c>
      <c r="G1254" s="11" t="inlineStr">
        <is>
          <t>SOLD</t>
        </is>
      </c>
      <c r="H1254" s="22" t="inlineStr">
        <is>
          <t>SOLD</t>
        </is>
      </c>
      <c r="I1254" s="18" t="n">
        <v>97900</v>
      </c>
      <c r="J1254" s="23" t="inlineStr">
        <is>
          <t>NOTFOUND</t>
        </is>
      </c>
      <c r="K1254" s="20" t="n">
        <v>0</v>
      </c>
      <c r="L1254" s="4" t="inlineStr">
        <is>
          <t>https://www.gucci.com/jp/ja/pr/jewellery-watches/fashion-jewellery/fashion-necklaces/gucci-blondie-pendant-necklace-p-774620I97578495</t>
        </is>
      </c>
      <c r="M1254" s="5">
        <f t="array" ref="M1254">_xlfn.IFS(J1254="NOTFOUND",I1254,J1254&gt;=I1254,J1254)</f>
        <v/>
      </c>
    </row>
    <row r="1255" ht="18" customHeight="1" s="16">
      <c r="A1255" s="5" t="n">
        <v>1254</v>
      </c>
      <c r="B1255" s="2" t="inlineStr">
        <is>
          <t>GU-3506</t>
        </is>
      </c>
      <c r="C1255" s="2" t="n"/>
      <c r="D1255" s="2" t="inlineStr">
        <is>
          <t>ブロンディ パール ドロップ ピアス</t>
        </is>
      </c>
      <c r="E1255" s="2" t="inlineStr">
        <is>
          <t>774612 I9757 8495</t>
        </is>
      </c>
      <c r="F1255" s="2" t="inlineStr">
        <is>
          <t>アイボリー、ゴールド</t>
        </is>
      </c>
      <c r="G1255" s="11" t="inlineStr">
        <is>
          <t>SOLD</t>
        </is>
      </c>
      <c r="H1255" s="22" t="inlineStr">
        <is>
          <t>SOLD</t>
        </is>
      </c>
      <c r="I1255" s="18" t="n">
        <v>68200</v>
      </c>
      <c r="J1255" s="23" t="inlineStr">
        <is>
          <t>NOTFOUND</t>
        </is>
      </c>
      <c r="K1255" s="20" t="n">
        <v>0</v>
      </c>
      <c r="L1255" s="4" t="inlineStr">
        <is>
          <t>https://www.gucci.com/jp/ja/pr/jewellery-watches/fashion-jewellery/fashion-earrings/gucci-blondie-pearl-drop-earrings-p-774612I97578495</t>
        </is>
      </c>
      <c r="M1255" s="5">
        <f t="array" ref="M1255">_xlfn.IFS(J1255="NOTFOUND",I1255,J1255&gt;=I1255,J1255)</f>
        <v/>
      </c>
    </row>
    <row r="1256" ht="18" customHeight="1" s="16">
      <c r="A1256" s="5" t="n">
        <v>1255</v>
      </c>
      <c r="B1256" s="2" t="inlineStr">
        <is>
          <t>GU-3507</t>
        </is>
      </c>
      <c r="C1256" s="2" t="n"/>
      <c r="D1256" s="2" t="inlineStr">
        <is>
          <t>ブロンディ リング</t>
        </is>
      </c>
      <c r="E1256" s="2" t="inlineStr">
        <is>
          <t>774558 J1630 8082</t>
        </is>
      </c>
      <c r="F1256" s="2" t="inlineStr">
        <is>
          <t xml:space="preserve">  -</t>
        </is>
      </c>
      <c r="G1256" s="11" t="inlineStr">
        <is>
          <t>SOLD</t>
        </is>
      </c>
      <c r="H1256" s="22" t="inlineStr">
        <is>
          <t>SOLD</t>
        </is>
      </c>
      <c r="I1256" s="18" t="n">
        <v>55000</v>
      </c>
      <c r="J1256" s="23" t="inlineStr">
        <is>
          <t>NOTFOUND</t>
        </is>
      </c>
      <c r="K1256" s="20" t="n">
        <v>0</v>
      </c>
      <c r="L1256" s="4" t="inlineStr">
        <is>
          <t>https://www.gucci.com/jp/ja/pr/jewellery-watches/fashion-jewellery/fashion-rings/gucci-blondie-enamel-ring-p-774558J16308082</t>
        </is>
      </c>
      <c r="M1256" s="5">
        <f t="array" ref="M1256">_xlfn.IFS(J1256="NOTFOUND",I1256,J1256&gt;=I1256,J1256)</f>
        <v/>
      </c>
    </row>
    <row r="1257" ht="18" customHeight="1" s="16">
      <c r="A1257" s="5" t="n">
        <v>1256</v>
      </c>
      <c r="B1257" s="2" t="inlineStr">
        <is>
          <t>GU-3508</t>
        </is>
      </c>
      <c r="C1257" s="2" t="n"/>
      <c r="D1257" s="2" t="inlineStr">
        <is>
          <t>クリスタル付き ダブルG キー リング</t>
        </is>
      </c>
      <c r="E1257" s="2" t="inlineStr">
        <is>
          <t>645625 J1D50 8062</t>
        </is>
      </c>
      <c r="F1257" s="2" t="inlineStr">
        <is>
          <t xml:space="preserve">  -</t>
        </is>
      </c>
      <c r="G1257" s="10" t="inlineStr">
        <is>
          <t>S_M_L</t>
        </is>
      </c>
      <c r="H1257" s="17" t="inlineStr">
        <is>
          <t>S_M_L</t>
        </is>
      </c>
      <c r="I1257" s="18" t="n">
        <v>82500</v>
      </c>
      <c r="J1257" s="19" t="n">
        <v>88000</v>
      </c>
      <c r="K1257" s="20" t="n">
        <v>5</v>
      </c>
      <c r="L1257" s="4" t="inlineStr">
        <is>
          <t>https://www.gucci.com/jp/ja/pr/jewellery-watches/fashion-jewellery/fashion-rings/double-g-key-ring-with-crystals-p-645625J1D508062</t>
        </is>
      </c>
      <c r="M1257" s="5">
        <f t="array" ref="M1257">_xlfn.IFS(J1257="NOTFOUND",I1257,J1257&gt;=I1257,J1257)</f>
        <v/>
      </c>
    </row>
    <row r="1258" ht="18" customHeight="1" s="16">
      <c r="A1258" s="5" t="n">
        <v>1257</v>
      </c>
      <c r="B1258" s="2" t="inlineStr">
        <is>
          <t>GU-3509</t>
        </is>
      </c>
      <c r="C1258" s="2" t="n"/>
      <c r="D1258" s="2" t="inlineStr">
        <is>
          <t>クリスタル付き ダブルG キー ブレスレット</t>
        </is>
      </c>
      <c r="E1258" s="2" t="inlineStr">
        <is>
          <t>645623 J1D50 8062</t>
        </is>
      </c>
      <c r="F1258" s="2" t="inlineStr">
        <is>
          <t xml:space="preserve">  -</t>
        </is>
      </c>
      <c r="G1258" s="11" t="inlineStr">
        <is>
          <t>SOLD</t>
        </is>
      </c>
      <c r="H1258" s="22" t="inlineStr">
        <is>
          <t>SOLD</t>
        </is>
      </c>
      <c r="I1258" s="18" t="n">
        <v>70400</v>
      </c>
      <c r="J1258" s="23" t="inlineStr">
        <is>
          <t>NOTFOUND</t>
        </is>
      </c>
      <c r="K1258" s="20" t="n">
        <v>0</v>
      </c>
      <c r="L1258" s="4" t="inlineStr">
        <is>
          <t>https://www.gucci.com/jp/ja/pr/jewellery-watches/fashion-jewellery/fashion-bracelets/double-g-key-bracelet-with-crystals-p-645623J1D508062</t>
        </is>
      </c>
      <c r="M1258" s="5">
        <f t="array" ref="M1258">_xlfn.IFS(J1258="NOTFOUND",I1258,J1258&gt;=I1258,J1258)</f>
        <v/>
      </c>
    </row>
    <row r="1259" ht="18" customHeight="1" s="16">
      <c r="A1259" s="5" t="n">
        <v>1258</v>
      </c>
      <c r="B1259" s="2" t="inlineStr">
        <is>
          <t>GU-3510</t>
        </is>
      </c>
      <c r="C1259" s="2" t="n"/>
      <c r="D1259" s="2" t="inlineStr">
        <is>
          <t>クリスタル ダブルG ピアス</t>
        </is>
      </c>
      <c r="E1259" s="2" t="inlineStr">
        <is>
          <t>753887 J1D50 8006</t>
        </is>
      </c>
      <c r="F1259" s="2" t="inlineStr">
        <is>
          <t xml:space="preserve">  -</t>
        </is>
      </c>
      <c r="G1259" s="11" t="inlineStr">
        <is>
          <t>SOLD</t>
        </is>
      </c>
      <c r="H1259" s="22" t="inlineStr">
        <is>
          <t>SOLD</t>
        </is>
      </c>
      <c r="I1259" s="18" t="n">
        <v>93500</v>
      </c>
      <c r="J1259" s="23" t="inlineStr">
        <is>
          <t>NOTFOUND</t>
        </is>
      </c>
      <c r="K1259" s="20" t="n">
        <v>0</v>
      </c>
      <c r="L1259" s="4" t="inlineStr">
        <is>
          <t>https://www.gucci.com/jp/ja/pr/jewellery-watches/fashion-jewellery/fashion-earrings/crystal-double-g-earrings-p-753887J1D508006</t>
        </is>
      </c>
      <c r="M1259" s="5">
        <f t="array" ref="M1259">_xlfn.IFS(J1259="NOTFOUND",I1259,J1259&gt;=I1259,J1259)</f>
        <v/>
      </c>
    </row>
    <row r="1260" ht="18" customHeight="1" s="16">
      <c r="A1260" s="5" t="n">
        <v>1259</v>
      </c>
      <c r="B1260" s="2" t="inlineStr">
        <is>
          <t>GU-3511</t>
        </is>
      </c>
      <c r="C1260" s="2" t="n"/>
      <c r="D1260" s="2" t="inlineStr">
        <is>
          <t>ダブルG クリスタル ピアス</t>
        </is>
      </c>
      <c r="E1260" s="2" t="inlineStr">
        <is>
          <t>753886 J1D50 8006</t>
        </is>
      </c>
      <c r="F1260" s="2" t="inlineStr">
        <is>
          <t>アンティークゴールド</t>
        </is>
      </c>
      <c r="G1260" s="11" t="inlineStr">
        <is>
          <t>SOLD</t>
        </is>
      </c>
      <c r="H1260" s="22" t="inlineStr">
        <is>
          <t>SOLD</t>
        </is>
      </c>
      <c r="I1260" s="18" t="n">
        <v>68200</v>
      </c>
      <c r="J1260" s="23" t="inlineStr">
        <is>
          <t>NOTFOUND</t>
        </is>
      </c>
      <c r="K1260" s="20" t="n">
        <v>0</v>
      </c>
      <c r="L1260" s="4" t="inlineStr">
        <is>
          <t>https://www.gucci.com/jp/ja/pr/jewellery-watches/fashion-jewellery/fashion-earrings/gg-marmont-crystal-earrings-p-753886J1D508006</t>
        </is>
      </c>
      <c r="M1260" s="5">
        <f t="array" ref="M1260">_xlfn.IFS(J1260="NOTFOUND",I1260,J1260&gt;=I1260,J1260)</f>
        <v/>
      </c>
    </row>
    <row r="1261" ht="18" customHeight="1" s="16">
      <c r="A1261" s="5" t="n">
        <v>1260</v>
      </c>
      <c r="B1261" s="2" t="inlineStr">
        <is>
          <t>GU-3512</t>
        </is>
      </c>
      <c r="C1261" s="2" t="n"/>
      <c r="D1261" s="2" t="inlineStr">
        <is>
          <t>クリスタル付き ダブルG ネックレス</t>
        </is>
      </c>
      <c r="E1261" s="2" t="inlineStr">
        <is>
          <t>753868 J1D50 8006</t>
        </is>
      </c>
      <c r="F1261" s="2" t="inlineStr">
        <is>
          <t xml:space="preserve">  -</t>
        </is>
      </c>
      <c r="G1261" s="10" t="inlineStr">
        <is>
          <t>OneSize</t>
        </is>
      </c>
      <c r="H1261" s="17" t="inlineStr">
        <is>
          <t>OneSize</t>
        </is>
      </c>
      <c r="I1261" s="18" t="n">
        <v>148500</v>
      </c>
      <c r="J1261" s="19" t="n">
        <v>154000</v>
      </c>
      <c r="K1261" s="20" t="n">
        <v>5</v>
      </c>
      <c r="L1261" s="4" t="inlineStr">
        <is>
          <t>https://www.gucci.com/jp/ja/pr/jewellery-watches/fashion-jewellery/fashion-necklaces/double-g-necklace-with-crystals-p-753868J1D508006</t>
        </is>
      </c>
      <c r="M1261" s="5">
        <f t="array" ref="M1261">_xlfn.IFS(J1261="NOTFOUND",I1261,J1261&gt;=I1261,J1261)</f>
        <v/>
      </c>
    </row>
    <row r="1262" ht="18" customHeight="1" s="16">
      <c r="A1262" s="5" t="n">
        <v>1261</v>
      </c>
      <c r="B1262" s="2" t="inlineStr">
        <is>
          <t>GU-3513</t>
        </is>
      </c>
      <c r="C1262" s="2" t="n"/>
      <c r="D1262" s="2" t="inlineStr">
        <is>
          <t>ダブルG クリスタル フラワー ブローチ</t>
        </is>
      </c>
      <c r="E1262" s="2" t="inlineStr">
        <is>
          <t>753794 J1D50 8006</t>
        </is>
      </c>
      <c r="F1262" s="2" t="inlineStr">
        <is>
          <t xml:space="preserve">  -</t>
        </is>
      </c>
      <c r="G1262" s="10" t="inlineStr">
        <is>
          <t>OneSize</t>
        </is>
      </c>
      <c r="H1262" s="17" t="inlineStr">
        <is>
          <t>OneSize</t>
        </is>
      </c>
      <c r="I1262" s="18" t="n">
        <v>93500</v>
      </c>
      <c r="J1262" s="19" t="n">
        <v>93500</v>
      </c>
      <c r="K1262" s="20" t="n">
        <v>5</v>
      </c>
      <c r="L1262" s="4" t="inlineStr">
        <is>
          <t>https://www.gucci.com/jp/ja/pr/jewellery-watches/fashion-jewellery/fashion-brooches/double-g-crystal-flower-brooch-p-753794J1D508006</t>
        </is>
      </c>
      <c r="M1262" s="5">
        <f t="array" ref="M1262">_xlfn.IFS(J1262="NOTFOUND",I1262,J1262&gt;=I1262,J1262)</f>
        <v/>
      </c>
    </row>
    <row r="1263" ht="18" customHeight="1" s="16">
      <c r="A1263" s="5" t="n">
        <v>1262</v>
      </c>
      <c r="B1263" s="2" t="inlineStr">
        <is>
          <t>GU-3514</t>
        </is>
      </c>
      <c r="C1263" s="2" t="n"/>
      <c r="D1263" s="2" t="inlineStr">
        <is>
          <t>ダブルG クリスタル フラワー リング</t>
        </is>
      </c>
      <c r="E1263" s="2" t="inlineStr">
        <is>
          <t>753792 J1D50 8006</t>
        </is>
      </c>
      <c r="F1263" s="2" t="inlineStr">
        <is>
          <t xml:space="preserve">  -</t>
        </is>
      </c>
      <c r="G1263" s="10" t="inlineStr">
        <is>
          <t>XS_S_M_L</t>
        </is>
      </c>
      <c r="H1263" s="17" t="inlineStr">
        <is>
          <t>XS_S_M_L</t>
        </is>
      </c>
      <c r="I1263" s="18" t="n">
        <v>81400</v>
      </c>
      <c r="J1263" s="19" t="n">
        <v>86900</v>
      </c>
      <c r="K1263" s="20" t="n">
        <v>5</v>
      </c>
      <c r="L1263" s="4" t="inlineStr">
        <is>
          <t>https://www.gucci.com/jp/ja/pr/jewellery-watches/fashion-jewellery/fashion-rings/double-g-crystal-flower-ring-p-753792J1D508006</t>
        </is>
      </c>
      <c r="M1263" s="5">
        <f t="array" ref="M1263">_xlfn.IFS(J1263="NOTFOUND",I1263,J1263&gt;=I1263,J1263)</f>
        <v/>
      </c>
    </row>
    <row r="1264" ht="18" customHeight="1" s="16">
      <c r="A1264" s="5" t="n">
        <v>1263</v>
      </c>
      <c r="B1264" s="2" t="inlineStr">
        <is>
          <t>GU-3515</t>
        </is>
      </c>
      <c r="C1264" s="2" t="n"/>
      <c r="D1264" s="2" t="inlineStr">
        <is>
          <t>クリスタル ダブルG リング</t>
        </is>
      </c>
      <c r="E1264" s="2" t="inlineStr">
        <is>
          <t>645686 J1D50 8062</t>
        </is>
      </c>
      <c r="F1264" s="2" t="inlineStr">
        <is>
          <t xml:space="preserve">  -</t>
        </is>
      </c>
      <c r="G1264" s="11" t="inlineStr">
        <is>
          <t>SOLD</t>
        </is>
      </c>
      <c r="H1264" s="22" t="inlineStr">
        <is>
          <t>SOLD</t>
        </is>
      </c>
      <c r="I1264" s="18" t="n">
        <v>59400</v>
      </c>
      <c r="J1264" s="23" t="inlineStr">
        <is>
          <t>NOTFOUND</t>
        </is>
      </c>
      <c r="K1264" s="20" t="n">
        <v>0</v>
      </c>
      <c r="L1264" s="4" t="inlineStr">
        <is>
          <t>https://www.gucci.com/jp/ja/pr/jewellery-watches/fashion-jewellery/fashion-rings/crystal-double-g-ring-p-645686J1D508062</t>
        </is>
      </c>
      <c r="M1264" s="5">
        <f t="array" ref="M1264">_xlfn.IFS(J1264="NOTFOUND",I1264,J1264&gt;=I1264,J1264)</f>
        <v/>
      </c>
    </row>
    <row r="1265" ht="18" customHeight="1" s="16">
      <c r="A1265" s="5" t="n">
        <v>1264</v>
      </c>
      <c r="B1265" s="2" t="inlineStr">
        <is>
          <t>GU-3516</t>
        </is>
      </c>
      <c r="C1265" s="2" t="n"/>
      <c r="D1265" s="2" t="inlineStr">
        <is>
          <t>クリスタル ダブルG ピアス</t>
        </is>
      </c>
      <c r="E1265" s="2" t="inlineStr">
        <is>
          <t>645683 J1D50 8062</t>
        </is>
      </c>
      <c r="F1265" s="2" t="inlineStr">
        <is>
          <t xml:space="preserve">  -</t>
        </is>
      </c>
      <c r="G1265" s="11" t="inlineStr">
        <is>
          <t>SOLD</t>
        </is>
      </c>
      <c r="H1265" s="22" t="inlineStr">
        <is>
          <t>SOLD</t>
        </is>
      </c>
      <c r="I1265" s="18" t="n">
        <v>55000</v>
      </c>
      <c r="J1265" s="23" t="inlineStr">
        <is>
          <t>NOTFOUND</t>
        </is>
      </c>
      <c r="K1265" s="20" t="n">
        <v>0</v>
      </c>
      <c r="L1265" s="4" t="inlineStr">
        <is>
          <t>https://www.gucci.com/jp/ja/pr/jewellery-watches/fashion-jewellery/fashion-earrings/crystal-double-g-earrings-p-645683J1D508062</t>
        </is>
      </c>
      <c r="M1265" s="5">
        <f t="array" ref="M1265">_xlfn.IFS(J1265="NOTFOUND",I1265,J1265&gt;=I1265,J1265)</f>
        <v/>
      </c>
    </row>
    <row r="1266" ht="18" customHeight="1" s="16">
      <c r="A1266" s="5" t="n">
        <v>1265</v>
      </c>
      <c r="B1266" s="2" t="inlineStr">
        <is>
          <t>GU-3517</t>
        </is>
      </c>
      <c r="C1266" s="2" t="n"/>
      <c r="D1266" s="2" t="inlineStr">
        <is>
          <t>クリスタル ダブルG ネックレス</t>
        </is>
      </c>
      <c r="E1266" s="2" t="inlineStr">
        <is>
          <t>645675 J1D50 8062</t>
        </is>
      </c>
      <c r="F1266" s="2" t="inlineStr">
        <is>
          <t xml:space="preserve">  -</t>
        </is>
      </c>
      <c r="G1266" s="11" t="inlineStr">
        <is>
          <t>SOLD</t>
        </is>
      </c>
      <c r="H1266" s="22" t="inlineStr">
        <is>
          <t>SOLD</t>
        </is>
      </c>
      <c r="I1266" s="18" t="n">
        <v>107800</v>
      </c>
      <c r="J1266" s="23" t="inlineStr">
        <is>
          <t>NOTFOUND</t>
        </is>
      </c>
      <c r="K1266" s="20" t="n">
        <v>0</v>
      </c>
      <c r="L1266" s="4" t="inlineStr">
        <is>
          <t>https://www.gucci.com/jp/ja/pr/jewellery-watches/fashion-jewellery/fashion-necklaces/crystal-double-g-necklace-p-645675J1D508062</t>
        </is>
      </c>
      <c r="M1266" s="5">
        <f t="array" ref="M1266">_xlfn.IFS(J1266="NOTFOUND",I1266,J1266&gt;=I1266,J1266)</f>
        <v/>
      </c>
    </row>
    <row r="1267" ht="18" customHeight="1" s="16">
      <c r="A1267" s="5" t="n">
        <v>1266</v>
      </c>
      <c r="B1267" s="2" t="inlineStr">
        <is>
          <t>GU-3518</t>
        </is>
      </c>
      <c r="C1267" s="2" t="n"/>
      <c r="D1267" s="2" t="inlineStr">
        <is>
          <t>ブラック クリスタル付き ダブルG ピアス</t>
        </is>
      </c>
      <c r="E1267" s="2" t="inlineStr">
        <is>
          <t>629659 I4769 8061</t>
        </is>
      </c>
      <c r="F1267" s="2" t="inlineStr">
        <is>
          <t>エイジングゴールド</t>
        </is>
      </c>
      <c r="G1267" s="11" t="inlineStr">
        <is>
          <t>SOLD</t>
        </is>
      </c>
      <c r="H1267" s="22" t="inlineStr">
        <is>
          <t>SOLD</t>
        </is>
      </c>
      <c r="I1267" s="18" t="n">
        <v>59400</v>
      </c>
      <c r="J1267" s="23" t="inlineStr">
        <is>
          <t>NOTFOUND</t>
        </is>
      </c>
      <c r="K1267" s="20" t="n">
        <v>0</v>
      </c>
      <c r="L1267" s="4" t="inlineStr">
        <is>
          <t>https://www.gucci.com/jp/ja/pr/jewellery-watches/fashion-jewellery/fashion-earrings/double-g-earrings-with-black-crystals-p-629659I47698061</t>
        </is>
      </c>
      <c r="M1267" s="5">
        <f t="array" ref="M1267">_xlfn.IFS(J1267="NOTFOUND",I1267,J1267&gt;=I1267,J1267)</f>
        <v/>
      </c>
    </row>
    <row r="1268" ht="18" customHeight="1" s="16">
      <c r="A1268" s="5" t="n">
        <v>1267</v>
      </c>
      <c r="B1268" s="2" t="inlineStr">
        <is>
          <t>GU-3519</t>
        </is>
      </c>
      <c r="C1268" s="2" t="n"/>
      <c r="D1268" s="2" t="inlineStr">
        <is>
          <t>クリスタル付き ダブルG ピアス</t>
        </is>
      </c>
      <c r="E1268" s="2" t="inlineStr">
        <is>
          <t>629659 J1D50 8066</t>
        </is>
      </c>
      <c r="F1268" s="2" t="inlineStr">
        <is>
          <t>エイジングゴールド</t>
        </is>
      </c>
      <c r="G1268" s="11" t="inlineStr">
        <is>
          <t>SOLD</t>
        </is>
      </c>
      <c r="H1268" s="22" t="inlineStr">
        <is>
          <t>SOLD</t>
        </is>
      </c>
      <c r="I1268" s="18" t="n">
        <v>59400</v>
      </c>
      <c r="J1268" s="23" t="inlineStr">
        <is>
          <t>NOTFOUND</t>
        </is>
      </c>
      <c r="K1268" s="20" t="n">
        <v>0</v>
      </c>
      <c r="L1268" s="4" t="inlineStr">
        <is>
          <t>https://www.gucci.com/jp/ja/pr/jewellery-watches/fashion-jewellery/fashion-earrings/double-g-earrings-with-crystals-p-629659J1D508066</t>
        </is>
      </c>
      <c r="M1268" s="5">
        <f t="array" ref="M1268">_xlfn.IFS(J1268="NOTFOUND",I1268,J1268&gt;=I1268,J1268)</f>
        <v/>
      </c>
    </row>
    <row r="1269" ht="18" customHeight="1" s="16">
      <c r="A1269" s="5" t="n">
        <v>1268</v>
      </c>
      <c r="B1269" s="2" t="inlineStr">
        <is>
          <t>GU-3520</t>
        </is>
      </c>
      <c r="C1269" s="2" t="n"/>
      <c r="D1269" s="2" t="inlineStr">
        <is>
          <t>クリスタル付き メタル ダブルG ブローチ</t>
        </is>
      </c>
      <c r="E1269" s="2" t="inlineStr">
        <is>
          <t>506171 J1D50 8062</t>
        </is>
      </c>
      <c r="F1269" s="2" t="inlineStr">
        <is>
          <t xml:space="preserve">  -</t>
        </is>
      </c>
      <c r="G1269" s="10" t="inlineStr">
        <is>
          <t>OneSize</t>
        </is>
      </c>
      <c r="H1269" s="17" t="inlineStr">
        <is>
          <t>OneSize</t>
        </is>
      </c>
      <c r="I1269" s="18" t="n">
        <v>59400</v>
      </c>
      <c r="J1269" s="19" t="n">
        <v>61600</v>
      </c>
      <c r="K1269" s="20" t="n">
        <v>5</v>
      </c>
      <c r="L1269" s="4" t="inlineStr">
        <is>
          <t>https://www.gucci.com/jp/ja/pr/jewellery-watches/fashion-jewellery/fashion-brooches/metal-double-g-brooch-with-crystals-p-506171J1D508062</t>
        </is>
      </c>
      <c r="M1269" s="5">
        <f t="array" ref="M1269">_xlfn.IFS(J1269="NOTFOUND",I1269,J1269&gt;=I1269,J1269)</f>
        <v/>
      </c>
    </row>
    <row r="1270" ht="18" customHeight="1" s="16">
      <c r="A1270" s="5" t="n">
        <v>1269</v>
      </c>
      <c r="B1270" s="2" t="inlineStr">
        <is>
          <t>GU-3521</t>
        </is>
      </c>
      <c r="C1270" s="2" t="n"/>
      <c r="D1270" s="2" t="inlineStr">
        <is>
          <t>クリスタル付き GUCCI ヘアクリップ</t>
        </is>
      </c>
      <c r="E1270" s="2" t="inlineStr">
        <is>
          <t>796977 I9875 8491</t>
        </is>
      </c>
      <c r="F1270" s="2" t="inlineStr">
        <is>
          <t xml:space="preserve">  -</t>
        </is>
      </c>
      <c r="G1270" s="10" t="inlineStr">
        <is>
          <t>OneSize</t>
        </is>
      </c>
      <c r="H1270" s="17" t="inlineStr">
        <is>
          <t>OneSize</t>
        </is>
      </c>
      <c r="I1270" s="18" t="n">
        <v>48400</v>
      </c>
      <c r="J1270" s="19" t="n">
        <v>48400</v>
      </c>
      <c r="K1270" s="20" t="n">
        <v>5</v>
      </c>
      <c r="L1270" s="4" t="inlineStr">
        <is>
          <t>https://www.gucci.com/jp/ja/pr/jewellery-watches/fashion-jewellery/fashion-hair-accessories/gucci-hair-slide-with-crystals-p-796977I98758491</t>
        </is>
      </c>
      <c r="M1270" s="5">
        <f t="array" ref="M1270">_xlfn.IFS(J1270="NOTFOUND",I1270,J1270&gt;=I1270,J1270)</f>
        <v/>
      </c>
    </row>
    <row r="1271" ht="18" customHeight="1" s="16">
      <c r="A1271" s="5" t="n">
        <v>1270</v>
      </c>
      <c r="B1271" s="2" t="inlineStr">
        <is>
          <t>GU-3522</t>
        </is>
      </c>
      <c r="C1271" s="2" t="n"/>
      <c r="D1271" s="2" t="inlineStr">
        <is>
          <t>クリスタル付き GUCCIヘアバンド</t>
        </is>
      </c>
      <c r="E1271" s="2" t="inlineStr">
        <is>
          <t>796916 I9458 8521</t>
        </is>
      </c>
      <c r="F1271" s="2" t="inlineStr">
        <is>
          <t xml:space="preserve">  -</t>
        </is>
      </c>
      <c r="G1271" s="11" t="inlineStr">
        <is>
          <t>SOLD</t>
        </is>
      </c>
      <c r="H1271" s="22" t="inlineStr">
        <is>
          <t>SOLD</t>
        </is>
      </c>
      <c r="I1271" s="18" t="n">
        <v>64900</v>
      </c>
      <c r="J1271" s="23" t="inlineStr">
        <is>
          <t>NOTFOUND</t>
        </is>
      </c>
      <c r="K1271" s="20" t="n">
        <v>0</v>
      </c>
      <c r="L1271" s="4" t="inlineStr">
        <is>
          <t>https://www.gucci.com/jp/ja/pr/jewellery-watches/fashion-jewellery/fashion-hair-accessories/gucci-hairband-with-crystals-p-796916I94588521</t>
        </is>
      </c>
      <c r="M1271" s="5">
        <f t="array" ref="M1271">_xlfn.IFS(J1271="NOTFOUND",I1271,J1271&gt;=I1271,J1271)</f>
        <v/>
      </c>
    </row>
    <row r="1272" ht="18" customHeight="1" s="16">
      <c r="A1272" s="5" t="n">
        <v>1271</v>
      </c>
      <c r="B1272" s="2" t="inlineStr">
        <is>
          <t>GU-3523</t>
        </is>
      </c>
      <c r="C1272" s="2" t="n"/>
      <c r="D1272" s="2" t="inlineStr">
        <is>
          <t>GG クリスタル ヘアバンド</t>
        </is>
      </c>
      <c r="E1272" s="2" t="inlineStr">
        <is>
          <t>774109 I9458 8519</t>
        </is>
      </c>
      <c r="F1272" s="2" t="inlineStr">
        <is>
          <t xml:space="preserve">  -</t>
        </is>
      </c>
      <c r="G1272" s="11" t="inlineStr">
        <is>
          <t>SOLD</t>
        </is>
      </c>
      <c r="H1272" s="22" t="inlineStr">
        <is>
          <t>SOLD</t>
        </is>
      </c>
      <c r="I1272" s="18" t="n">
        <v>70400</v>
      </c>
      <c r="J1272" s="23" t="inlineStr">
        <is>
          <t>NOTFOUND</t>
        </is>
      </c>
      <c r="K1272" s="20" t="n">
        <v>0</v>
      </c>
      <c r="L1272" s="4" t="inlineStr">
        <is>
          <t>https://www.gucci.com/jp/ja/pr/jewellery-watches/fashion-jewellery/fashion-hair-accessories/gg-crystals-hairband-p-774109I94588519</t>
        </is>
      </c>
      <c r="M1272" s="5">
        <f t="array" ref="M1272">_xlfn.IFS(J1272="NOTFOUND",I1272,J1272&gt;=I1272,J1272)</f>
        <v/>
      </c>
    </row>
    <row r="1273" ht="18" customHeight="1" s="16">
      <c r="A1273" s="5" t="n">
        <v>1272</v>
      </c>
      <c r="B1273" s="2" t="inlineStr">
        <is>
          <t>GU-3524</t>
        </is>
      </c>
      <c r="C1273" s="2" t="n"/>
      <c r="D1273" s="2" t="inlineStr">
        <is>
          <t>クリスタル付き GUCCI ヘアクリップ</t>
        </is>
      </c>
      <c r="E1273" s="2" t="inlineStr">
        <is>
          <t>741950 JAAE0 8802</t>
        </is>
      </c>
      <c r="F1273" s="2" t="inlineStr">
        <is>
          <t>ブラックレジン</t>
        </is>
      </c>
      <c r="G1273" s="11" t="inlineStr">
        <is>
          <t>SOLD</t>
        </is>
      </c>
      <c r="H1273" s="22" t="inlineStr">
        <is>
          <t>SOLD</t>
        </is>
      </c>
      <c r="I1273" s="18" t="n">
        <v>81400</v>
      </c>
      <c r="J1273" s="23" t="inlineStr">
        <is>
          <t>NOTFOUND</t>
        </is>
      </c>
      <c r="K1273" s="20" t="n">
        <v>0</v>
      </c>
      <c r="L1273" s="4" t="inlineStr">
        <is>
          <t>https://www.gucci.com/jp/ja/pr/jewellery-watches/fashion-jewellery/fashion-hair-accessories/gucci-hair-clip-with-crystals-p-741950JAAE08802</t>
        </is>
      </c>
      <c r="M1273" s="5">
        <f t="array" ref="M1273">_xlfn.IFS(J1273="NOTFOUND",I1273,J1273&gt;=I1273,J1273)</f>
        <v/>
      </c>
    </row>
    <row r="1274" ht="18" customHeight="1" s="16">
      <c r="A1274" s="5" t="n">
        <v>1273</v>
      </c>
      <c r="B1274" s="2" t="inlineStr">
        <is>
          <t>GU-3525</t>
        </is>
      </c>
      <c r="C1274" s="2" t="n"/>
      <c r="D1274" s="2" t="inlineStr">
        <is>
          <t>クリスタル付き GUCCI ヘアクリップ</t>
        </is>
      </c>
      <c r="E1274" s="2" t="inlineStr">
        <is>
          <t>741950 JAAE0 8521</t>
        </is>
      </c>
      <c r="F1274" s="2" t="inlineStr">
        <is>
          <t>トータスシェル レジン</t>
        </is>
      </c>
      <c r="G1274" s="11" t="inlineStr">
        <is>
          <t>SOLD</t>
        </is>
      </c>
      <c r="H1274" s="22" t="inlineStr">
        <is>
          <t>SOLD</t>
        </is>
      </c>
      <c r="I1274" s="18" t="n">
        <v>81400</v>
      </c>
      <c r="J1274" s="23" t="inlineStr">
        <is>
          <t>NOTFOUND</t>
        </is>
      </c>
      <c r="K1274" s="20" t="n">
        <v>0</v>
      </c>
      <c r="L1274" s="4" t="inlineStr">
        <is>
          <t>https://www.gucci.com/jp/ja/pr/jewellery-watches/fashion-jewellery/fashion-hair-accessories/gucci-hair-clip-with-crystals-p-741950JAAE08521</t>
        </is>
      </c>
      <c r="M1274" s="5">
        <f t="array" ref="M1274">_xlfn.IFS(J1274="NOTFOUND",I1274,J1274&gt;=I1274,J1274)</f>
        <v/>
      </c>
    </row>
    <row r="1275" ht="18" customHeight="1" s="16">
      <c r="A1275" s="5" t="n">
        <v>1274</v>
      </c>
      <c r="B1275" s="2" t="inlineStr">
        <is>
          <t>GU-3526</t>
        </is>
      </c>
      <c r="C1275" s="2" t="n"/>
      <c r="D1275" s="2" t="inlineStr">
        <is>
          <t>クリスタル インターロッキングG ヘアバンド</t>
        </is>
      </c>
      <c r="E1275" s="2" t="inlineStr">
        <is>
          <t>628716 I12GO 8520</t>
        </is>
      </c>
      <c r="F1275" s="2" t="inlineStr">
        <is>
          <t xml:space="preserve">  -</t>
        </is>
      </c>
      <c r="G1275" s="11" t="inlineStr">
        <is>
          <t>SOLD</t>
        </is>
      </c>
      <c r="H1275" s="22" t="inlineStr">
        <is>
          <t>SOLD</t>
        </is>
      </c>
      <c r="I1275" s="18" t="n">
        <v>64900</v>
      </c>
      <c r="J1275" s="23" t="inlineStr">
        <is>
          <t>NOTFOUND</t>
        </is>
      </c>
      <c r="K1275" s="20" t="n">
        <v>0</v>
      </c>
      <c r="L1275" s="4" t="inlineStr">
        <is>
          <t>https://www.gucci.com/jp/ja/pr/jewellery-watches/fashion-jewellery/fashion-hair-accessories/crystal-interlocking-g-headband-p-628716I12GO8520</t>
        </is>
      </c>
      <c r="M1275" s="5">
        <f t="array" ref="M1275">_xlfn.IFS(J1275="NOTFOUND",I1275,J1275&gt;=I1275,J1275)</f>
        <v/>
      </c>
    </row>
    <row r="1276" ht="18" customHeight="1" s="16">
      <c r="A1276" s="5" t="n">
        <v>1275</v>
      </c>
      <c r="B1276" s="2" t="inlineStr">
        <is>
          <t>GU-3527</t>
        </is>
      </c>
      <c r="C1276" s="2" t="n"/>
      <c r="D1276" s="2" t="inlineStr">
        <is>
          <t>クリスタル シングル ヘアクリップ</t>
        </is>
      </c>
      <c r="E1276" s="2" t="inlineStr">
        <is>
          <t>513986 I4772 8519</t>
        </is>
      </c>
      <c r="F1276" s="2" t="inlineStr">
        <is>
          <t xml:space="preserve">  -</t>
        </is>
      </c>
      <c r="G1276" s="11" t="inlineStr">
        <is>
          <t>SOLD</t>
        </is>
      </c>
      <c r="H1276" s="22" t="inlineStr">
        <is>
          <t>SOLD</t>
        </is>
      </c>
      <c r="I1276" s="18" t="n">
        <v>64900</v>
      </c>
      <c r="J1276" s="23" t="inlineStr">
        <is>
          <t>NOTFOUND</t>
        </is>
      </c>
      <c r="K1276" s="20" t="n">
        <v>0</v>
      </c>
      <c r="L1276" s="4" t="inlineStr">
        <is>
          <t>https://www.gucci.com/jp/ja/pr/jewellery-watches/fashion-jewellery/fashion-hair-accessories/crystal-gucci-single-hair-clip-p-513986I47728519</t>
        </is>
      </c>
      <c r="M1276" s="5">
        <f t="array" ref="M1276">_xlfn.IFS(J1276="NOTFOUND",I1276,J1276&gt;=I1276,J1276)</f>
        <v/>
      </c>
    </row>
    <row r="1277" ht="18" customHeight="1" s="16">
      <c r="A1277" s="5" t="n">
        <v>1276</v>
      </c>
      <c r="B1277" s="2" t="inlineStr">
        <is>
          <t>GU-3528</t>
        </is>
      </c>
      <c r="C1277" s="2" t="n"/>
      <c r="D1277" s="2" t="inlineStr">
        <is>
          <t>クリスタル シングル ヘアバレッタ</t>
        </is>
      </c>
      <c r="E1277" s="2" t="inlineStr">
        <is>
          <t>513120 I4771 8518</t>
        </is>
      </c>
      <c r="F1277" s="2" t="inlineStr">
        <is>
          <t xml:space="preserve">  -</t>
        </is>
      </c>
      <c r="G1277" s="10" t="inlineStr">
        <is>
          <t>OneSize</t>
        </is>
      </c>
      <c r="H1277" s="17" t="inlineStr">
        <is>
          <t>OneSize</t>
        </is>
      </c>
      <c r="I1277" s="18" t="n">
        <v>64900</v>
      </c>
      <c r="J1277" s="19" t="n">
        <v>64900</v>
      </c>
      <c r="K1277" s="20" t="n">
        <v>5</v>
      </c>
      <c r="L1277" s="4" t="inlineStr">
        <is>
          <t>https://www.gucci.com/jp/ja/pr/jewellery-watches/fashion-jewellery/fashion-hair-accessories/crystal-gucci-single-hair-clip-p-513120I47718518</t>
        </is>
      </c>
      <c r="M1277" s="5">
        <f t="array" ref="M1277">_xlfn.IFS(J1277="NOTFOUND",I1277,J1277&gt;=I1277,J1277)</f>
        <v/>
      </c>
    </row>
    <row r="1278" ht="18" customHeight="1" s="16">
      <c r="A1278" s="5" t="n">
        <v>1277</v>
      </c>
      <c r="B1278" s="2" t="inlineStr">
        <is>
          <t>GU-3529</t>
        </is>
      </c>
      <c r="C1278" s="2" t="n"/>
      <c r="D1278" s="2" t="inlineStr">
        <is>
          <t>インターロッキング ネックレス</t>
        </is>
      </c>
      <c r="E1278" s="2" t="inlineStr">
        <is>
          <t>675766 I4600 8005</t>
        </is>
      </c>
      <c r="F1278" s="2" t="inlineStr">
        <is>
          <t xml:space="preserve">  -</t>
        </is>
      </c>
      <c r="G1278" s="10" t="inlineStr">
        <is>
          <t>OneSize</t>
        </is>
      </c>
      <c r="H1278" s="17" t="inlineStr">
        <is>
          <t>OneSize</t>
        </is>
      </c>
      <c r="I1278" s="18" t="n">
        <v>126500</v>
      </c>
      <c r="J1278" s="19" t="n">
        <v>132000</v>
      </c>
      <c r="K1278" s="20" t="n">
        <v>5</v>
      </c>
      <c r="L1278" s="4" t="inlineStr">
        <is>
          <t>https://www.gucci.com/jp/ja/pr/jewellery-watches/fashion-jewellery/fashion-jewellery-for-men/gucci-interlocking-necklace-p-675766I46008005</t>
        </is>
      </c>
      <c r="M1278" s="5">
        <f t="array" ref="M1278">_xlfn.IFS(J1278="NOTFOUND",I1278,J1278&gt;=I1278,J1278)</f>
        <v/>
      </c>
    </row>
    <row r="1279" ht="18" customHeight="1" s="16">
      <c r="A1279" s="5" t="n">
        <v>1278</v>
      </c>
      <c r="B1279" s="2" t="inlineStr">
        <is>
          <t>GU-3530</t>
        </is>
      </c>
      <c r="C1279" s="2" t="n"/>
      <c r="D1279" s="2" t="inlineStr">
        <is>
          <t>インターロッキング ブレスレット</t>
        </is>
      </c>
      <c r="E1279" s="2" t="inlineStr">
        <is>
          <t>675758 I4600 8005</t>
        </is>
      </c>
      <c r="F1279" s="2" t="inlineStr">
        <is>
          <t xml:space="preserve">  -</t>
        </is>
      </c>
      <c r="G1279" s="10" t="inlineStr">
        <is>
          <t>S_L</t>
        </is>
      </c>
      <c r="H1279" s="17" t="inlineStr">
        <is>
          <t>S_L</t>
        </is>
      </c>
      <c r="I1279" s="18" t="n">
        <v>107800</v>
      </c>
      <c r="J1279" s="19" t="n">
        <v>115500</v>
      </c>
      <c r="K1279" s="20" t="n">
        <v>5</v>
      </c>
      <c r="L1279" s="4" t="inlineStr">
        <is>
          <t>https://www.gucci.com/jp/ja/pr/jewellery-watches/fashion-jewellery/fashion-jewellery-for-men/gucci-interlocking-bracelet-p-675758I46008005</t>
        </is>
      </c>
      <c r="M1279" s="5">
        <f t="array" ref="M1279">_xlfn.IFS(J1279="NOTFOUND",I1279,J1279&gt;=I1279,J1279)</f>
        <v/>
      </c>
    </row>
    <row r="1280" ht="18" customHeight="1" s="16">
      <c r="A1280" s="5" t="n">
        <v>1279</v>
      </c>
      <c r="B1280" s="2" t="inlineStr">
        <is>
          <t>GU-3531</t>
        </is>
      </c>
      <c r="C1280" s="2" t="n"/>
      <c r="D1280" s="2" t="inlineStr">
        <is>
          <t>ウェブ ストライプ付き GG ミディアム バックパック</t>
        </is>
      </c>
      <c r="E1280" s="2" t="inlineStr">
        <is>
          <t>824624 FAEHZ 9795</t>
        </is>
      </c>
      <c r="F1280" s="2" t="inlineStr">
        <is>
          <t>ベージュ＆ダークブラウン キャンバス</t>
        </is>
      </c>
      <c r="G1280" s="10" t="inlineStr">
        <is>
          <t>OneSize</t>
        </is>
      </c>
      <c r="H1280" s="17" t="inlineStr">
        <is>
          <t>OneSize</t>
        </is>
      </c>
      <c r="I1280" s="18" t="n">
        <v>385000</v>
      </c>
      <c r="J1280" s="19" t="n">
        <v>385000</v>
      </c>
      <c r="K1280" s="20" t="n">
        <v>5</v>
      </c>
      <c r="L1280" s="4" t="inlineStr">
        <is>
          <t>https://www.gucci.com/jp/ja/pr/men/bags-for-men/backpacks-for-men/medium-gg-backpack-with-web-p-824624FAEHZ9795</t>
        </is>
      </c>
      <c r="M1280" s="5">
        <f t="array" ref="M1280">_xlfn.IFS(J1280="NOTFOUND",I1280,J1280&gt;=I1280,J1280)</f>
        <v/>
      </c>
    </row>
    <row r="1281" ht="18" customHeight="1" s="16">
      <c r="A1281" s="5" t="n">
        <v>1280</v>
      </c>
      <c r="B1281" s="2" t="inlineStr">
        <is>
          <t>GU-3532</t>
        </is>
      </c>
      <c r="C1281" s="2" t="n"/>
      <c r="D1281" s="2" t="inlineStr">
        <is>
          <t>B ミディアム ショルダーバッグ</t>
        </is>
      </c>
      <c r="E1281" s="2" t="inlineStr">
        <is>
          <t>817420 FAD8Q 9760</t>
        </is>
      </c>
      <c r="F1281" s="2" t="inlineStr">
        <is>
          <t xml:space="preserve">  -</t>
        </is>
      </c>
      <c r="G1281" s="10" t="inlineStr">
        <is>
          <t>OneSize</t>
        </is>
      </c>
      <c r="H1281" s="17" t="inlineStr">
        <is>
          <t>OneSize</t>
        </is>
      </c>
      <c r="I1281" s="18" t="n">
        <v>319000</v>
      </c>
      <c r="J1281" s="19" t="n">
        <v>319000</v>
      </c>
      <c r="K1281" s="20" t="n">
        <v>5</v>
      </c>
      <c r="L1281" s="4" t="inlineStr">
        <is>
          <t>https://www.gucci.com/jp/ja/pr/men/bags-for-men/messenger-crossbody-bags-for-men/gucci-b-medium-shoulder-bag-p-817420FAD8Q9760</t>
        </is>
      </c>
      <c r="M1281" s="5">
        <f t="array" ref="M1281">_xlfn.IFS(J1281="NOTFOUND",I1281,J1281&gt;=I1281,J1281)</f>
        <v/>
      </c>
    </row>
    <row r="1282" ht="18" customHeight="1" s="16">
      <c r="A1282" s="5" t="n">
        <v>1281</v>
      </c>
      <c r="B1282" s="2" t="inlineStr">
        <is>
          <t>GU-3533</t>
        </is>
      </c>
      <c r="C1282" s="2" t="n"/>
      <c r="D1282" s="2" t="inlineStr">
        <is>
          <t>ウェブ ストライプ付き GG ミディアム クロスボディバッグ</t>
        </is>
      </c>
      <c r="E1282" s="2" t="inlineStr">
        <is>
          <t>821616 FAEHA 9794</t>
        </is>
      </c>
      <c r="F1282" s="2" t="inlineStr">
        <is>
          <t>ベージュ＆ダークブラウン キャンバス</t>
        </is>
      </c>
      <c r="G1282" s="10" t="inlineStr">
        <is>
          <t>OneSize</t>
        </is>
      </c>
      <c r="H1282" s="17" t="inlineStr">
        <is>
          <t>OneSize</t>
        </is>
      </c>
      <c r="I1282" s="18" t="n">
        <v>346500</v>
      </c>
      <c r="J1282" s="19" t="n">
        <v>346500</v>
      </c>
      <c r="K1282" s="20" t="n">
        <v>5</v>
      </c>
      <c r="L1282" s="4" t="inlineStr">
        <is>
          <t>https://www.gucci.com/jp/ja/pr/women/handbags/crossbody-bags-for-women/medium-gg-crossbody-bag-with-web-p-821616FAEHA9794</t>
        </is>
      </c>
      <c r="M1282" s="5">
        <f t="array" ref="M1282">_xlfn.IFS(J1282="NOTFOUND",I1282,J1282&gt;=I1282,J1282)</f>
        <v/>
      </c>
    </row>
    <row r="1283" ht="18" customHeight="1" s="16">
      <c r="A1283" s="5" t="n">
        <v>1282</v>
      </c>
      <c r="B1283" s="2" t="inlineStr">
        <is>
          <t>GU-3534</t>
        </is>
      </c>
      <c r="C1283" s="2" t="n"/>
      <c r="D1283" s="2" t="inlineStr">
        <is>
          <t>ウェブ ストライプ付き GG スモール クロスボディバッグ</t>
        </is>
      </c>
      <c r="E1283" s="2" t="inlineStr">
        <is>
          <t>821617 FAEHA 9794</t>
        </is>
      </c>
      <c r="F1283" s="2" t="inlineStr">
        <is>
          <t>ベージュ＆ダークブラウン キャンバス</t>
        </is>
      </c>
      <c r="G1283" s="10" t="inlineStr">
        <is>
          <t>OneSize</t>
        </is>
      </c>
      <c r="H1283" s="17" t="inlineStr">
        <is>
          <t>OneSize</t>
        </is>
      </c>
      <c r="I1283" s="18" t="n">
        <v>297000</v>
      </c>
      <c r="J1283" s="19" t="n">
        <v>297000</v>
      </c>
      <c r="K1283" s="20" t="n">
        <v>5</v>
      </c>
      <c r="L1283" s="4" t="inlineStr">
        <is>
          <t>https://www.gucci.com/jp/ja/pr/women/handbags/crossbody-bags-for-women/small-gg-crossbody-bag-with-web-p-821617FAEHA9794</t>
        </is>
      </c>
      <c r="M1283" s="5">
        <f t="array" ref="M1283">_xlfn.IFS(J1283="NOTFOUND",I1283,J1283&gt;=I1283,J1283)</f>
        <v/>
      </c>
    </row>
    <row r="1284" ht="18" customHeight="1" s="16">
      <c r="A1284" s="5" t="n">
        <v>1283</v>
      </c>
      <c r="B1284" s="2" t="inlineStr">
        <is>
          <t>GU-3535</t>
        </is>
      </c>
      <c r="C1284" s="2" t="n"/>
      <c r="D1284" s="2" t="inlineStr">
        <is>
          <t>ウェブ ストライプ付き GG ミディアム バックパック</t>
        </is>
      </c>
      <c r="E1284" s="2" t="inlineStr">
        <is>
          <t>824624 FAEHZ 1042</t>
        </is>
      </c>
      <c r="F1284" s="2" t="inlineStr">
        <is>
          <t>ブラック キャンバス</t>
        </is>
      </c>
      <c r="G1284" s="10" t="inlineStr">
        <is>
          <t>OneSize</t>
        </is>
      </c>
      <c r="H1284" s="17" t="inlineStr">
        <is>
          <t>OneSize</t>
        </is>
      </c>
      <c r="I1284" s="18" t="n">
        <v>385000</v>
      </c>
      <c r="J1284" s="19" t="n">
        <v>385000</v>
      </c>
      <c r="K1284" s="20" t="n">
        <v>5</v>
      </c>
      <c r="L1284" s="4" t="inlineStr">
        <is>
          <t>https://www.gucci.com/jp/ja/pr/men/bags-for-men/backpacks-for-men/medium-gg-backpack-with-web-p-824624FAEHZ1042</t>
        </is>
      </c>
      <c r="M1284" s="5">
        <f t="array" ref="M1284">_xlfn.IFS(J1284="NOTFOUND",I1284,J1284&gt;=I1284,J1284)</f>
        <v/>
      </c>
    </row>
    <row r="1285" ht="18" customHeight="1" s="16">
      <c r="A1285" s="5" t="n">
        <v>1284</v>
      </c>
      <c r="B1285" s="2" t="inlineStr">
        <is>
          <t>GU-3536</t>
        </is>
      </c>
      <c r="C1285" s="2" t="n"/>
      <c r="D1285" s="2" t="inlineStr">
        <is>
          <t>ウェブ ストライプ付き GG ミディアム クロスボディバッグ</t>
        </is>
      </c>
      <c r="E1285" s="2" t="inlineStr">
        <is>
          <t>821616 FAEHA 1042</t>
        </is>
      </c>
      <c r="F1285" s="2" t="inlineStr">
        <is>
          <t>ブラック キャンバス</t>
        </is>
      </c>
      <c r="G1285" s="10" t="inlineStr">
        <is>
          <t>OneSize</t>
        </is>
      </c>
      <c r="H1285" s="17" t="inlineStr">
        <is>
          <t>OneSize</t>
        </is>
      </c>
      <c r="I1285" s="18" t="n">
        <v>346500</v>
      </c>
      <c r="J1285" s="19" t="n">
        <v>346500</v>
      </c>
      <c r="K1285" s="20" t="n">
        <v>5</v>
      </c>
      <c r="L1285" s="4" t="inlineStr">
        <is>
          <t>https://www.gucci.com/jp/ja/pr/women/handbags/crossbody-bags-for-women/medium-gg-crossbody-bag-with-web-p-821616FAEHA1042</t>
        </is>
      </c>
      <c r="M1285" s="5">
        <f t="array" ref="M1285">_xlfn.IFS(J1285="NOTFOUND",I1285,J1285&gt;=I1285,J1285)</f>
        <v/>
      </c>
    </row>
    <row r="1286" ht="18" customHeight="1" s="16">
      <c r="A1286" s="5" t="n">
        <v>1285</v>
      </c>
      <c r="B1286" s="2" t="inlineStr">
        <is>
          <t>GU-3537</t>
        </is>
      </c>
      <c r="C1286" s="2" t="n"/>
      <c r="D1286" s="2" t="inlineStr">
        <is>
          <t>GG ミディアム バックパック</t>
        </is>
      </c>
      <c r="E1286" s="2" t="inlineStr">
        <is>
          <t>826364 FAD72 1047</t>
        </is>
      </c>
      <c r="F1286" s="2" t="inlineStr">
        <is>
          <t xml:space="preserve">  -</t>
        </is>
      </c>
      <c r="G1286" s="10" t="inlineStr">
        <is>
          <t>OneSize</t>
        </is>
      </c>
      <c r="H1286" s="17" t="inlineStr">
        <is>
          <t>OneSize</t>
        </is>
      </c>
      <c r="I1286" s="18" t="n">
        <v>352000</v>
      </c>
      <c r="J1286" s="19" t="n">
        <v>385000</v>
      </c>
      <c r="K1286" s="20" t="n">
        <v>5</v>
      </c>
      <c r="L1286" s="4" t="inlineStr">
        <is>
          <t>https://www.gucci.com/jp/ja/pr/men/bags-for-men/backpacks-for-men/medium-gg-backpack-p-826364FAD721047</t>
        </is>
      </c>
      <c r="M1286" s="5">
        <f t="array" ref="M1286">_xlfn.IFS(J1286="NOTFOUND",I1286,J1286&gt;=I1286,J1286)</f>
        <v/>
      </c>
    </row>
    <row r="1287" ht="18" customHeight="1" s="16">
      <c r="A1287" s="5" t="n">
        <v>1286</v>
      </c>
      <c r="B1287" s="2" t="inlineStr">
        <is>
          <t>GU-3538</t>
        </is>
      </c>
      <c r="C1287" s="2" t="n"/>
      <c r="D1287" s="2" t="inlineStr">
        <is>
          <t>GG ラージ トートバッグ</t>
        </is>
      </c>
      <c r="E1287" s="2" t="inlineStr">
        <is>
          <t>818962 FAEEE 1062</t>
        </is>
      </c>
      <c r="F1287" s="2" t="inlineStr">
        <is>
          <t xml:space="preserve">  -</t>
        </is>
      </c>
      <c r="G1287" s="10" t="inlineStr">
        <is>
          <t>OneSize</t>
        </is>
      </c>
      <c r="H1287" s="17" t="inlineStr">
        <is>
          <t>OneSize</t>
        </is>
      </c>
      <c r="I1287" s="18" t="n">
        <v>385000</v>
      </c>
      <c r="J1287" s="19" t="n">
        <v>385000</v>
      </c>
      <c r="K1287" s="20" t="n">
        <v>5</v>
      </c>
      <c r="L1287" s="4" t="inlineStr">
        <is>
          <t>https://www.gucci.com/jp/ja/pr/men/bags-for-men/backpacks-for-men/medium-gg-backpack-p-826364FAD721047</t>
        </is>
      </c>
      <c r="M1287" s="5">
        <f t="array" ref="M1287">_xlfn.IFS(J1287="NOTFOUND",I1287,J1287&gt;=I1287,J1287)</f>
        <v/>
      </c>
    </row>
    <row r="1288" ht="18" customHeight="1" s="16">
      <c r="A1288" s="5" t="n">
        <v>1287</v>
      </c>
      <c r="B1288" s="2" t="inlineStr">
        <is>
          <t>GU-3539</t>
        </is>
      </c>
      <c r="C1288" s="2" t="n"/>
      <c r="D1288" s="2" t="inlineStr">
        <is>
          <t>GG ミディアム クロスボディバッグ</t>
        </is>
      </c>
      <c r="E1288" s="2" t="inlineStr">
        <is>
          <t>816820 FAD73 1047</t>
        </is>
      </c>
      <c r="F1288" s="2" t="inlineStr">
        <is>
          <t xml:space="preserve">  -</t>
        </is>
      </c>
      <c r="G1288" s="10" t="inlineStr">
        <is>
          <t>OneSize</t>
        </is>
      </c>
      <c r="H1288" s="17" t="inlineStr">
        <is>
          <t>OneSize</t>
        </is>
      </c>
      <c r="I1288" s="18" t="n">
        <v>291500</v>
      </c>
      <c r="J1288" s="19" t="n">
        <v>385000</v>
      </c>
      <c r="K1288" s="20" t="n">
        <v>5</v>
      </c>
      <c r="L1288" s="4" t="inlineStr">
        <is>
          <t>https://www.gucci.com/jp/ja/pr/men/bags-for-men/tote-bags-for-men/large-gg-tote-bag-p-818962FAEEE1062</t>
        </is>
      </c>
      <c r="M1288" s="5">
        <f t="array" ref="M1288">_xlfn.IFS(J1288="NOTFOUND",I1288,J1288&gt;=I1288,J1288)</f>
        <v/>
      </c>
    </row>
    <row r="1289" ht="18" customHeight="1" s="16">
      <c r="A1289" s="5" t="n">
        <v>1288</v>
      </c>
      <c r="B1289" s="2" t="inlineStr">
        <is>
          <t>GU-3540</t>
        </is>
      </c>
      <c r="C1289" s="2" t="n"/>
      <c r="D1289" s="2" t="inlineStr">
        <is>
          <t>GG スモール ベルトバッグ</t>
        </is>
      </c>
      <c r="E1289" s="2" t="inlineStr">
        <is>
          <t>804262 FAD76 1047</t>
        </is>
      </c>
      <c r="F1289" s="2" t="inlineStr">
        <is>
          <t>ブラック GGナイロン</t>
        </is>
      </c>
      <c r="G1289" s="10" t="inlineStr">
        <is>
          <t>OneSize</t>
        </is>
      </c>
      <c r="H1289" s="17" t="inlineStr">
        <is>
          <t>OneSize</t>
        </is>
      </c>
      <c r="I1289" s="18" t="n">
        <v>253000</v>
      </c>
      <c r="J1289" s="19" t="n">
        <v>291500</v>
      </c>
      <c r="K1289" s="20" t="n">
        <v>5</v>
      </c>
      <c r="L1289" s="4" t="inlineStr">
        <is>
          <t>https://www.gucci.com/jp/ja/pr/men/bags-for-men/small-bags-pouches-for-men/small-bags/medium-gg-crossbody-bag-p-816820FAD731047</t>
        </is>
      </c>
      <c r="M1289" s="5">
        <f t="array" ref="M1289">_xlfn.IFS(J1289="NOTFOUND",I1289,J1289&gt;=I1289,J1289)</f>
        <v/>
      </c>
    </row>
    <row r="1290" ht="18" customHeight="1" s="16">
      <c r="A1290" s="5" t="n">
        <v>1289</v>
      </c>
      <c r="B1290" s="2" t="inlineStr">
        <is>
          <t>GU-3541</t>
        </is>
      </c>
      <c r="C1290" s="2" t="n"/>
      <c r="D1290" s="2" t="inlineStr">
        <is>
          <t>プリント キャンバス スモール ダッフルバッグ</t>
        </is>
      </c>
      <c r="E1290" s="2" t="inlineStr">
        <is>
          <t>816865 FAD78 4044</t>
        </is>
      </c>
      <c r="F1290" s="2" t="inlineStr">
        <is>
          <t xml:space="preserve">  -</t>
        </is>
      </c>
      <c r="G1290" s="10" t="inlineStr">
        <is>
          <t>90</t>
        </is>
      </c>
      <c r="H1290" s="17" t="inlineStr">
        <is>
          <t>OneSize</t>
        </is>
      </c>
      <c r="I1290" s="18" t="n">
        <v>209000</v>
      </c>
      <c r="J1290" s="19" t="n">
        <v>264000</v>
      </c>
      <c r="K1290" s="20" t="n">
        <v>5</v>
      </c>
      <c r="L1290" s="4" t="inlineStr">
        <is>
          <t>https://www.gucci.com/jp/ja/pr/men/bags-for-men/belt-bags-slingbag-for-men/small-gg-belt-bag-p-804262FAD761047</t>
        </is>
      </c>
      <c r="M1290" s="5">
        <f t="array" ref="M1290">_xlfn.IFS(J1290="NOTFOUND",I1290,J1290&gt;=I1290,J1290)</f>
        <v/>
      </c>
    </row>
    <row r="1291" ht="18" customHeight="1" s="16">
      <c r="A1291" s="5" t="n">
        <v>1290</v>
      </c>
      <c r="B1291" s="2" t="inlineStr">
        <is>
          <t>GU-3542</t>
        </is>
      </c>
      <c r="C1291" s="2" t="n"/>
      <c r="D1291" s="2" t="inlineStr">
        <is>
          <t>ウェブ ストライプ プリント キャンバス ミディアム バッグ</t>
        </is>
      </c>
      <c r="E1291" s="2" t="inlineStr">
        <is>
          <t>816863 FAD78 4044</t>
        </is>
      </c>
      <c r="F1291" s="2" t="inlineStr">
        <is>
          <t>ダークブルー キャンバス</t>
        </is>
      </c>
      <c r="G1291" s="11" t="inlineStr">
        <is>
          <t>SOLD</t>
        </is>
      </c>
      <c r="H1291" s="22" t="inlineStr">
        <is>
          <t>SOLD</t>
        </is>
      </c>
      <c r="I1291" s="18" t="n">
        <v>247500</v>
      </c>
      <c r="J1291" s="19" t="n">
        <v>209000</v>
      </c>
      <c r="K1291" s="20" t="n">
        <v>0</v>
      </c>
      <c r="L1291" s="4" t="inlineStr">
        <is>
          <t>https://www.gucci.com/jp/ja/pr/men/travel-bags-for-men/weekend-bags-duffle-bags/small-printed-canvas-duffle-bag-p-816865FAD784044</t>
        </is>
      </c>
      <c r="M1291" s="5">
        <f t="array" ref="M1291">_xlfn.IFS(J1291="NOTFOUND",I1291,J1291&gt;=I1291,J1291)</f>
        <v/>
      </c>
    </row>
    <row r="1292" ht="18" customHeight="1" s="16">
      <c r="A1292" s="5" t="n">
        <v>1291</v>
      </c>
      <c r="B1292" s="2" t="inlineStr">
        <is>
          <t>GU-3543</t>
        </is>
      </c>
      <c r="C1292" s="2" t="n"/>
      <c r="D1292" s="2" t="inlineStr">
        <is>
          <t>ウェブ ストライプ プリント キャンバス ミディアム バッグ</t>
        </is>
      </c>
      <c r="E1292" s="2" t="inlineStr">
        <is>
          <t>816863 FAD78 9042</t>
        </is>
      </c>
      <c r="F1292" s="2" t="inlineStr">
        <is>
          <t>オフホワイト キャンバス</t>
        </is>
      </c>
      <c r="G1292" s="11" t="inlineStr">
        <is>
          <t>SOLD</t>
        </is>
      </c>
      <c r="H1292" s="22" t="inlineStr">
        <is>
          <t>SOLD</t>
        </is>
      </c>
      <c r="I1292" s="18" t="n">
        <v>247500</v>
      </c>
      <c r="J1292" s="19" t="n">
        <v>247500</v>
      </c>
      <c r="K1292" s="20" t="n">
        <v>0</v>
      </c>
      <c r="L1292" s="4" t="inlineStr">
        <is>
          <t>https://www.gucci.com/jp/ja/pr/men/bags-for-men/tote-bags-for-men/medium-printed-canvas-bag-with-web-p-816863FAD784044</t>
        </is>
      </c>
      <c r="M1292" s="5">
        <f t="array" ref="M1292">_xlfn.IFS(J1292="NOTFOUND",I1292,J1292&gt;=I1292,J1292)</f>
        <v/>
      </c>
    </row>
    <row r="1293" ht="18" customHeight="1" s="16">
      <c r="A1293" s="5" t="n">
        <v>1292</v>
      </c>
      <c r="B1293" s="2" t="inlineStr">
        <is>
          <t>GU-3544</t>
        </is>
      </c>
      <c r="C1293" s="2" t="n"/>
      <c r="D1293" s="2" t="inlineStr">
        <is>
          <t>ウェブ ストライプ付き ミディアム ダッフルバッグ</t>
        </is>
      </c>
      <c r="E1293" s="2" t="inlineStr">
        <is>
          <t>758664 FACK7 9768</t>
        </is>
      </c>
      <c r="F1293" s="2" t="inlineStr">
        <is>
          <t xml:space="preserve">  -</t>
        </is>
      </c>
      <c r="G1293" s="10" t="inlineStr">
        <is>
          <t>OneSize</t>
        </is>
      </c>
      <c r="H1293" s="17" t="inlineStr">
        <is>
          <t>OneSize</t>
        </is>
      </c>
      <c r="I1293" s="18" t="n">
        <v>280500</v>
      </c>
      <c r="J1293" s="19" t="n">
        <v>247500</v>
      </c>
      <c r="K1293" s="20" t="n">
        <v>5</v>
      </c>
      <c r="L1293" s="4" t="inlineStr">
        <is>
          <t>https://www.gucci.com/jp/ja/pr/women/handbags/tote-bags-for-women/medium-printed-canvas-bag-with-web-p-816863FAD789042</t>
        </is>
      </c>
      <c r="M1293" s="5">
        <f t="array" ref="M1293">_xlfn.IFS(J1293="NOTFOUND",I1293,J1293&gt;=I1293,J1293)</f>
        <v/>
      </c>
    </row>
    <row r="1294" ht="18" customHeight="1" s="16">
      <c r="A1294" s="5" t="n">
        <v>1293</v>
      </c>
      <c r="B1294" s="2" t="inlineStr">
        <is>
          <t>GU-3545</t>
        </is>
      </c>
      <c r="C1294" s="2" t="n"/>
      <c r="D1294" s="2" t="inlineStr">
        <is>
          <t>SAVOY ミディアム ダッフルバッグ</t>
        </is>
      </c>
      <c r="E1294" s="2" t="inlineStr">
        <is>
          <t>724642 9C2ST 8746</t>
        </is>
      </c>
      <c r="F1294" s="2" t="inlineStr">
        <is>
          <t>ベージュ＆エボニー GGスプリーム キャンバス</t>
        </is>
      </c>
      <c r="G1294" s="10" t="inlineStr">
        <is>
          <t>OneSize</t>
        </is>
      </c>
      <c r="H1294" s="17" t="inlineStr">
        <is>
          <t>OneSize</t>
        </is>
      </c>
      <c r="I1294" s="18" t="n">
        <v>357500</v>
      </c>
      <c r="J1294" s="19" t="n">
        <v>280500</v>
      </c>
      <c r="K1294" s="20" t="n">
        <v>5</v>
      </c>
      <c r="L1294" s="4" t="inlineStr">
        <is>
          <t>https://www.gucci.com/jp/ja/pr/men/bags-for-men/suitcases-duffle-bags-for-men/medium-duffle-bag-with-web-p-758664FACK79768</t>
        </is>
      </c>
      <c r="M1294" s="5">
        <f t="array" ref="M1294">_xlfn.IFS(J1294="NOTFOUND",I1294,J1294&gt;=I1294,J1294)</f>
        <v/>
      </c>
    </row>
    <row r="1295" ht="18" customHeight="1" s="16">
      <c r="A1295" s="5" t="n">
        <v>1294</v>
      </c>
      <c r="B1295" s="2" t="inlineStr">
        <is>
          <t>GU-3546</t>
        </is>
      </c>
      <c r="C1295" s="2" t="n"/>
      <c r="D1295" s="2" t="inlineStr">
        <is>
          <t>SAVOY ラージ ダッフルバッグ</t>
        </is>
      </c>
      <c r="E1295" s="2" t="inlineStr">
        <is>
          <t>724612 9C2ST 8746</t>
        </is>
      </c>
      <c r="F1295" s="2" t="inlineStr">
        <is>
          <t>ベージュ＆エボニー GGスプリーム キャンバス</t>
        </is>
      </c>
      <c r="G1295" s="10" t="inlineStr">
        <is>
          <t>OneSize</t>
        </is>
      </c>
      <c r="H1295" s="17" t="inlineStr">
        <is>
          <t>OneSize</t>
        </is>
      </c>
      <c r="I1295" s="18" t="n">
        <v>407000</v>
      </c>
      <c r="J1295" s="19" t="n">
        <v>357500</v>
      </c>
      <c r="K1295" s="20" t="n">
        <v>5</v>
      </c>
      <c r="L1295" s="4" t="inlineStr">
        <is>
          <t>https://www.gucci.com/jp/ja/pr/men/bags-for-men/suitcases-duffle-bags-for-men/gucci-savoy-medium-duffle-bag-p-7246429C2ST8746</t>
        </is>
      </c>
      <c r="M1295" s="5">
        <f t="array" ref="M1295">_xlfn.IFS(J1295="NOTFOUND",I1295,J1295&gt;=I1295,J1295)</f>
        <v/>
      </c>
    </row>
    <row r="1296" ht="18" customHeight="1" s="16">
      <c r="A1296" s="5" t="n">
        <v>1295</v>
      </c>
      <c r="B1296" s="2" t="inlineStr">
        <is>
          <t>GU-3547</t>
        </is>
      </c>
      <c r="C1296" s="2" t="n"/>
      <c r="D1296" s="2" t="inlineStr">
        <is>
          <t>オフィディア ミディアム バックパック</t>
        </is>
      </c>
      <c r="E1296" s="2" t="inlineStr">
        <is>
          <t>598140 HUHAT 8564</t>
        </is>
      </c>
      <c r="F1296" s="2" t="inlineStr">
        <is>
          <t xml:space="preserve">  -</t>
        </is>
      </c>
      <c r="G1296" s="10" t="inlineStr">
        <is>
          <t>OneSize</t>
        </is>
      </c>
      <c r="H1296" s="17" t="inlineStr">
        <is>
          <t>OneSize</t>
        </is>
      </c>
      <c r="I1296" s="18" t="n">
        <v>401500</v>
      </c>
      <c r="J1296" s="19" t="n">
        <v>407000</v>
      </c>
      <c r="K1296" s="20" t="n">
        <v>5</v>
      </c>
      <c r="L1296" s="4" t="inlineStr">
        <is>
          <t>https://www.gucci.com/jp/ja/pr/men/bags-for-men/suitcases-duffle-bags-for-men/gucci-savoy-large-duffle-bag-p-7246129C2ST8746</t>
        </is>
      </c>
      <c r="M1296" s="5">
        <f t="array" ref="M1296">_xlfn.IFS(J1296="NOTFOUND",I1296,J1296&gt;=I1296,J1296)</f>
        <v/>
      </c>
    </row>
    <row r="1297" ht="18" customHeight="1" s="16">
      <c r="A1297" s="5" t="n">
        <v>1296</v>
      </c>
      <c r="B1297" s="2" t="inlineStr">
        <is>
          <t>GU-3548</t>
        </is>
      </c>
      <c r="C1297" s="2" t="n"/>
      <c r="D1297" s="2" t="inlineStr">
        <is>
          <t>オフィディア ミディアム メッセンジャーバッグ</t>
        </is>
      </c>
      <c r="E1297" s="2" t="inlineStr">
        <is>
          <t>761741 FACJQ 9741</t>
        </is>
      </c>
      <c r="F1297" s="2" t="inlineStr">
        <is>
          <t>ベージュ＆エボニー GGスプリーム キャンバス</t>
        </is>
      </c>
      <c r="G1297" s="10" t="inlineStr">
        <is>
          <t>OneSize</t>
        </is>
      </c>
      <c r="H1297" s="17" t="inlineStr">
        <is>
          <t>OneSize</t>
        </is>
      </c>
      <c r="I1297" s="18" t="n">
        <v>291500</v>
      </c>
      <c r="J1297" s="19" t="n">
        <v>401500</v>
      </c>
      <c r="K1297" s="20" t="n">
        <v>5</v>
      </c>
      <c r="L1297" s="4" t="inlineStr">
        <is>
          <t>https://www.gucci.com/jp/ja/pr/men/bags-for-men/backpacks-for-men/ophidia-medium-backpack-p-598140HUHAT8564</t>
        </is>
      </c>
      <c r="M1297" s="5">
        <f t="array" ref="M1297">_xlfn.IFS(J1297="NOTFOUND",I1297,J1297&gt;=I1297,J1297)</f>
        <v/>
      </c>
    </row>
    <row r="1298" ht="18" customHeight="1" s="16">
      <c r="A1298" s="5" t="n">
        <v>1297</v>
      </c>
      <c r="B1298" s="2" t="inlineStr">
        <is>
          <t>GU-3549</t>
        </is>
      </c>
      <c r="C1298" s="2" t="n"/>
      <c r="D1298" s="2" t="inlineStr">
        <is>
          <t>オフィディア スモール クロスボディバッグ</t>
        </is>
      </c>
      <c r="E1298" s="2" t="inlineStr">
        <is>
          <t>598125 9IK3T 8745</t>
        </is>
      </c>
      <c r="F1298" s="2" t="inlineStr">
        <is>
          <t>ソフト GGスプリーム</t>
        </is>
      </c>
      <c r="G1298" s="10" t="inlineStr">
        <is>
          <t>OneSize</t>
        </is>
      </c>
      <c r="H1298" s="17" t="inlineStr">
        <is>
          <t>OneSize</t>
        </is>
      </c>
      <c r="I1298" s="18" t="n">
        <v>225500</v>
      </c>
      <c r="J1298" s="19" t="n">
        <v>291500</v>
      </c>
      <c r="K1298" s="20" t="n">
        <v>5</v>
      </c>
      <c r="L1298" s="4" t="inlineStr">
        <is>
          <t>https://www.gucci.com/jp/ja/pr/men/bags-for-men/messenger-crossbody-bags-for-men/ophidia-medium-messenger-bag-p-761741FACJQ9741</t>
        </is>
      </c>
      <c r="M1298" s="5">
        <f t="array" ref="M1298">_xlfn.IFS(J1298="NOTFOUND",I1298,J1298&gt;=I1298,J1298)</f>
        <v/>
      </c>
    </row>
    <row r="1299" ht="18" customHeight="1" s="16">
      <c r="A1299" s="5" t="n">
        <v>1298</v>
      </c>
      <c r="B1299" s="2" t="inlineStr">
        <is>
          <t>GU-3550</t>
        </is>
      </c>
      <c r="C1299" s="2" t="n"/>
      <c r="D1299" s="2" t="inlineStr">
        <is>
          <t>オフィディア スモール ベルトバッグ</t>
        </is>
      </c>
      <c r="E1299" s="2" t="inlineStr">
        <is>
          <t>752597 FACFW 8920</t>
        </is>
      </c>
      <c r="F1299" s="2" t="inlineStr">
        <is>
          <t>ベージュ＆エボニー GGスプリーム キャンバス</t>
        </is>
      </c>
      <c r="G1299" s="10" t="inlineStr">
        <is>
          <t>OneSize</t>
        </is>
      </c>
      <c r="H1299" s="17" t="inlineStr">
        <is>
          <t>OneSize</t>
        </is>
      </c>
      <c r="I1299" s="18" t="n">
        <v>173800</v>
      </c>
      <c r="J1299" s="19" t="n">
        <v>225500</v>
      </c>
      <c r="K1299" s="20" t="n">
        <v>5</v>
      </c>
      <c r="L1299" s="4" t="inlineStr">
        <is>
          <t>https://www.gucci.com/jp/ja/pr/men/bags-for-men/messenger-crossbody-bags-for-men/ophidia-small-crossbody-bag-p-5981259IK3T8745</t>
        </is>
      </c>
      <c r="M1299" s="5">
        <f t="array" ref="M1299">_xlfn.IFS(J1299="NOTFOUND",I1299,J1299&gt;=I1299,J1299)</f>
        <v/>
      </c>
    </row>
    <row r="1300" ht="18" customHeight="1" s="16">
      <c r="A1300" s="5" t="n">
        <v>1299</v>
      </c>
      <c r="B1300" s="2" t="inlineStr">
        <is>
          <t>GU-3551</t>
        </is>
      </c>
      <c r="C1300" s="2" t="n"/>
      <c r="D1300" s="2" t="inlineStr">
        <is>
          <t>オフィディア スモール クロスボディバッグ</t>
        </is>
      </c>
      <c r="E1300" s="2" t="inlineStr">
        <is>
          <t>699439 9C2ST 8920</t>
        </is>
      </c>
      <c r="F1300" s="2" t="inlineStr">
        <is>
          <t>ベージュ＆エボニー GGスプリーム キャンバス</t>
        </is>
      </c>
      <c r="G1300" s="10" t="inlineStr">
        <is>
          <t>80_90</t>
        </is>
      </c>
      <c r="H1300" s="17" t="inlineStr">
        <is>
          <t>80_90</t>
        </is>
      </c>
      <c r="I1300" s="18" t="n">
        <v>250800</v>
      </c>
      <c r="J1300" s="19" t="n">
        <v>173800</v>
      </c>
      <c r="K1300" s="20" t="n">
        <v>5</v>
      </c>
      <c r="L1300" s="4" t="inlineStr">
        <is>
          <t>https://www.gucci.com/jp/ja/pr/men/bags-for-men/belt-bags-slingbag-for-men/ophidia-small-belt-bag-p-752597FACFW8920</t>
        </is>
      </c>
      <c r="M1300" s="5">
        <f t="array" ref="M1300">_xlfn.IFS(J1300="NOTFOUND",I1300,J1300&gt;=I1300,J1300)</f>
        <v/>
      </c>
    </row>
    <row r="1301" ht="18" customHeight="1" s="16">
      <c r="A1301" s="5" t="n">
        <v>1300</v>
      </c>
      <c r="B1301" s="2" t="inlineStr">
        <is>
          <t>GU-3552</t>
        </is>
      </c>
      <c r="C1301" s="2" t="n"/>
      <c r="D1301" s="2" t="inlineStr">
        <is>
          <t>GGエンブレム ミディアム バックパック</t>
        </is>
      </c>
      <c r="E1301" s="2" t="inlineStr">
        <is>
          <t>821159 FAED3 9786</t>
        </is>
      </c>
      <c r="F1301" s="2" t="inlineStr">
        <is>
          <t>ベージュ＆ダークブラウン ファブリック</t>
        </is>
      </c>
      <c r="G1301" s="10" t="inlineStr">
        <is>
          <t>OneSize</t>
        </is>
      </c>
      <c r="H1301" s="17" t="inlineStr">
        <is>
          <t>OneSize</t>
        </is>
      </c>
      <c r="I1301" s="18" t="n">
        <v>393800</v>
      </c>
      <c r="J1301" s="19" t="n">
        <v>250800</v>
      </c>
      <c r="K1301" s="20" t="n">
        <v>5</v>
      </c>
      <c r="L1301" s="4" t="inlineStr">
        <is>
          <t>https://www.gucci.com/jp/ja/pr/men/bags-for-men/messenger-crossbody-bags-for-men/ophidia-small-crossbody-bag-p-6994399C2ST8920</t>
        </is>
      </c>
      <c r="M1301" s="5">
        <f t="array" ref="M1301">_xlfn.IFS(J1301="NOTFOUND",I1301,J1301&gt;=I1301,J1301)</f>
        <v/>
      </c>
    </row>
    <row r="1302" ht="18" customHeight="1" s="16">
      <c r="A1302" s="5" t="n">
        <v>1301</v>
      </c>
      <c r="B1302" s="2" t="inlineStr">
        <is>
          <t>GU-3553</t>
        </is>
      </c>
      <c r="C1302" s="2" t="n"/>
      <c r="D1302" s="2" t="inlineStr">
        <is>
          <t>GGエンブレム スモール ビジネスケース</t>
        </is>
      </c>
      <c r="E1302" s="2" t="inlineStr">
        <is>
          <t>821156 FAED0 9786</t>
        </is>
      </c>
      <c r="F1302" s="2" t="inlineStr">
        <is>
          <t>ベージュ＆ダークブラウン ファブリック</t>
        </is>
      </c>
      <c r="G1302" s="11" t="inlineStr">
        <is>
          <t>SOLD</t>
        </is>
      </c>
      <c r="H1302" s="22" t="inlineStr">
        <is>
          <t>SOLD</t>
        </is>
      </c>
      <c r="I1302" s="18" t="n">
        <v>165000</v>
      </c>
      <c r="J1302" s="23" t="inlineStr">
        <is>
          <t>NOTFOUND</t>
        </is>
      </c>
      <c r="K1302" s="20" t="n">
        <v>0</v>
      </c>
      <c r="L1302" s="4" t="inlineStr">
        <is>
          <t>https://www.gucci.com/jp/ja/pr/men/bags-for-men/backpacks-for-men/gg-emblem-medium-backpack-p-821159FAED39786</t>
        </is>
      </c>
      <c r="M1302" s="5">
        <f t="array" ref="M1302">_xlfn.IFS(J1302="NOTFOUND",I1302,J1302&gt;=I1302,J1302)</f>
        <v/>
      </c>
    </row>
    <row r="1303" ht="18" customHeight="1" s="16">
      <c r="A1303" s="5" t="n">
        <v>1302</v>
      </c>
      <c r="B1303" s="2" t="inlineStr">
        <is>
          <t>GU-3554</t>
        </is>
      </c>
      <c r="C1303" s="2" t="n"/>
      <c r="D1303" s="2" t="inlineStr">
        <is>
          <t>GGエンブレム ミディアム クロスボディバッグ</t>
        </is>
      </c>
      <c r="E1303" s="2" t="inlineStr">
        <is>
          <t>821160 FAED3 9786</t>
        </is>
      </c>
      <c r="F1303" s="2" t="inlineStr">
        <is>
          <t xml:space="preserve">  -</t>
        </is>
      </c>
      <c r="G1303" s="11" t="inlineStr">
        <is>
          <t>SOLD</t>
        </is>
      </c>
      <c r="H1303" s="22" t="inlineStr">
        <is>
          <t>SOLD</t>
        </is>
      </c>
      <c r="I1303" s="18" t="n">
        <v>308000</v>
      </c>
      <c r="J1303" s="23" t="inlineStr">
        <is>
          <t>NOTFOUND</t>
        </is>
      </c>
      <c r="K1303" s="20" t="n">
        <v>0</v>
      </c>
      <c r="L1303" s="4" t="inlineStr">
        <is>
          <t>https://www.gucci.com/jp/ja/pr/men/small-leather-goods-for-men/small-bags-pouches/pouches-for-men/gg-emblem-small-business-case-p-821156FAED09786</t>
        </is>
      </c>
      <c r="M1303" s="5">
        <f t="array" ref="M1303">_xlfn.IFS(J1303="NOTFOUND",I1303,J1303&gt;=I1303,J1303)</f>
        <v/>
      </c>
    </row>
    <row r="1304" ht="18" customHeight="1" s="16">
      <c r="A1304" s="5" t="n">
        <v>1303</v>
      </c>
      <c r="B1304" s="2" t="inlineStr">
        <is>
          <t>GU-3555</t>
        </is>
      </c>
      <c r="C1304" s="2" t="n"/>
      <c r="D1304" s="2" t="inlineStr">
        <is>
          <t>GGエンブレム スモール クロスボディバッグ</t>
        </is>
      </c>
      <c r="E1304" s="2" t="inlineStr">
        <is>
          <t>821155 FAED3 9786</t>
        </is>
      </c>
      <c r="F1304" s="2" t="inlineStr">
        <is>
          <t>ベージュ＆ダークブラウン ファブリック</t>
        </is>
      </c>
      <c r="G1304" s="11" t="inlineStr">
        <is>
          <t>SOLD</t>
        </is>
      </c>
      <c r="H1304" s="22" t="inlineStr">
        <is>
          <t>SOLD</t>
        </is>
      </c>
      <c r="I1304" s="18" t="n">
        <v>291500</v>
      </c>
      <c r="J1304" s="23" t="inlineStr">
        <is>
          <t>NOTFOUND</t>
        </is>
      </c>
      <c r="K1304" s="20" t="n">
        <v>0</v>
      </c>
      <c r="L1304" s="4" t="inlineStr">
        <is>
          <t>https://www.gucci.com/jp/ja/pr/men/bags-for-men/messenger-crossbody-bags-for-men/gg-emblem-medium-crossbody-bag-p-821160FAED39786</t>
        </is>
      </c>
      <c r="M1304" s="5">
        <f t="array" ref="M1304">_xlfn.IFS(J1304="NOTFOUND",I1304,J1304&gt;=I1304,J1304)</f>
        <v/>
      </c>
    </row>
    <row r="1305" ht="18" customHeight="1" s="16">
      <c r="A1305" s="5" t="n">
        <v>1304</v>
      </c>
      <c r="B1305" s="2" t="inlineStr">
        <is>
          <t>GU-3556</t>
        </is>
      </c>
      <c r="C1305" s="2" t="n"/>
      <c r="D1305" s="2" t="inlineStr">
        <is>
          <t>GGエンブレム スモール クロスボディバッグ</t>
        </is>
      </c>
      <c r="E1305" s="2" t="inlineStr">
        <is>
          <t>821155 FAED3 9786</t>
        </is>
      </c>
      <c r="F1305" s="2" t="inlineStr">
        <is>
          <t>ベージュ＆ダークブラウン ファブリック</t>
        </is>
      </c>
      <c r="G1305" s="11" t="inlineStr">
        <is>
          <t>SOLD</t>
        </is>
      </c>
      <c r="H1305" s="22" t="inlineStr">
        <is>
          <t>SOLD</t>
        </is>
      </c>
      <c r="I1305" s="18" t="n">
        <v>291500</v>
      </c>
      <c r="J1305" s="23" t="inlineStr">
        <is>
          <t>NOTFOUND</t>
        </is>
      </c>
      <c r="K1305" s="20" t="n">
        <v>0</v>
      </c>
      <c r="L1305" s="4" t="inlineStr">
        <is>
          <t>https://www.gucci.com/jp/ja/pr/men/bags-for-men/messenger-crossbody-bags-for-men/gg-emblem-small-crossbody-bag-p-821155FAED39786</t>
        </is>
      </c>
      <c r="M1305" s="5">
        <f t="array" ref="M1305">_xlfn.IFS(J1305="NOTFOUND",I1305,J1305&gt;=I1305,J1305)</f>
        <v/>
      </c>
    </row>
    <row r="1306" ht="18" customHeight="1" s="16">
      <c r="A1306" s="5" t="n">
        <v>1305</v>
      </c>
      <c r="B1306" s="2" t="inlineStr">
        <is>
          <t>GU-3557</t>
        </is>
      </c>
      <c r="C1306" s="2" t="n"/>
      <c r="D1306" s="2" t="inlineStr">
        <is>
          <t>GGエンブレム ミディアム ベルトバッグ</t>
        </is>
      </c>
      <c r="E1306" s="2" t="inlineStr">
        <is>
          <t>821162 FAEEC 9786</t>
        </is>
      </c>
      <c r="F1306" s="2" t="inlineStr">
        <is>
          <t>ベージュ＆ダークブラウン ファブリック</t>
        </is>
      </c>
      <c r="G1306" s="11" t="inlineStr">
        <is>
          <t>SOLD</t>
        </is>
      </c>
      <c r="H1306" s="22" t="inlineStr">
        <is>
          <t>SOLD</t>
        </is>
      </c>
      <c r="I1306" s="18" t="n">
        <v>209000</v>
      </c>
      <c r="J1306" s="23" t="inlineStr">
        <is>
          <t>NOTFOUND</t>
        </is>
      </c>
      <c r="K1306" s="20" t="n">
        <v>0</v>
      </c>
      <c r="L1306" s="4" t="inlineStr">
        <is>
          <t>https://www.gucci.com/jp/ja/pr/men/bags-for-men/belt-bags-slingbag-for-men/gg-emblem-medium-belt-bag-p-821162FAEEC9786</t>
        </is>
      </c>
      <c r="M1306" s="5">
        <f t="array" ref="M1306">_xlfn.IFS(J1306="NOTFOUND",I1306,J1306&gt;=I1306,J1306)</f>
        <v/>
      </c>
    </row>
    <row r="1307" ht="18" customHeight="1" s="16">
      <c r="A1307" s="5" t="n">
        <v>1306</v>
      </c>
      <c r="B1307" s="2" t="inlineStr">
        <is>
          <t>GU-3558</t>
        </is>
      </c>
      <c r="C1307" s="2" t="n"/>
      <c r="D1307" s="2" t="inlineStr">
        <is>
          <t>GGエンブレム ミディアム ベルトバッグ</t>
        </is>
      </c>
      <c r="E1307" s="2" t="inlineStr">
        <is>
          <t>821162 FAED9 1000</t>
        </is>
      </c>
      <c r="F1307" s="2" t="inlineStr">
        <is>
          <t>ブラック ファブリック</t>
        </is>
      </c>
      <c r="G1307" s="10" t="inlineStr">
        <is>
          <t>90</t>
        </is>
      </c>
      <c r="H1307" s="17" t="inlineStr">
        <is>
          <t>OneSize</t>
        </is>
      </c>
      <c r="I1307" s="18" t="n">
        <v>209000</v>
      </c>
      <c r="J1307" s="19" t="n">
        <v>209000</v>
      </c>
      <c r="K1307" s="20" t="n">
        <v>5</v>
      </c>
      <c r="L1307" s="4" t="inlineStr">
        <is>
          <t>https://www.gucci.com/jp/ja/pr/men/bags-for-men/belt-bags-slingbag-for-men/gg-emblem-medium-belt-bag-p-821162FAED91000</t>
        </is>
      </c>
      <c r="M1307" s="5">
        <f t="array" ref="M1307">_xlfn.IFS(J1307="NOTFOUND",I1307,J1307&gt;=I1307,J1307)</f>
        <v/>
      </c>
    </row>
    <row r="1308" ht="18" customHeight="1" s="16">
      <c r="A1308" s="5" t="n">
        <v>1307</v>
      </c>
      <c r="B1308" s="2" t="inlineStr">
        <is>
          <t>GU-3559</t>
        </is>
      </c>
      <c r="C1308" s="2" t="n"/>
      <c r="D1308" s="2" t="inlineStr">
        <is>
          <t>GGエンブレム ミディアム バックパック</t>
        </is>
      </c>
      <c r="E1308" s="2" t="inlineStr">
        <is>
          <t>821159 FAED4 1000</t>
        </is>
      </c>
      <c r="F1308" s="2" t="inlineStr">
        <is>
          <t>ブラック ファブリック</t>
        </is>
      </c>
      <c r="G1308" s="10" t="inlineStr">
        <is>
          <t>OneSize</t>
        </is>
      </c>
      <c r="H1308" s="17" t="inlineStr">
        <is>
          <t>OneSize</t>
        </is>
      </c>
      <c r="I1308" s="18" t="n">
        <v>393800</v>
      </c>
      <c r="J1308" s="19" t="n">
        <v>393800</v>
      </c>
      <c r="K1308" s="20" t="n">
        <v>5</v>
      </c>
      <c r="L1308" s="4" t="inlineStr">
        <is>
          <t>https://www.gucci.com/jp/ja/pr/men/bags-for-men/backpacks-for-men/gg-emblem-medium-backpack-p-821159FAED41000</t>
        </is>
      </c>
      <c r="M1308" s="5">
        <f t="array" ref="M1308">_xlfn.IFS(J1308="NOTFOUND",I1308,J1308&gt;=I1308,J1308)</f>
        <v/>
      </c>
    </row>
    <row r="1309" ht="18" customHeight="1" s="16">
      <c r="A1309" s="5" t="n">
        <v>1308</v>
      </c>
      <c r="B1309" s="2" t="inlineStr">
        <is>
          <t>GU-3560</t>
        </is>
      </c>
      <c r="C1309" s="2" t="n"/>
      <c r="D1309" s="2" t="inlineStr">
        <is>
          <t>GGエンブレム スモール ビジネスケース</t>
        </is>
      </c>
      <c r="E1309" s="2" t="inlineStr">
        <is>
          <t>821156 FAD6M 1000</t>
        </is>
      </c>
      <c r="F1309" s="2" t="inlineStr">
        <is>
          <t>ブラック ファブリック</t>
        </is>
      </c>
      <c r="G1309" s="10" t="inlineStr">
        <is>
          <t>OneSize</t>
        </is>
      </c>
      <c r="H1309" s="17" t="inlineStr">
        <is>
          <t>OneSize</t>
        </is>
      </c>
      <c r="I1309" s="18" t="n">
        <v>165000</v>
      </c>
      <c r="J1309" s="19" t="n">
        <v>165000</v>
      </c>
      <c r="K1309" s="20" t="n">
        <v>5</v>
      </c>
      <c r="L1309" s="4" t="inlineStr">
        <is>
          <t>https://www.gucci.com/jp/ja/pr/men/small-leather-goods-for-men/small-bags-pouches/pouches-for-men/gg-emblem-small-business-case-p-821156FAD6M1000</t>
        </is>
      </c>
      <c r="M1309" s="5">
        <f t="array" ref="M1309">_xlfn.IFS(J1309="NOTFOUND",I1309,J1309&gt;=I1309,J1309)</f>
        <v/>
      </c>
    </row>
    <row r="1310" ht="18" customHeight="1" s="16">
      <c r="A1310" s="5" t="n">
        <v>1309</v>
      </c>
      <c r="B1310" s="2" t="inlineStr">
        <is>
          <t>GU-3561</t>
        </is>
      </c>
      <c r="C1310" s="2" t="n"/>
      <c r="D1310" s="2" t="inlineStr">
        <is>
          <t>GGエンブレム ミディアム クロスボディバッグ</t>
        </is>
      </c>
      <c r="E1310" s="2" t="inlineStr">
        <is>
          <t>821154 FAED4 1000</t>
        </is>
      </c>
      <c r="F1310" s="2" t="inlineStr">
        <is>
          <t xml:space="preserve">  -</t>
        </is>
      </c>
      <c r="G1310" s="10" t="inlineStr">
        <is>
          <t>OneSize</t>
        </is>
      </c>
      <c r="H1310" s="17" t="inlineStr">
        <is>
          <t>OneSize</t>
        </is>
      </c>
      <c r="I1310" s="18" t="n">
        <v>297000</v>
      </c>
      <c r="J1310" s="19" t="n">
        <v>297000</v>
      </c>
      <c r="K1310" s="20" t="n">
        <v>5</v>
      </c>
      <c r="L1310" s="4" t="inlineStr">
        <is>
          <t>https://www.gucci.com/jp/ja/pr/men/bags-for-men/messenger-crossbody-bags-for-men/gg-emblem-medium-crossbody-bag-p-821154FAED41000</t>
        </is>
      </c>
      <c r="M1310" s="5">
        <f t="array" ref="M1310">_xlfn.IFS(J1310="NOTFOUND",I1310,J1310&gt;=I1310,J1310)</f>
        <v/>
      </c>
    </row>
    <row r="1311" ht="18" customHeight="1" s="16">
      <c r="A1311" s="5" t="n">
        <v>1310</v>
      </c>
      <c r="B1311" s="2" t="inlineStr">
        <is>
          <t>GU-3562</t>
        </is>
      </c>
      <c r="C1311" s="2" t="n"/>
      <c r="D1311" s="2" t="inlineStr">
        <is>
          <t>GGエンブレム スモール クロスボディバッグ</t>
        </is>
      </c>
      <c r="E1311" s="2" t="inlineStr">
        <is>
          <t>821155 FAED4 1000</t>
        </is>
      </c>
      <c r="F1311" s="2" t="inlineStr">
        <is>
          <t>ブラック ファブリック</t>
        </is>
      </c>
      <c r="G1311" s="10" t="inlineStr">
        <is>
          <t>OneSize</t>
        </is>
      </c>
      <c r="H1311" s="17" t="inlineStr">
        <is>
          <t>OneSize</t>
        </is>
      </c>
      <c r="I1311" s="18" t="n">
        <v>291500</v>
      </c>
      <c r="J1311" s="19" t="n">
        <v>291500</v>
      </c>
      <c r="K1311" s="20" t="n">
        <v>5</v>
      </c>
      <c r="L1311" s="4" t="inlineStr">
        <is>
          <t>https://www.gucci.com/jp/ja/pr/men/bags-for-men/messenger-crossbody-bags-for-men/gg-emblem-small-crossbody-bag-p-821155FAED41000</t>
        </is>
      </c>
      <c r="M1311" s="5">
        <f t="array" ref="M1311">_xlfn.IFS(J1311="NOTFOUND",I1311,J1311&gt;=I1311,J1311)</f>
        <v/>
      </c>
    </row>
    <row r="1312" ht="18" customHeight="1" s="16">
      <c r="A1312" s="5" t="n">
        <v>1311</v>
      </c>
      <c r="B1312" s="2" t="inlineStr">
        <is>
          <t>GU-3563</t>
        </is>
      </c>
      <c r="C1312" s="2" t="n"/>
      <c r="D1312" s="2" t="inlineStr">
        <is>
          <t>GG ミディアム バックパック</t>
        </is>
      </c>
      <c r="E1312" s="2" t="inlineStr">
        <is>
          <t>819065 AAEIC 1000</t>
        </is>
      </c>
      <c r="F1312" s="2" t="inlineStr">
        <is>
          <t xml:space="preserve">  -</t>
        </is>
      </c>
      <c r="G1312" s="10" t="inlineStr">
        <is>
          <t>OneSize</t>
        </is>
      </c>
      <c r="H1312" s="17" t="inlineStr">
        <is>
          <t>OneSize</t>
        </is>
      </c>
      <c r="I1312" s="18" t="n">
        <v>462000</v>
      </c>
      <c r="J1312" s="19" t="n">
        <v>462000</v>
      </c>
      <c r="K1312" s="20" t="n">
        <v>5</v>
      </c>
      <c r="L1312" s="4" t="inlineStr">
        <is>
          <t>https://www.gucci.com/jp/ja/pr/men/bags-for-men/backpacks-for-men/medium-jumbo-gg-backpack-p-819065AAEIC1000</t>
        </is>
      </c>
      <c r="M1312" s="5">
        <f t="array" ref="M1312">_xlfn.IFS(J1312="NOTFOUND",I1312,J1312&gt;=I1312,J1312)</f>
        <v/>
      </c>
    </row>
    <row r="1313" ht="18" customHeight="1" s="16">
      <c r="A1313" s="5" t="n">
        <v>1312</v>
      </c>
      <c r="B1313" s="2" t="inlineStr">
        <is>
          <t>GU-3564</t>
        </is>
      </c>
      <c r="C1313" s="2" t="n"/>
      <c r="D1313" s="2" t="inlineStr">
        <is>
          <t>GG ミディアム トートバッグ</t>
        </is>
      </c>
      <c r="E1313" s="2" t="inlineStr">
        <is>
          <t>818771 AABY0 1000</t>
        </is>
      </c>
      <c r="F1313" s="2" t="inlineStr">
        <is>
          <t xml:space="preserve">  -</t>
        </is>
      </c>
      <c r="G1313" s="10" t="inlineStr">
        <is>
          <t>OneSize</t>
        </is>
      </c>
      <c r="H1313" s="17" t="inlineStr">
        <is>
          <t>OneSize</t>
        </is>
      </c>
      <c r="I1313" s="18" t="n">
        <v>401500</v>
      </c>
      <c r="J1313" s="19" t="n">
        <v>401500</v>
      </c>
      <c r="K1313" s="20" t="n">
        <v>5</v>
      </c>
      <c r="L1313" s="4" t="inlineStr">
        <is>
          <t>https://www.gucci.com/jp/ja/pr/women/handbags/tote-bags-for-women/medium-jumbo-gg-tote-bag-p-818771AABY01000</t>
        </is>
      </c>
      <c r="M1313" s="5">
        <f t="array" ref="M1313">_xlfn.IFS(J1313="NOTFOUND",I1313,J1313&gt;=I1313,J1313)</f>
        <v/>
      </c>
    </row>
    <row r="1314" ht="18" customHeight="1" s="16">
      <c r="A1314" s="5" t="n">
        <v>1313</v>
      </c>
      <c r="B1314" s="2" t="inlineStr">
        <is>
          <t>GU-3565</t>
        </is>
      </c>
      <c r="C1314" s="2" t="n"/>
      <c r="D1314" s="2" t="inlineStr">
        <is>
          <t>グッチB スモール クロスボディバッグ</t>
        </is>
      </c>
      <c r="E1314" s="2" t="inlineStr">
        <is>
          <t>801887 AAEGD 1042</t>
        </is>
      </c>
      <c r="F1314" s="2" t="inlineStr">
        <is>
          <t>ブラック GGレザー</t>
        </is>
      </c>
      <c r="G1314" s="11" t="inlineStr">
        <is>
          <t>SOLD</t>
        </is>
      </c>
      <c r="H1314" s="22" t="inlineStr">
        <is>
          <t>SOLD</t>
        </is>
      </c>
      <c r="I1314" s="18" t="n">
        <v>484000</v>
      </c>
      <c r="J1314" s="23" t="inlineStr">
        <is>
          <t>NOTFOUND</t>
        </is>
      </c>
      <c r="K1314" s="20" t="n">
        <v>0</v>
      </c>
      <c r="L1314" s="4" t="inlineStr">
        <is>
          <t>https://www.gucci.com/jp/ja/pr/men/bags-for-men/messenger-crossbody-bags-for-men/gucci-b-small-crossbody-bag-p-801887AAEGD1042</t>
        </is>
      </c>
      <c r="M1314" s="5">
        <f t="array" ref="M1314">_xlfn.IFS(J1314="NOTFOUND",I1314,J1314&gt;=I1314,J1314)</f>
        <v/>
      </c>
    </row>
    <row r="1315" ht="18" customHeight="1" s="16">
      <c r="A1315" s="5" t="n">
        <v>1314</v>
      </c>
      <c r="B1315" s="2" t="inlineStr">
        <is>
          <t>GU-3566</t>
        </is>
      </c>
      <c r="C1315" s="2" t="n"/>
      <c r="D1315" s="2" t="inlineStr">
        <is>
          <t>GG ラージ バックパック</t>
        </is>
      </c>
      <c r="E1315" s="2" t="inlineStr">
        <is>
          <t>625770 AAECC 1045</t>
        </is>
      </c>
      <c r="F1315" s="2" t="inlineStr">
        <is>
          <t>グレー＆ブラック GGレザー</t>
        </is>
      </c>
      <c r="G1315" s="10" t="inlineStr">
        <is>
          <t>OneSize</t>
        </is>
      </c>
      <c r="H1315" s="17" t="inlineStr">
        <is>
          <t>OneSize</t>
        </is>
      </c>
      <c r="I1315" s="18" t="n">
        <v>517000</v>
      </c>
      <c r="J1315" s="19" t="n">
        <v>517000</v>
      </c>
      <c r="K1315" s="20" t="n">
        <v>5</v>
      </c>
      <c r="L1315" s="4" t="inlineStr">
        <is>
          <t>https://www.gucci.com/jp/ja/pr/men/bags-for-men/backpacks-for-men/large-jumbo-gg-backpack-p-625770AAECC1045</t>
        </is>
      </c>
      <c r="M1315" s="5">
        <f t="array" ref="M1315">_xlfn.IFS(J1315="NOTFOUND",I1315,J1315&gt;=I1315,J1315)</f>
        <v/>
      </c>
    </row>
    <row r="1316" ht="18" customHeight="1" s="16">
      <c r="A1316" s="5" t="n">
        <v>1315</v>
      </c>
      <c r="B1316" s="2" t="inlineStr">
        <is>
          <t>GU-3567</t>
        </is>
      </c>
      <c r="C1316" s="2" t="n"/>
      <c r="D1316" s="2" t="inlineStr">
        <is>
          <t>ジャンボGG ブリーフケース</t>
        </is>
      </c>
      <c r="E1316" s="2" t="inlineStr">
        <is>
          <t>792264 AABY0 1000</t>
        </is>
      </c>
      <c r="F1316" s="2" t="inlineStr">
        <is>
          <t xml:space="preserve">  -</t>
        </is>
      </c>
      <c r="G1316" s="10" t="inlineStr">
        <is>
          <t>OneSize</t>
        </is>
      </c>
      <c r="H1316" s="17" t="inlineStr">
        <is>
          <t>OneSize</t>
        </is>
      </c>
      <c r="I1316" s="18" t="n">
        <v>434500</v>
      </c>
      <c r="J1316" s="19" t="n">
        <v>434500</v>
      </c>
      <c r="K1316" s="20" t="n">
        <v>5</v>
      </c>
      <c r="L1316" s="4" t="inlineStr">
        <is>
          <t>https://www.gucci.com/jp/ja/pr/men/bags-for-men/briefcases-for-men/jumbo-gg-briefcase-p-792264AABY01000</t>
        </is>
      </c>
      <c r="M1316" s="5">
        <f t="array" ref="M1316">_xlfn.IFS(J1316="NOTFOUND",I1316,J1316&gt;=I1316,J1316)</f>
        <v/>
      </c>
    </row>
    <row r="1317" ht="18" customHeight="1" s="16">
      <c r="A1317" s="5" t="n">
        <v>1316</v>
      </c>
      <c r="B1317" s="2" t="inlineStr">
        <is>
          <t>GU-3568</t>
        </is>
      </c>
      <c r="C1317" s="2" t="n"/>
      <c r="D1317" s="2" t="inlineStr">
        <is>
          <t>ジャンボGG バックパック</t>
        </is>
      </c>
      <c r="E1317" s="2" t="inlineStr">
        <is>
          <t>625770 AABZF 1000</t>
        </is>
      </c>
      <c r="F1317" s="2" t="inlineStr">
        <is>
          <t>ブラック レザー</t>
        </is>
      </c>
      <c r="G1317" s="10" t="inlineStr">
        <is>
          <t>OneSize</t>
        </is>
      </c>
      <c r="H1317" s="17" t="inlineStr">
        <is>
          <t>OneSize</t>
        </is>
      </c>
      <c r="I1317" s="18" t="n">
        <v>517000</v>
      </c>
      <c r="J1317" s="19" t="n">
        <v>517000</v>
      </c>
      <c r="K1317" s="20" t="n">
        <v>5</v>
      </c>
      <c r="L1317" s="4" t="inlineStr">
        <is>
          <t>https://www.gucci.com/jp/ja/pr/men/bags-for-men/backpacks-for-men/medium-jumbo-gg-backpack-p-625770AABZF1000</t>
        </is>
      </c>
      <c r="M1317" s="5">
        <f t="array" ref="M1317">_xlfn.IFS(J1317="NOTFOUND",I1317,J1317&gt;=I1317,J1317)</f>
        <v/>
      </c>
    </row>
    <row r="1318" ht="18" customHeight="1" s="16">
      <c r="A1318" s="5" t="n">
        <v>1317</v>
      </c>
      <c r="B1318" s="2" t="inlineStr">
        <is>
          <t>GU-3569</t>
        </is>
      </c>
      <c r="C1318" s="2" t="n"/>
      <c r="D1318" s="2" t="inlineStr">
        <is>
          <t>ジャンボGG スモール クロスボディバッグ</t>
        </is>
      </c>
      <c r="E1318" s="2" t="inlineStr">
        <is>
          <t>794088 AABY0 1000</t>
        </is>
      </c>
      <c r="F1318" s="2" t="inlineStr">
        <is>
          <t>ブラック レザー</t>
        </is>
      </c>
      <c r="G1318" s="10" t="inlineStr">
        <is>
          <t>OneSize</t>
        </is>
      </c>
      <c r="H1318" s="17" t="inlineStr">
        <is>
          <t>OneSize</t>
        </is>
      </c>
      <c r="I1318" s="18" t="n">
        <v>324500</v>
      </c>
      <c r="J1318" s="19" t="n">
        <v>324500</v>
      </c>
      <c r="K1318" s="20" t="n">
        <v>5</v>
      </c>
      <c r="L1318" s="4" t="inlineStr">
        <is>
          <t>https://www.gucci.com/jp/ja/pr/men/bags-for-men/bestsellers-for-men/small-jumbo-gg-crossbody-bag-p-794088AABY01000</t>
        </is>
      </c>
      <c r="M1318" s="5">
        <f t="array" ref="M1318">_xlfn.IFS(J1318="NOTFOUND",I1318,J1318&gt;=I1318,J1318)</f>
        <v/>
      </c>
    </row>
    <row r="1319" ht="18" customHeight="1" s="16">
      <c r="A1319" s="5" t="n">
        <v>1318</v>
      </c>
      <c r="B1319" s="2" t="inlineStr">
        <is>
          <t>GU-3570</t>
        </is>
      </c>
      <c r="C1319" s="2" t="n"/>
      <c r="D1319" s="2" t="inlineStr">
        <is>
          <t>ジャンボGG スモール クロスボディバッグ</t>
        </is>
      </c>
      <c r="E1319" s="2" t="inlineStr">
        <is>
          <t>794088 AAECE 1046</t>
        </is>
      </c>
      <c r="F1319" s="2" t="inlineStr">
        <is>
          <t>グレー＆ブラック GGレザー</t>
        </is>
      </c>
      <c r="G1319" s="10" t="inlineStr">
        <is>
          <t>OneSize</t>
        </is>
      </c>
      <c r="H1319" s="17" t="inlineStr">
        <is>
          <t>OneSize</t>
        </is>
      </c>
      <c r="I1319" s="18" t="n">
        <v>324500</v>
      </c>
      <c r="J1319" s="19" t="n">
        <v>324500</v>
      </c>
      <c r="K1319" s="20" t="n">
        <v>5</v>
      </c>
      <c r="L1319" s="4" t="inlineStr">
        <is>
          <t>https://www.gucci.com/jp/ja/pr/men/bags-for-men/small-bags-pouches-for-men/small-jumbo-gg-crossbody-bag-p-794088AAECE1046</t>
        </is>
      </c>
      <c r="M1319" s="5">
        <f t="array" ref="M1319">_xlfn.IFS(J1319="NOTFOUND",I1319,J1319&gt;=I1319,J1319)</f>
        <v/>
      </c>
    </row>
    <row r="1320" ht="18" customHeight="1" s="16">
      <c r="A1320" s="5" t="n">
        <v>1319</v>
      </c>
      <c r="B1320" s="2" t="inlineStr">
        <is>
          <t>GU-3571</t>
        </is>
      </c>
      <c r="C1320" s="2" t="n"/>
      <c r="D1320" s="2" t="inlineStr">
        <is>
          <t>GG スモール ベルトバッグ</t>
        </is>
      </c>
      <c r="E1320" s="2" t="inlineStr">
        <is>
          <t>804262 FADUK 9853</t>
        </is>
      </c>
      <c r="F1320" s="2" t="inlineStr">
        <is>
          <t>ベージュ＆ダークブラウン GGキャンバス</t>
        </is>
      </c>
      <c r="G1320" s="10" t="inlineStr">
        <is>
          <t>90</t>
        </is>
      </c>
      <c r="H1320" s="17" t="inlineStr">
        <is>
          <t>OneSize</t>
        </is>
      </c>
      <c r="I1320" s="18" t="n">
        <v>264000</v>
      </c>
      <c r="J1320" s="19" t="n">
        <v>264000</v>
      </c>
      <c r="K1320" s="20" t="n">
        <v>5</v>
      </c>
      <c r="L1320" s="4" t="inlineStr">
        <is>
          <t>https://www.gucci.com/jp/ja/pr/men/bags-for-men/belt-bags-slingbag-for-men/small-gg-belt-bag-p-804262FADUK9853</t>
        </is>
      </c>
      <c r="M1320" s="5">
        <f t="array" ref="M1320">_xlfn.IFS(J1320="NOTFOUND",I1320,J1320&gt;=I1320,J1320)</f>
        <v/>
      </c>
    </row>
    <row r="1321" ht="18" customHeight="1" s="16">
      <c r="A1321" s="5" t="n">
        <v>1320</v>
      </c>
      <c r="B1321" s="2" t="inlineStr">
        <is>
          <t>GU-3572</t>
        </is>
      </c>
      <c r="C1321" s="2" t="n"/>
      <c r="D1321" s="2" t="inlineStr">
        <is>
          <t>GG ラージ トートバッグ</t>
        </is>
      </c>
      <c r="E1321" s="2" t="inlineStr">
        <is>
          <t>802166 FADUU 8657</t>
        </is>
      </c>
      <c r="F1321" s="2" t="inlineStr">
        <is>
          <t>ベージュ＆ダークブラウン GGキャンバス</t>
        </is>
      </c>
      <c r="G1321" s="10" t="inlineStr">
        <is>
          <t>OneSize</t>
        </is>
      </c>
      <c r="H1321" s="17" t="inlineStr">
        <is>
          <t>OneSize</t>
        </is>
      </c>
      <c r="I1321" s="18" t="n">
        <v>302500</v>
      </c>
      <c r="J1321" s="19" t="n">
        <v>302500</v>
      </c>
      <c r="K1321" s="20" t="n">
        <v>5</v>
      </c>
      <c r="L1321" s="4" t="inlineStr">
        <is>
          <t>https://www.gucci.com/jp/ja/pr/women/handbags/tote-bags-for-women/large-gg-tote-bag-p-802166FADUU8657</t>
        </is>
      </c>
      <c r="M1321" s="5">
        <f t="array" ref="M1321">_xlfn.IFS(J1321="NOTFOUND",I1321,J1321&gt;=I1321,J1321)</f>
        <v/>
      </c>
    </row>
    <row r="1322" ht="18" customHeight="1" s="16">
      <c r="A1322" s="5" t="n">
        <v>1321</v>
      </c>
      <c r="B1322" s="2" t="inlineStr">
        <is>
          <t>GU-3573</t>
        </is>
      </c>
      <c r="C1322" s="2" t="n"/>
      <c r="D1322" s="2" t="inlineStr">
        <is>
          <t>GG ラージ トートバッグ</t>
        </is>
      </c>
      <c r="E1322" s="2" t="inlineStr">
        <is>
          <t>802166 FADUV 6449</t>
        </is>
      </c>
      <c r="F1322" s="2" t="inlineStr">
        <is>
          <t>グッチ ロッソ アンコーラ（深い赤）GGキャンバス</t>
        </is>
      </c>
      <c r="G1322" s="11" t="inlineStr">
        <is>
          <t>SOLD</t>
        </is>
      </c>
      <c r="H1322" s="22" t="inlineStr">
        <is>
          <t>SOLD</t>
        </is>
      </c>
      <c r="I1322" s="18" t="n">
        <v>302500</v>
      </c>
      <c r="J1322" s="23" t="inlineStr">
        <is>
          <t>NOTFOUND</t>
        </is>
      </c>
      <c r="K1322" s="20" t="n">
        <v>0</v>
      </c>
      <c r="L1322" s="4" t="inlineStr">
        <is>
          <t>https://www.gucci.com/jp/ja/pr/women/handbags/tote-bags-for-women/large-gg-tote-bag-p-802166FADUV6449</t>
        </is>
      </c>
      <c r="M1322" s="5">
        <f t="array" ref="M1322">_xlfn.IFS(J1322="NOTFOUND",I1322,J1322&gt;=I1322,J1322)</f>
        <v/>
      </c>
    </row>
    <row r="1323" ht="18" customHeight="1" s="16">
      <c r="A1323" s="5" t="n">
        <v>1322</v>
      </c>
      <c r="B1323" s="2" t="inlineStr">
        <is>
          <t>GU-3574</t>
        </is>
      </c>
      <c r="C1323" s="2" t="n"/>
      <c r="D1323" s="2" t="inlineStr">
        <is>
          <t>GG ミニ クロスボディバッグ</t>
        </is>
      </c>
      <c r="E1323" s="2" t="inlineStr">
        <is>
          <t>802100 FADUS 9857</t>
        </is>
      </c>
      <c r="F1323" s="2" t="inlineStr">
        <is>
          <t>ベージュ＆ダークブラウン GGキャンバス</t>
        </is>
      </c>
      <c r="G1323" s="11" t="inlineStr">
        <is>
          <t>SOLD</t>
        </is>
      </c>
      <c r="H1323" s="22" t="inlineStr">
        <is>
          <t>SOLD</t>
        </is>
      </c>
      <c r="I1323" s="18" t="n">
        <v>264000</v>
      </c>
      <c r="J1323" s="23" t="inlineStr">
        <is>
          <t>NOTFOUND</t>
        </is>
      </c>
      <c r="K1323" s="20" t="n">
        <v>0</v>
      </c>
      <c r="L1323" s="4" t="inlineStr">
        <is>
          <t>https://www.gucci.com/jp/ja/pr/men/bags-for-men/small-bags-pouches-for-men/small-bags/mini-gg-crossbody-bag-p-802100FADUS9857</t>
        </is>
      </c>
      <c r="M1323" s="5">
        <f t="array" ref="M1323">_xlfn.IFS(J1323="NOTFOUND",I1323,J1323&gt;=I1323,J1323)</f>
        <v/>
      </c>
    </row>
    <row r="1324" ht="18" customHeight="1" s="16">
      <c r="A1324" s="5" t="n">
        <v>1323</v>
      </c>
      <c r="B1324" s="2" t="inlineStr">
        <is>
          <t>GU-3575</t>
        </is>
      </c>
      <c r="C1324" s="2" t="n"/>
      <c r="D1324" s="2" t="inlineStr">
        <is>
          <t>GG スモール クロスボディバッグ</t>
        </is>
      </c>
      <c r="E1324" s="2" t="inlineStr">
        <is>
          <t>802096 FADUK 9853</t>
        </is>
      </c>
      <c r="F1324" s="2" t="inlineStr">
        <is>
          <t xml:space="preserve">  -</t>
        </is>
      </c>
      <c r="G1324" s="10" t="inlineStr">
        <is>
          <t>OneSize</t>
        </is>
      </c>
      <c r="H1324" s="17" t="inlineStr">
        <is>
          <t>OneSize</t>
        </is>
      </c>
      <c r="I1324" s="18" t="n">
        <v>275000</v>
      </c>
      <c r="J1324" s="19" t="n">
        <v>275000</v>
      </c>
      <c r="K1324" s="20" t="n">
        <v>5</v>
      </c>
      <c r="L1324" s="4" t="inlineStr">
        <is>
          <t>https://www.gucci.com/jp/ja/pr/men/bags-for-men/bestsellers-for-men/small-gg-crossbody-bag-p-802096FADUK9853</t>
        </is>
      </c>
      <c r="M1324" s="5">
        <f t="array" ref="M1324">_xlfn.IFS(J1324="NOTFOUND",I1324,J1324&gt;=I1324,J1324)</f>
        <v/>
      </c>
    </row>
    <row r="1325" ht="18" customHeight="1" s="16">
      <c r="A1325" s="5" t="n">
        <v>1324</v>
      </c>
      <c r="B1325" s="2" t="inlineStr">
        <is>
          <t>GU-3576</t>
        </is>
      </c>
      <c r="C1325" s="2" t="n"/>
      <c r="D1325" s="2" t="inlineStr">
        <is>
          <t>ロゴ ミディアム バックパック</t>
        </is>
      </c>
      <c r="E1325" s="2" t="inlineStr">
        <is>
          <t>800265 FADSC 9852</t>
        </is>
      </c>
      <c r="F1325" s="2" t="inlineStr">
        <is>
          <t>ベージュ＆ダークブラウン GGキャンバス</t>
        </is>
      </c>
      <c r="G1325" s="10" t="inlineStr">
        <is>
          <t>OneSize</t>
        </is>
      </c>
      <c r="H1325" s="17" t="inlineStr">
        <is>
          <t>OneSize</t>
        </is>
      </c>
      <c r="I1325" s="18" t="n">
        <v>437800</v>
      </c>
      <c r="J1325" s="19" t="n">
        <v>437800</v>
      </c>
      <c r="K1325" s="20" t="n">
        <v>5</v>
      </c>
      <c r="L1325" s="4" t="inlineStr">
        <is>
          <t>https://www.gucci.com/jp/ja/pr/men/bags-for-men/backpacks-for-men/medium-backpack-with-gucci-logo-p-800265FADSC9852</t>
        </is>
      </c>
      <c r="M1325" s="5">
        <f t="array" ref="M1325">_xlfn.IFS(J1325="NOTFOUND",I1325,J1325&gt;=I1325,J1325)</f>
        <v/>
      </c>
    </row>
    <row r="1326" ht="18" customHeight="1" s="16">
      <c r="A1326" s="5" t="n">
        <v>1325</v>
      </c>
      <c r="B1326" s="2" t="inlineStr">
        <is>
          <t>GU-3577</t>
        </is>
      </c>
      <c r="C1326" s="2" t="n"/>
      <c r="D1326" s="2" t="inlineStr">
        <is>
          <t>ロゴ ラージ バックパック</t>
        </is>
      </c>
      <c r="E1326" s="2" t="inlineStr">
        <is>
          <t>800182 FADSC 9852</t>
        </is>
      </c>
      <c r="F1326" s="2" t="inlineStr">
        <is>
          <t xml:space="preserve">  -</t>
        </is>
      </c>
      <c r="G1326" s="10" t="inlineStr">
        <is>
          <t>OneSize</t>
        </is>
      </c>
      <c r="H1326" s="17" t="inlineStr">
        <is>
          <t>OneSize</t>
        </is>
      </c>
      <c r="I1326" s="18" t="n">
        <v>522500</v>
      </c>
      <c r="J1326" s="19" t="n">
        <v>522500</v>
      </c>
      <c r="K1326" s="20" t="n">
        <v>5</v>
      </c>
      <c r="L1326" s="4" t="inlineStr">
        <is>
          <t>https://www.gucci.com/jp/ja/pr/men/bags-for-men/backpacks-for-men/large-backpack-with-gucci-logo-p-800182FADSC9852</t>
        </is>
      </c>
      <c r="M1326" s="5">
        <f t="array" ref="M1326">_xlfn.IFS(J1326="NOTFOUND",I1326,J1326&gt;=I1326,J1326)</f>
        <v/>
      </c>
    </row>
    <row r="1327" ht="18" customHeight="1" s="16">
      <c r="A1327" s="5" t="n">
        <v>1326</v>
      </c>
      <c r="B1327" s="2" t="inlineStr">
        <is>
          <t>GU-3578</t>
        </is>
      </c>
      <c r="C1327" s="2" t="n"/>
      <c r="D1327" s="2" t="inlineStr">
        <is>
          <t>ウェブ ストライプ付き GG スモール クロスボディバッグ</t>
        </is>
      </c>
      <c r="E1327" s="2" t="inlineStr">
        <is>
          <t>821617 FAEHA 1042</t>
        </is>
      </c>
      <c r="F1327" s="2" t="inlineStr">
        <is>
          <t>ブラック キャンバス</t>
        </is>
      </c>
      <c r="G1327" s="10" t="inlineStr">
        <is>
          <t>OneSize</t>
        </is>
      </c>
      <c r="H1327" s="17" t="inlineStr">
        <is>
          <t>OneSize</t>
        </is>
      </c>
      <c r="I1327" s="18" t="n">
        <v>297000</v>
      </c>
      <c r="J1327" s="19" t="n">
        <v>297000</v>
      </c>
      <c r="K1327" s="20" t="n">
        <v>5</v>
      </c>
      <c r="L1327" s="4" t="inlineStr">
        <is>
          <t>https://www.gucci.com/jp/ja/pr/women/handbags/crossbody-bags-for-women/small-gg-crossbody-bag-with-web-p-821617FAEHA1042</t>
        </is>
      </c>
      <c r="M1327" s="5">
        <f t="array" ref="M1327">_xlfn.IFS(J1327="NOTFOUND",I1327,J1327&gt;=I1327,J1327)</f>
        <v/>
      </c>
    </row>
    <row r="1328" ht="18" customHeight="1" s="16">
      <c r="A1328" s="5" t="n">
        <v>1327</v>
      </c>
      <c r="B1328" s="2" t="inlineStr">
        <is>
          <t>GU-3579</t>
        </is>
      </c>
      <c r="C1328" s="2" t="n"/>
      <c r="D1328" s="2" t="inlineStr">
        <is>
          <t>GG ラバーエフェクト クロスボディバッグ</t>
        </is>
      </c>
      <c r="E1328" s="2" t="inlineStr">
        <is>
          <t>775097 AAC4D 1000</t>
        </is>
      </c>
      <c r="F1328" s="2" t="inlineStr">
        <is>
          <t xml:space="preserve">  -</t>
        </is>
      </c>
      <c r="G1328" s="11" t="inlineStr">
        <is>
          <t>SOLD</t>
        </is>
      </c>
      <c r="H1328" s="22" t="inlineStr">
        <is>
          <t>SOLD</t>
        </is>
      </c>
      <c r="I1328" s="18" t="n">
        <v>302500</v>
      </c>
      <c r="J1328" s="23" t="inlineStr">
        <is>
          <t>NOTFOUND</t>
        </is>
      </c>
      <c r="K1328" s="20" t="n">
        <v>0</v>
      </c>
      <c r="L1328" s="4" t="inlineStr">
        <is>
          <t>https://www.gucci.com/jp/ja/pr/men/bags-for-men/messenger-crossbody-bags-for-men/small-crossbody-bag-p-775097AAC4D1000</t>
        </is>
      </c>
      <c r="M1328" s="5">
        <f t="array" ref="M1328">_xlfn.IFS(J1328="NOTFOUND",I1328,J1328&gt;=I1328,J1328)</f>
        <v/>
      </c>
    </row>
    <row r="1329" ht="18" customHeight="1" s="16">
      <c r="A1329" s="5" t="n">
        <v>1328</v>
      </c>
      <c r="B1329" s="2" t="inlineStr">
        <is>
          <t>GU-3580</t>
        </is>
      </c>
      <c r="C1329" s="2" t="n"/>
      <c r="D1329" s="2" t="inlineStr">
        <is>
          <t>GG ラバーエフェクト ベルトバッグ</t>
        </is>
      </c>
      <c r="E1329" s="2" t="inlineStr">
        <is>
          <t>771422 AAC4F 1000</t>
        </is>
      </c>
      <c r="F1329" s="2" t="inlineStr">
        <is>
          <t xml:space="preserve">  -</t>
        </is>
      </c>
      <c r="G1329" s="11" t="inlineStr">
        <is>
          <t>SOLD</t>
        </is>
      </c>
      <c r="H1329" s="22" t="inlineStr">
        <is>
          <t>SOLD</t>
        </is>
      </c>
      <c r="I1329" s="18" t="n">
        <v>217800</v>
      </c>
      <c r="J1329" s="23" t="inlineStr">
        <is>
          <t>NOTFOUND</t>
        </is>
      </c>
      <c r="K1329" s="20" t="n">
        <v>0</v>
      </c>
      <c r="L1329" s="4" t="inlineStr">
        <is>
          <t>https://www.gucci.com/jp/ja/pr/men/bags-for-men/belt-bags-slingbag-for-men/small-belt-bag-p-771422AAC4F1000</t>
        </is>
      </c>
      <c r="M1329" s="5">
        <f t="array" ref="M1329">_xlfn.IFS(J1329="NOTFOUND",I1329,J1329&gt;=I1329,J1329)</f>
        <v/>
      </c>
    </row>
    <row r="1330" ht="18" customHeight="1" s="16">
      <c r="A1330" s="5" t="n">
        <v>1329</v>
      </c>
      <c r="B1330" s="2" t="inlineStr">
        <is>
          <t>GU-3581</t>
        </is>
      </c>
      <c r="C1330" s="2" t="n"/>
      <c r="D1330" s="2" t="inlineStr">
        <is>
          <t>GG ラバーエフェクト クロスボディバッグ</t>
        </is>
      </c>
      <c r="E1330" s="2" t="inlineStr">
        <is>
          <t>771293 AAC4D 1000</t>
        </is>
      </c>
      <c r="F1330" s="2" t="inlineStr">
        <is>
          <t xml:space="preserve">  -</t>
        </is>
      </c>
      <c r="G1330" s="11" t="inlineStr">
        <is>
          <t>SOLD</t>
        </is>
      </c>
      <c r="H1330" s="22" t="inlineStr">
        <is>
          <t>SOLD</t>
        </is>
      </c>
      <c r="I1330" s="18" t="n">
        <v>275000</v>
      </c>
      <c r="J1330" s="23" t="inlineStr">
        <is>
          <t>NOTFOUND</t>
        </is>
      </c>
      <c r="K1330" s="20" t="n">
        <v>0</v>
      </c>
      <c r="L1330" s="4" t="inlineStr">
        <is>
          <t>https://www.gucci.com/jp/ja/pr/men/bags-for-men/messenger-crossbody-bags-for-men/small-crossbody-bag-p-771293AAC4D1000</t>
        </is>
      </c>
      <c r="M1330" s="5">
        <f t="array" ref="M1330">_xlfn.IFS(J1330="NOTFOUND",I1330,J1330&gt;=I1330,J1330)</f>
        <v/>
      </c>
    </row>
    <row r="1331" ht="18" customHeight="1" s="16">
      <c r="A1331" s="5" t="n">
        <v>1330</v>
      </c>
      <c r="B1331" s="2" t="inlineStr">
        <is>
          <t>GU-3582</t>
        </is>
      </c>
      <c r="C1331" s="2" t="n"/>
      <c r="D1331" s="2" t="inlineStr">
        <is>
          <t>GG ラバーエフェクト バックパック</t>
        </is>
      </c>
      <c r="E1331" s="2" t="inlineStr">
        <is>
          <t>771280 AAC4E 1000</t>
        </is>
      </c>
      <c r="F1331" s="2" t="inlineStr">
        <is>
          <t xml:space="preserve">  -</t>
        </is>
      </c>
      <c r="G1331" s="11" t="inlineStr">
        <is>
          <t>SOLD</t>
        </is>
      </c>
      <c r="H1331" s="22" t="inlineStr">
        <is>
          <t>SOLD</t>
        </is>
      </c>
      <c r="I1331" s="18" t="n">
        <v>401500</v>
      </c>
      <c r="J1331" s="23" t="inlineStr">
        <is>
          <t>NOTFOUND</t>
        </is>
      </c>
      <c r="K1331" s="20" t="n">
        <v>0</v>
      </c>
      <c r="L1331" s="4" t="inlineStr">
        <is>
          <t>https://www.gucci.com/jp/ja/pr/men/bags-for-men/backpacks-for-men/small-backpack-p-771280AAC4E1000</t>
        </is>
      </c>
      <c r="M1331" s="5">
        <f t="array" ref="M1331">_xlfn.IFS(J1331="NOTFOUND",I1331,J1331&gt;=I1331,J1331)</f>
        <v/>
      </c>
    </row>
    <row r="1332" ht="18" customHeight="1" s="16">
      <c r="A1332" s="5" t="n">
        <v>1331</v>
      </c>
      <c r="B1332" s="2" t="inlineStr">
        <is>
          <t>GU-3583</t>
        </is>
      </c>
      <c r="C1332" s="2" t="n"/>
      <c r="D1332" s="2" t="inlineStr">
        <is>
          <t>オフィディア GG クロスボディバッグ</t>
        </is>
      </c>
      <c r="E1332" s="2" t="inlineStr">
        <is>
          <t>779915 FAC5O 9778</t>
        </is>
      </c>
      <c r="F1332" s="2" t="inlineStr">
        <is>
          <t xml:space="preserve">  -</t>
        </is>
      </c>
      <c r="G1332" s="10" t="inlineStr">
        <is>
          <t>OneSize</t>
        </is>
      </c>
      <c r="H1332" s="17" t="inlineStr">
        <is>
          <t>OneSize</t>
        </is>
      </c>
      <c r="I1332" s="18" t="n">
        <v>231000</v>
      </c>
      <c r="J1332" s="19" t="n">
        <v>231000</v>
      </c>
      <c r="K1332" s="20" t="n">
        <v>5</v>
      </c>
      <c r="L1332" s="4" t="inlineStr">
        <is>
          <t>https://www.gucci.com/jp/ja/pr/men/bags-for-men/belt-bags-slingbag-for-men/ophidia-crossbody-bag-p-779915FAC5O9778</t>
        </is>
      </c>
      <c r="M1332" s="5">
        <f t="array" ref="M1332">_xlfn.IFS(J1332="NOTFOUND",I1332,J1332&gt;=I1332,J1332)</f>
        <v/>
      </c>
    </row>
    <row r="1333" ht="18" customHeight="1" s="16">
      <c r="A1333" s="5" t="n">
        <v>1332</v>
      </c>
      <c r="B1333" s="2" t="inlineStr">
        <is>
          <t>GU-3584</t>
        </is>
      </c>
      <c r="C1333" s="2" t="n"/>
      <c r="D1333" s="2" t="inlineStr">
        <is>
          <t>オフィディア GG スモール バックパック</t>
        </is>
      </c>
      <c r="E1333" s="2" t="inlineStr">
        <is>
          <t>547965 9U8BT 8994</t>
        </is>
      </c>
      <c r="F1333" s="2" t="inlineStr">
        <is>
          <t>GGスプリーム</t>
        </is>
      </c>
      <c r="G1333" s="10" t="inlineStr">
        <is>
          <t>OneSize</t>
        </is>
      </c>
      <c r="H1333" s="22" t="inlineStr">
        <is>
          <t>SOLD</t>
        </is>
      </c>
      <c r="I1333" s="18" t="n">
        <v>258500</v>
      </c>
      <c r="J1333" s="19" t="n">
        <v>258500</v>
      </c>
      <c r="K1333" s="20" t="n">
        <v>0</v>
      </c>
      <c r="L1333" s="4" t="inlineStr">
        <is>
          <t>https://www.gucci.com/jp/ja/pr/men/bags-for-men/backpacks-for-men/ophidia-small-backpack-p-5479659U8BT8994</t>
        </is>
      </c>
      <c r="M1333" s="5">
        <f t="array" ref="M1333">_xlfn.IFS(J1333="NOTFOUND",I1333,J1333&gt;=I1333,J1333)</f>
        <v/>
      </c>
    </row>
    <row r="1334" ht="18" customHeight="1" s="16">
      <c r="A1334" s="5" t="n">
        <v>1333</v>
      </c>
      <c r="B1334" s="2" t="inlineStr">
        <is>
          <t>GU-3585</t>
        </is>
      </c>
      <c r="C1334" s="2" t="n"/>
      <c r="D1334" s="2" t="inlineStr">
        <is>
          <t>オフィディア GG ポーチ</t>
        </is>
      </c>
      <c r="E1334" s="2" t="inlineStr">
        <is>
          <t>598234 96IWT 8745</t>
        </is>
      </c>
      <c r="F1334" s="2" t="inlineStr">
        <is>
          <t xml:space="preserve">  -</t>
        </is>
      </c>
      <c r="G1334" s="10" t="inlineStr">
        <is>
          <t>OneSize</t>
        </is>
      </c>
      <c r="H1334" s="17" t="inlineStr">
        <is>
          <t>OneSize</t>
        </is>
      </c>
      <c r="I1334" s="18" t="n">
        <v>127600</v>
      </c>
      <c r="J1334" s="19" t="n">
        <v>127600</v>
      </c>
      <c r="K1334" s="20" t="n">
        <v>5</v>
      </c>
      <c r="L1334" s="4" t="inlineStr">
        <is>
          <t>https://www.gucci.com/jp/ja/pr/women/small-leather-goods-for-women/pouches-for-women/ophidia-pouch-p-59823496IWT8745</t>
        </is>
      </c>
      <c r="M1334" s="5">
        <f t="array" ref="M1334">_xlfn.IFS(J1334="NOTFOUND",I1334,J1334&gt;=I1334,J1334)</f>
        <v/>
      </c>
    </row>
    <row r="1335" ht="18" customHeight="1" s="16">
      <c r="A1335" s="5" t="n">
        <v>1334</v>
      </c>
      <c r="B1335" s="2" t="inlineStr">
        <is>
          <t>GU-3586</t>
        </is>
      </c>
      <c r="C1335" s="2" t="n"/>
      <c r="D1335" s="2" t="inlineStr">
        <is>
          <t>オフィディア スモール バックパック</t>
        </is>
      </c>
      <c r="E1335" s="2" t="inlineStr">
        <is>
          <t>792114 FADMF 9794</t>
        </is>
      </c>
      <c r="F1335" s="2" t="inlineStr">
        <is>
          <t>ベージュ＆エボニー GGスプリーム キャンバス</t>
        </is>
      </c>
      <c r="G1335" s="10" t="inlineStr">
        <is>
          <t>OneSize</t>
        </is>
      </c>
      <c r="H1335" s="17" t="inlineStr">
        <is>
          <t>OneSize</t>
        </is>
      </c>
      <c r="I1335" s="18" t="n">
        <v>308000</v>
      </c>
      <c r="J1335" s="19" t="n">
        <v>308000</v>
      </c>
      <c r="K1335" s="20" t="n">
        <v>5</v>
      </c>
      <c r="L1335" s="4" t="inlineStr">
        <is>
          <t>https://www.gucci.com/jp/ja/pr/men/bags-for-men/backpacks-for-men/ophidia-small-backpack-p-792114FADMF9794</t>
        </is>
      </c>
      <c r="M1335" s="5">
        <f t="array" ref="M1335">_xlfn.IFS(J1335="NOTFOUND",I1335,J1335&gt;=I1335,J1335)</f>
        <v/>
      </c>
    </row>
    <row r="1336" ht="18" customHeight="1" s="16">
      <c r="A1336" s="5" t="n">
        <v>1335</v>
      </c>
      <c r="B1336" s="2" t="inlineStr">
        <is>
          <t>GU-3587</t>
        </is>
      </c>
      <c r="C1336" s="2" t="n"/>
      <c r="D1336" s="2" t="inlineStr">
        <is>
          <t>オフィディア ミディアム バックパック</t>
        </is>
      </c>
      <c r="E1336" s="2" t="inlineStr">
        <is>
          <t>779901 FABYY 9744</t>
        </is>
      </c>
      <c r="F1336" s="2" t="inlineStr">
        <is>
          <t xml:space="preserve">  -</t>
        </is>
      </c>
      <c r="G1336" s="11" t="inlineStr">
        <is>
          <t>SOLD</t>
        </is>
      </c>
      <c r="H1336" s="22" t="inlineStr">
        <is>
          <t>SOLD</t>
        </is>
      </c>
      <c r="I1336" s="18" t="n">
        <v>341000</v>
      </c>
      <c r="J1336" s="23" t="inlineStr">
        <is>
          <t>NOTFOUND</t>
        </is>
      </c>
      <c r="K1336" s="20" t="n">
        <v>0</v>
      </c>
      <c r="L1336" s="4" t="inlineStr">
        <is>
          <t>https://www.gucci.com/jp/ja/pr/men/bags-for-men/backpacks-for-men/ophidia-medium-backpack-p-779901FABYY9744</t>
        </is>
      </c>
      <c r="M1336" s="5">
        <f t="array" ref="M1336">_xlfn.IFS(J1336="NOTFOUND",I1336,J1336&gt;=I1336,J1336)</f>
        <v/>
      </c>
    </row>
    <row r="1337" ht="18" customHeight="1" s="16">
      <c r="A1337" s="5" t="n">
        <v>1336</v>
      </c>
      <c r="B1337" s="2" t="inlineStr">
        <is>
          <t>GU-3588</t>
        </is>
      </c>
      <c r="C1337" s="2" t="n"/>
      <c r="D1337" s="2" t="inlineStr">
        <is>
          <t>オフィディア スモール クロスボディバッグ</t>
        </is>
      </c>
      <c r="E1337" s="2" t="inlineStr">
        <is>
          <t>752591 FACFW 8920</t>
        </is>
      </c>
      <c r="F1337" s="2" t="inlineStr">
        <is>
          <t xml:space="preserve">  -</t>
        </is>
      </c>
      <c r="G1337" s="10" t="inlineStr">
        <is>
          <t>OneSize</t>
        </is>
      </c>
      <c r="H1337" s="17" t="inlineStr">
        <is>
          <t>OneSize</t>
        </is>
      </c>
      <c r="I1337" s="18" t="n">
        <v>242000</v>
      </c>
      <c r="J1337" s="19" t="n">
        <v>242000</v>
      </c>
      <c r="K1337" s="20" t="n">
        <v>5</v>
      </c>
      <c r="L1337" s="4" t="inlineStr">
        <is>
          <t>https://www.gucci.com/jp/ja/pr/men/bags-for-men/messenger-crossbody-bags-for-men/ophidia-small-crossbody-bag-p-752591FACFW8920</t>
        </is>
      </c>
      <c r="M1337" s="5">
        <f t="array" ref="M1337">_xlfn.IFS(J1337="NOTFOUND",I1337,J1337&gt;=I1337,J1337)</f>
        <v/>
      </c>
    </row>
    <row r="1338" ht="18" customHeight="1" s="16">
      <c r="A1338" s="5" t="n">
        <v>1337</v>
      </c>
      <c r="B1338" s="2" t="inlineStr">
        <is>
          <t>GU-3589</t>
        </is>
      </c>
      <c r="C1338" s="2" t="n"/>
      <c r="D1338" s="2" t="inlineStr">
        <is>
          <t>オフィディア ウェブ ストライプ付き スモール クロスボディバッグ</t>
        </is>
      </c>
      <c r="E1338" s="2" t="inlineStr">
        <is>
          <t>739392 96IWT 8745</t>
        </is>
      </c>
      <c r="F1338" s="2" t="inlineStr">
        <is>
          <t xml:space="preserve">  -</t>
        </is>
      </c>
      <c r="G1338" s="10" t="inlineStr">
        <is>
          <t>OneSize</t>
        </is>
      </c>
      <c r="H1338" s="17" t="inlineStr">
        <is>
          <t>OneSize</t>
        </is>
      </c>
      <c r="I1338" s="18" t="n">
        <v>236500</v>
      </c>
      <c r="J1338" s="19" t="n">
        <v>236500</v>
      </c>
      <c r="K1338" s="20" t="n">
        <v>5</v>
      </c>
      <c r="L1338" s="4" t="inlineStr">
        <is>
          <t>https://www.gucci.com/jp/ja/pr/women/handbags/crossbody-bags-for-women/ophidia-small-crossbody-bag-with-web-p-73939296IWT8745</t>
        </is>
      </c>
      <c r="M1338" s="5">
        <f t="array" ref="M1338">_xlfn.IFS(J1338="NOTFOUND",I1338,J1338&gt;=I1338,J1338)</f>
        <v/>
      </c>
    </row>
    <row r="1339" ht="18" customHeight="1" s="16">
      <c r="A1339" s="5" t="n">
        <v>1338</v>
      </c>
      <c r="B1339" s="2" t="inlineStr">
        <is>
          <t>GU-3590</t>
        </is>
      </c>
      <c r="C1339" s="2" t="n"/>
      <c r="D1339" s="2" t="inlineStr">
        <is>
          <t>SAVOY ミディアム ダッフルバッグ</t>
        </is>
      </c>
      <c r="E1339" s="2" t="inlineStr">
        <is>
          <t>724642 9C2ST 8746</t>
        </is>
      </c>
      <c r="F1339" s="2" t="inlineStr">
        <is>
          <t>ベージュ＆エボニー GGスプリーム キャンバス</t>
        </is>
      </c>
      <c r="G1339" s="10" t="inlineStr">
        <is>
          <t>OneSize</t>
        </is>
      </c>
      <c r="H1339" s="17" t="inlineStr">
        <is>
          <t>OneSize</t>
        </is>
      </c>
      <c r="I1339" s="18" t="n">
        <v>357500</v>
      </c>
      <c r="J1339" s="19" t="n">
        <v>357500</v>
      </c>
      <c r="K1339" s="20" t="n">
        <v>5</v>
      </c>
      <c r="L1339" s="4" t="inlineStr">
        <is>
          <t>https://www.gucci.com/jp/ja/pr/men/bags-for-men/suitcases-duffle-bags-for-men/gucci-savoy-medium-duffle-bag-p-7246429C2ST8746</t>
        </is>
      </c>
      <c r="M1339" s="5">
        <f t="array" ref="M1339">_xlfn.IFS(J1339="NOTFOUND",I1339,J1339&gt;=I1339,J1339)</f>
        <v/>
      </c>
    </row>
    <row r="1340" ht="18" customHeight="1" s="16">
      <c r="A1340" s="5" t="n">
        <v>1339</v>
      </c>
      <c r="B1340" s="2" t="inlineStr">
        <is>
          <t>GU-3591</t>
        </is>
      </c>
      <c r="C1340" s="2" t="n"/>
      <c r="D1340" s="2" t="inlineStr">
        <is>
          <t>オフィディア GG ベルトバッグ</t>
        </is>
      </c>
      <c r="E1340" s="2" t="inlineStr">
        <is>
          <t>574796 97SIT 8747</t>
        </is>
      </c>
      <c r="F1340" s="2" t="inlineStr">
        <is>
          <t xml:space="preserve">  -</t>
        </is>
      </c>
      <c r="G1340" s="11" t="inlineStr">
        <is>
          <t>SOLD</t>
        </is>
      </c>
      <c r="H1340" s="22" t="inlineStr">
        <is>
          <t>SOLD</t>
        </is>
      </c>
      <c r="I1340" s="18" t="n">
        <v>192500</v>
      </c>
      <c r="J1340" s="23" t="inlineStr">
        <is>
          <t>NOTFOUND</t>
        </is>
      </c>
      <c r="K1340" s="20" t="n">
        <v>0</v>
      </c>
      <c r="L1340" s="4" t="inlineStr">
        <is>
          <t>https://www.gucci.com/jp/ja/pr/men/bags-for-men/belt-bags-slingbag-for-men/ophidia-small-belt-bag-p-57479697SIT8747</t>
        </is>
      </c>
      <c r="M1340" s="5">
        <f t="array" ref="M1340">_xlfn.IFS(J1340="NOTFOUND",I1340,J1340&gt;=I1340,J1340)</f>
        <v/>
      </c>
    </row>
    <row r="1341" ht="18" customHeight="1" s="16">
      <c r="A1341" s="5" t="n">
        <v>1340</v>
      </c>
      <c r="B1341" s="2" t="inlineStr">
        <is>
          <t>GU-3592</t>
        </is>
      </c>
      <c r="C1341" s="2" t="n"/>
      <c r="D1341" s="2" t="inlineStr">
        <is>
          <t>SAVOY GG ミディアム ダッフルバッグ</t>
        </is>
      </c>
      <c r="E1341" s="2" t="inlineStr">
        <is>
          <t>547953 9C2ST 8746</t>
        </is>
      </c>
      <c r="F1341" s="2" t="inlineStr">
        <is>
          <t xml:space="preserve">  -</t>
        </is>
      </c>
      <c r="G1341" s="10" t="inlineStr">
        <is>
          <t>OneSize</t>
        </is>
      </c>
      <c r="H1341" s="17" t="inlineStr">
        <is>
          <t>OneSize</t>
        </is>
      </c>
      <c r="I1341" s="18" t="n">
        <v>357500</v>
      </c>
      <c r="J1341" s="19" t="n">
        <v>357500</v>
      </c>
      <c r="K1341" s="20" t="n">
        <v>5</v>
      </c>
      <c r="L1341" s="4" t="inlineStr">
        <is>
          <t>https://www.gucci.com/jp/ja/pr/men/bags-for-men/suitcases-duffle-bags-for-men/gucci-savoy-medium-duffle-bag-p-5479539C2ST8746</t>
        </is>
      </c>
      <c r="M1341" s="5">
        <f t="array" ref="M1341">_xlfn.IFS(J1341="NOTFOUND",I1341,J1341&gt;=I1341,J1341)</f>
        <v/>
      </c>
    </row>
    <row r="1342" ht="18" customHeight="1" s="16">
      <c r="A1342" s="5" t="n">
        <v>1341</v>
      </c>
      <c r="B1342" s="2" t="inlineStr">
        <is>
          <t>GU-3593</t>
        </is>
      </c>
      <c r="C1342" s="2" t="n"/>
      <c r="D1342" s="2" t="inlineStr">
        <is>
          <t>オフィディア GG スモール メッセンジャー バッグ</t>
        </is>
      </c>
      <c r="E1342" s="2" t="inlineStr">
        <is>
          <t>547926 96IWT 8745</t>
        </is>
      </c>
      <c r="F1342" s="2" t="inlineStr">
        <is>
          <t>GGスプリーム</t>
        </is>
      </c>
      <c r="G1342" s="10" t="inlineStr">
        <is>
          <t>OneSize</t>
        </is>
      </c>
      <c r="H1342" s="17" t="inlineStr">
        <is>
          <t>OneSize</t>
        </is>
      </c>
      <c r="I1342" s="18" t="n">
        <v>211200</v>
      </c>
      <c r="J1342" s="19" t="n">
        <v>211200</v>
      </c>
      <c r="K1342" s="20" t="n">
        <v>5</v>
      </c>
      <c r="L1342" s="4" t="inlineStr">
        <is>
          <t>https://www.gucci.com/jp/ja/pr/men/bags-for-men/messenger-crossbody-bags-for-men/ophidia-small-messenger-bag-p-54792696IWT8745</t>
        </is>
      </c>
      <c r="M1342" s="5">
        <f t="array" ref="M1342">_xlfn.IFS(J1342="NOTFOUND",I1342,J1342&gt;=I1342,J1342)</f>
        <v/>
      </c>
    </row>
    <row r="1343" ht="18" customHeight="1" s="16">
      <c r="A1343" s="5" t="n">
        <v>1342</v>
      </c>
      <c r="B1343" s="2" t="inlineStr">
        <is>
          <t>GU-3594</t>
        </is>
      </c>
      <c r="C1343" s="2" t="n"/>
      <c r="D1343" s="2" t="inlineStr">
        <is>
          <t>オフィディア GG スモール クロスボディバッグ</t>
        </is>
      </c>
      <c r="E1343" s="2" t="inlineStr">
        <is>
          <t>802170 FACJY 8441</t>
        </is>
      </c>
      <c r="F1343" s="2" t="inlineStr">
        <is>
          <t xml:space="preserve">  -</t>
        </is>
      </c>
      <c r="G1343" s="11" t="inlineStr">
        <is>
          <t>SOLD</t>
        </is>
      </c>
      <c r="H1343" s="22" t="inlineStr">
        <is>
          <t>SOLD</t>
        </is>
      </c>
      <c r="I1343" s="18" t="n">
        <v>269500</v>
      </c>
      <c r="J1343" s="23" t="inlineStr">
        <is>
          <t>NOTFOUND</t>
        </is>
      </c>
      <c r="K1343" s="20" t="n">
        <v>0</v>
      </c>
      <c r="L1343" s="4" t="inlineStr">
        <is>
          <t>https://www.gucci.com/jp/ja/pr/men/bags-for-men/small-bags-pouches-for-men/small-bags/ophidia-small-crossbody-bag-p-802170FACJY8441</t>
        </is>
      </c>
      <c r="M1343" s="5">
        <f t="array" ref="M1343">_xlfn.IFS(J1343="NOTFOUND",I1343,J1343&gt;=I1343,J1343)</f>
        <v/>
      </c>
    </row>
    <row r="1344" ht="18" customHeight="1" s="16">
      <c r="A1344" s="5" t="n">
        <v>1343</v>
      </c>
      <c r="B1344" s="2" t="inlineStr">
        <is>
          <t>GU-3595</t>
        </is>
      </c>
      <c r="C1344" s="2" t="n"/>
      <c r="D1344" s="2" t="inlineStr">
        <is>
          <t>オフィディア GG ミディアムブリーフケース</t>
        </is>
      </c>
      <c r="E1344" s="2" t="inlineStr">
        <is>
          <t>792116 FACJT 8441</t>
        </is>
      </c>
      <c r="F1344" s="2" t="inlineStr">
        <is>
          <t>ブルー＆ダークブルー GGスプリーム キャンバス</t>
        </is>
      </c>
      <c r="G1344" s="11" t="inlineStr">
        <is>
          <t>SOLD</t>
        </is>
      </c>
      <c r="H1344" s="22" t="inlineStr">
        <is>
          <t>SOLD</t>
        </is>
      </c>
      <c r="I1344" s="18" t="n">
        <v>308000</v>
      </c>
      <c r="J1344" s="23" t="inlineStr">
        <is>
          <t>NOTFOUND</t>
        </is>
      </c>
      <c r="K1344" s="20" t="n">
        <v>0</v>
      </c>
      <c r="L1344" s="4" t="inlineStr">
        <is>
          <t>https://www.gucci.com/jp/ja/pr/men/bags-for-men/briefcases-for-men/ophidia-medium-gg-briefcase-p-792116FACJT8441</t>
        </is>
      </c>
      <c r="M1344" s="5">
        <f t="array" ref="M1344">_xlfn.IFS(J1344="NOTFOUND",I1344,J1344&gt;=I1344,J1344)</f>
        <v/>
      </c>
    </row>
    <row r="1345" ht="18" customHeight="1" s="16">
      <c r="A1345" s="5" t="n">
        <v>1344</v>
      </c>
      <c r="B1345" s="2" t="inlineStr">
        <is>
          <t>GU-3596</t>
        </is>
      </c>
      <c r="C1345" s="2" t="n"/>
      <c r="D1345" s="2" t="inlineStr">
        <is>
          <t>オフィディア GG ラージ バックパック</t>
        </is>
      </c>
      <c r="E1345" s="2" t="inlineStr">
        <is>
          <t>792104 FADJJ 8452</t>
        </is>
      </c>
      <c r="F1345" s="2" t="inlineStr">
        <is>
          <t>ブルー スプリーム キャンバス</t>
        </is>
      </c>
      <c r="G1345" s="11" t="inlineStr">
        <is>
          <t>SOLD</t>
        </is>
      </c>
      <c r="H1345" s="22" t="inlineStr">
        <is>
          <t>SOLD</t>
        </is>
      </c>
      <c r="I1345" s="18" t="n">
        <v>341000</v>
      </c>
      <c r="J1345" s="23" t="inlineStr">
        <is>
          <t>NOTFOUND</t>
        </is>
      </c>
      <c r="K1345" s="20" t="n">
        <v>0</v>
      </c>
      <c r="L1345" s="4" t="inlineStr">
        <is>
          <t>https://www.gucci.com/jp/ja/pr/men/bags-for-men/backpacks-for-men/ophidia-large-backpack-p-792104FADJJ8452</t>
        </is>
      </c>
      <c r="M1345" s="5">
        <f t="array" ref="M1345">_xlfn.IFS(J1345="NOTFOUND",I1345,J1345&gt;=I1345,J1345)</f>
        <v/>
      </c>
    </row>
    <row r="1346" ht="18" customHeight="1" s="16">
      <c r="A1346" s="5" t="n">
        <v>1345</v>
      </c>
      <c r="B1346" s="2" t="inlineStr">
        <is>
          <t>GU-3597</t>
        </is>
      </c>
      <c r="C1346" s="2" t="n"/>
      <c r="D1346" s="2" t="inlineStr">
        <is>
          <t>オフィディア ミディアム メッセンジャーバッグ</t>
        </is>
      </c>
      <c r="E1346" s="2" t="inlineStr">
        <is>
          <t>761741 FACJY 8441</t>
        </is>
      </c>
      <c r="F1346" s="2" t="inlineStr">
        <is>
          <t>ブルー＆ダークブルー テンダー</t>
        </is>
      </c>
      <c r="G1346" s="11" t="inlineStr">
        <is>
          <t>SOLD</t>
        </is>
      </c>
      <c r="H1346" s="22" t="inlineStr">
        <is>
          <t>SOLD</t>
        </is>
      </c>
      <c r="I1346" s="18" t="n">
        <v>291500</v>
      </c>
      <c r="J1346" s="23" t="inlineStr">
        <is>
          <t>NOTFOUND</t>
        </is>
      </c>
      <c r="K1346" s="20" t="n">
        <v>0</v>
      </c>
      <c r="L1346" s="4" t="inlineStr">
        <is>
          <t>https://www.gucci.com/jp/ja/pr/men/bags-for-men/messenger-crossbody-bags-for-men/ophidia-medium-messenger-bag-p-761741FACJY8441</t>
        </is>
      </c>
      <c r="M1346" s="5">
        <f t="array" ref="M1346">_xlfn.IFS(J1346="NOTFOUND",I1346,J1346&gt;=I1346,J1346)</f>
        <v/>
      </c>
    </row>
    <row r="1347" ht="18" customHeight="1" s="16">
      <c r="A1347" s="5" t="n">
        <v>1346</v>
      </c>
      <c r="B1347" s="2" t="inlineStr">
        <is>
          <t>GU-3598</t>
        </is>
      </c>
      <c r="C1347" s="2" t="n"/>
      <c r="D1347" s="2" t="inlineStr">
        <is>
          <t>オフィディア スモール クロスボディバッグ</t>
        </is>
      </c>
      <c r="E1347" s="2" t="inlineStr">
        <is>
          <t>699439 UULHK 8441</t>
        </is>
      </c>
      <c r="F1347" s="2" t="inlineStr">
        <is>
          <t>ブルー＆ブラック GGスプリーム キャンバス</t>
        </is>
      </c>
      <c r="G1347" s="11" t="inlineStr">
        <is>
          <t>SOLD</t>
        </is>
      </c>
      <c r="H1347" s="22" t="inlineStr">
        <is>
          <t>SOLD</t>
        </is>
      </c>
      <c r="I1347" s="18" t="n">
        <v>250800</v>
      </c>
      <c r="J1347" s="23" t="inlineStr">
        <is>
          <t>NOTFOUND</t>
        </is>
      </c>
      <c r="K1347" s="20" t="n">
        <v>0</v>
      </c>
      <c r="L1347" s="4" t="inlineStr">
        <is>
          <t>https://www.gucci.com/jp/ja/pr/men/bags-for-men/bestsellers-for-men/ophidia-small-crossbody-bag-p-699439UULHK8441</t>
        </is>
      </c>
      <c r="M1347" s="5">
        <f t="array" ref="M1347">_xlfn.IFS(J1347="NOTFOUND",I1347,J1347&gt;=I1347,J1347)</f>
        <v/>
      </c>
    </row>
    <row r="1348" ht="18" customHeight="1" s="16">
      <c r="A1348" s="5" t="n">
        <v>1347</v>
      </c>
      <c r="B1348" s="2" t="inlineStr">
        <is>
          <t>GU-3599</t>
        </is>
      </c>
      <c r="C1348" s="2" t="n"/>
      <c r="D1348" s="2" t="inlineStr">
        <is>
          <t>オフィディア ミディアム バックパック</t>
        </is>
      </c>
      <c r="E1348" s="2" t="inlineStr">
        <is>
          <t>821938 FAEFH 8793</t>
        </is>
      </c>
      <c r="F1348" s="2" t="inlineStr">
        <is>
          <t xml:space="preserve">  -</t>
        </is>
      </c>
      <c r="G1348" s="10" t="inlineStr">
        <is>
          <t>OneSize</t>
        </is>
      </c>
      <c r="H1348" s="17" t="inlineStr">
        <is>
          <t>OneSize</t>
        </is>
      </c>
      <c r="I1348" s="18" t="n">
        <v>341000</v>
      </c>
      <c r="J1348" s="19" t="n">
        <v>341000</v>
      </c>
      <c r="K1348" s="20" t="n">
        <v>5</v>
      </c>
      <c r="L1348" s="4" t="inlineStr">
        <is>
          <t>https://www.gucci.com/jp/ja/pr/men/bags-for-men/backpacks-for-men/ophidia-medium-backpack-p-821938FAEFH8793</t>
        </is>
      </c>
      <c r="M1348" s="5">
        <f t="array" ref="M1348">_xlfn.IFS(J1348="NOTFOUND",I1348,J1348&gt;=I1348,J1348)</f>
        <v/>
      </c>
    </row>
    <row r="1349" ht="18" customHeight="1" s="16">
      <c r="A1349" s="5" t="n">
        <v>1348</v>
      </c>
      <c r="B1349" s="2" t="inlineStr">
        <is>
          <t>GU-3600</t>
        </is>
      </c>
      <c r="C1349" s="2" t="n"/>
      <c r="D1349" s="2" t="inlineStr">
        <is>
          <t>オフィディア GG ミディアムブリーフケース</t>
        </is>
      </c>
      <c r="E1349" s="2" t="inlineStr">
        <is>
          <t>792116 FACJT 1244</t>
        </is>
      </c>
      <c r="F1349" s="2" t="inlineStr">
        <is>
          <t>ダークグレー＆ブラック GGスプリーム キャンバス</t>
        </is>
      </c>
      <c r="G1349" s="10" t="inlineStr">
        <is>
          <t>OneSize</t>
        </is>
      </c>
      <c r="H1349" s="17" t="inlineStr">
        <is>
          <t>OneSize</t>
        </is>
      </c>
      <c r="I1349" s="18" t="n">
        <v>313500</v>
      </c>
      <c r="J1349" s="19" t="n">
        <v>313500</v>
      </c>
      <c r="K1349" s="20" t="n">
        <v>5</v>
      </c>
      <c r="L1349" s="4" t="inlineStr">
        <is>
          <t>https://www.gucci.com/jp/ja/pr/men/bags-for-men/briefcases-for-men/ophidia-medium-gg-briefcase-p-792116FACJT1244</t>
        </is>
      </c>
      <c r="M1349" s="5">
        <f t="array" ref="M1349">_xlfn.IFS(J1349="NOTFOUND",I1349,J1349&gt;=I1349,J1349)</f>
        <v/>
      </c>
    </row>
    <row r="1350" ht="18" customHeight="1" s="16">
      <c r="A1350" s="5" t="n">
        <v>1349</v>
      </c>
      <c r="B1350" s="2" t="inlineStr">
        <is>
          <t>GU-3601</t>
        </is>
      </c>
      <c r="C1350" s="2" t="n"/>
      <c r="D1350" s="2" t="inlineStr">
        <is>
          <t>オフィディア スモール バックパック</t>
        </is>
      </c>
      <c r="E1350" s="2" t="inlineStr">
        <is>
          <t>792114 FADJJ 1241</t>
        </is>
      </c>
      <c r="F1350" s="2" t="inlineStr">
        <is>
          <t>グレー＆ブラック スプリーム キャンバス</t>
        </is>
      </c>
      <c r="G1350" s="11" t="inlineStr">
        <is>
          <t>SOLD</t>
        </is>
      </c>
      <c r="H1350" s="22" t="inlineStr">
        <is>
          <t>SOLD</t>
        </is>
      </c>
      <c r="I1350" s="18" t="n">
        <v>308000</v>
      </c>
      <c r="J1350" s="23" t="inlineStr">
        <is>
          <t>NOTFOUND</t>
        </is>
      </c>
      <c r="K1350" s="20" t="n">
        <v>0</v>
      </c>
      <c r="L1350" s="4" t="inlineStr">
        <is>
          <t>https://www.gucci.com/jp/ja/pr/men/bags-for-men/backpacks-for-men/ophidia-small-backpack-p-792114FADJJ1241</t>
        </is>
      </c>
      <c r="M1350" s="5">
        <f t="array" ref="M1350">_xlfn.IFS(J1350="NOTFOUND",I1350,J1350&gt;=I1350,J1350)</f>
        <v/>
      </c>
    </row>
    <row r="1351" ht="18" customHeight="1" s="16">
      <c r="A1351" s="5" t="n">
        <v>1350</v>
      </c>
      <c r="B1351" s="2" t="inlineStr">
        <is>
          <t>GU-3602</t>
        </is>
      </c>
      <c r="C1351" s="2" t="n"/>
      <c r="D1351" s="2" t="inlineStr">
        <is>
          <t>オフィディア GG ラージ バックパック</t>
        </is>
      </c>
      <c r="E1351" s="2" t="inlineStr">
        <is>
          <t>792104 FADJJ 1241</t>
        </is>
      </c>
      <c r="F1351" s="2" t="inlineStr">
        <is>
          <t>グレー＆ブラック スプリーム キャンバス</t>
        </is>
      </c>
      <c r="G1351" s="10" t="inlineStr">
        <is>
          <t>OneSize</t>
        </is>
      </c>
      <c r="H1351" s="17" t="inlineStr">
        <is>
          <t>OneSize</t>
        </is>
      </c>
      <c r="I1351" s="18" t="n">
        <v>341000</v>
      </c>
      <c r="J1351" s="19" t="n">
        <v>341000</v>
      </c>
      <c r="K1351" s="20" t="n">
        <v>5</v>
      </c>
      <c r="L1351" s="4" t="inlineStr">
        <is>
          <t>https://www.gucci.com/jp/ja/pr/men/bags-for-men/backpacks-for-men/ophidia-large-backpack-p-792104FADJJ1241</t>
        </is>
      </c>
      <c r="M1351" s="5">
        <f t="array" ref="M1351">_xlfn.IFS(J1351="NOTFOUND",I1351,J1351&gt;=I1351,J1351)</f>
        <v/>
      </c>
    </row>
    <row r="1352" ht="18" customHeight="1" s="16">
      <c r="A1352" s="5" t="n">
        <v>1351</v>
      </c>
      <c r="B1352" s="2" t="inlineStr">
        <is>
          <t>GU-3603</t>
        </is>
      </c>
      <c r="C1352" s="2" t="n"/>
      <c r="D1352" s="2" t="inlineStr">
        <is>
          <t>オフィディア メッセンジャーバッグ</t>
        </is>
      </c>
      <c r="E1352" s="2" t="inlineStr">
        <is>
          <t>761741 FACJY 1244</t>
        </is>
      </c>
      <c r="F1352" s="2" t="inlineStr">
        <is>
          <t>グレー＆ブラック GGスプリーム テンダー キャンバス</t>
        </is>
      </c>
      <c r="G1352" s="10" t="inlineStr">
        <is>
          <t>OneSize</t>
        </is>
      </c>
      <c r="H1352" s="17" t="inlineStr">
        <is>
          <t>OneSize</t>
        </is>
      </c>
      <c r="I1352" s="18" t="n">
        <v>291500</v>
      </c>
      <c r="J1352" s="19" t="n">
        <v>291500</v>
      </c>
      <c r="K1352" s="20" t="n">
        <v>5</v>
      </c>
      <c r="L1352" s="4" t="inlineStr">
        <is>
          <t>https://www.gucci.com/jp/ja/pr/men/bags-for-men/messenger-crossbody-bags-for-men/ophidia-medium-messenger-bag-p-761741FACJY1244</t>
        </is>
      </c>
      <c r="M1352" s="5">
        <f t="array" ref="M1352">_xlfn.IFS(J1352="NOTFOUND",I1352,J1352&gt;=I1352,J1352)</f>
        <v/>
      </c>
    </row>
    <row r="1353" ht="18" customHeight="1" s="16">
      <c r="A1353" s="5" t="n">
        <v>1352</v>
      </c>
      <c r="B1353" s="2" t="inlineStr">
        <is>
          <t>GU-3604</t>
        </is>
      </c>
      <c r="C1353" s="2" t="n"/>
      <c r="D1353" s="2" t="inlineStr">
        <is>
          <t>オフィディア スモール ベルトバッグ</t>
        </is>
      </c>
      <c r="E1353" s="2" t="inlineStr">
        <is>
          <t>752597 2ZGMN 8576</t>
        </is>
      </c>
      <c r="F1353" s="2" t="inlineStr">
        <is>
          <t>グレー＆ブラック スプリーム キャンバス</t>
        </is>
      </c>
      <c r="G1353" s="11" t="inlineStr">
        <is>
          <t>SOLD</t>
        </is>
      </c>
      <c r="H1353" s="22" t="inlineStr">
        <is>
          <t>SOLD</t>
        </is>
      </c>
      <c r="I1353" s="18" t="n">
        <v>173800</v>
      </c>
      <c r="J1353" s="23" t="inlineStr">
        <is>
          <t>NOTFOUND</t>
        </is>
      </c>
      <c r="K1353" s="20" t="n">
        <v>0</v>
      </c>
      <c r="L1353" s="4" t="inlineStr">
        <is>
          <t>https://www.gucci.com/jp/ja/pr/men/bags-for-men/belt-bags-slingbag-for-men/ophidia-small-belt-bag-p-7525972ZGMN8576</t>
        </is>
      </c>
      <c r="M1353" s="5">
        <f t="array" ref="M1353">_xlfn.IFS(J1353="NOTFOUND",I1353,J1353&gt;=I1353,J1353)</f>
        <v/>
      </c>
    </row>
    <row r="1354" ht="18" customHeight="1" s="16">
      <c r="A1354" s="5" t="n">
        <v>1353</v>
      </c>
      <c r="B1354" s="2" t="inlineStr">
        <is>
          <t>GU-3605</t>
        </is>
      </c>
      <c r="C1354" s="2" t="n"/>
      <c r="D1354" s="2" t="inlineStr">
        <is>
          <t>オフィディア ベルトバッグ</t>
        </is>
      </c>
      <c r="E1354" s="2" t="inlineStr">
        <is>
          <t>733868 UULHK 8576</t>
        </is>
      </c>
      <c r="F1354" s="2" t="inlineStr">
        <is>
          <t xml:space="preserve">  -</t>
        </is>
      </c>
      <c r="G1354" s="10" t="inlineStr">
        <is>
          <t>80_90</t>
        </is>
      </c>
      <c r="H1354" s="17" t="inlineStr">
        <is>
          <t>80_90</t>
        </is>
      </c>
      <c r="I1354" s="18" t="n">
        <v>192500</v>
      </c>
      <c r="J1354" s="19" t="n">
        <v>192500</v>
      </c>
      <c r="K1354" s="20" t="n">
        <v>5</v>
      </c>
      <c r="L1354" s="4" t="inlineStr">
        <is>
          <t>https://www.gucci.com/jp/ja/pr/men/bags-for-men/belt-bags-slingbag-for-men/ophidia-small-belt-bag-p-733868UULHK8576</t>
        </is>
      </c>
      <c r="M1354" s="5">
        <f t="array" ref="M1354">_xlfn.IFS(J1354="NOTFOUND",I1354,J1354&gt;=I1354,J1354)</f>
        <v/>
      </c>
    </row>
    <row r="1355" ht="18" customHeight="1" s="16">
      <c r="A1355" s="5" t="n">
        <v>1354</v>
      </c>
      <c r="B1355" s="2" t="inlineStr">
        <is>
          <t>GU-3606</t>
        </is>
      </c>
      <c r="C1355" s="2" t="n"/>
      <c r="D1355" s="2" t="inlineStr">
        <is>
          <t>オフィディア ミディアムダッフルバッグ</t>
        </is>
      </c>
      <c r="E1355" s="2" t="inlineStr">
        <is>
          <t>724642 UULHK 8576</t>
        </is>
      </c>
      <c r="F1355" s="2" t="inlineStr">
        <is>
          <t>グレー＆ブラック スプリーム キャンバス</t>
        </is>
      </c>
      <c r="G1355" s="10" t="inlineStr">
        <is>
          <t>OneSize</t>
        </is>
      </c>
      <c r="H1355" s="17" t="inlineStr">
        <is>
          <t>OneSize</t>
        </is>
      </c>
      <c r="I1355" s="18" t="n">
        <v>341000</v>
      </c>
      <c r="J1355" s="19" t="n">
        <v>357500</v>
      </c>
      <c r="K1355" s="20" t="n">
        <v>5</v>
      </c>
      <c r="L1355" s="4" t="inlineStr">
        <is>
          <t>https://www.gucci.com/jp/ja/pr/men/bags-for-men/suitcases-duffle-bags-for-men/ophidia-medium-duffle-bag-p-724642UULHK8576</t>
        </is>
      </c>
      <c r="M1355" s="5">
        <f t="array" ref="M1355">_xlfn.IFS(J1355="NOTFOUND",I1355,J1355&gt;=I1355,J1355)</f>
        <v/>
      </c>
    </row>
    <row r="1356" ht="18" customHeight="1" s="16">
      <c r="A1356" s="5" t="n">
        <v>1355</v>
      </c>
      <c r="B1356" s="2" t="inlineStr">
        <is>
          <t>GU-3607</t>
        </is>
      </c>
      <c r="C1356" s="2" t="n"/>
      <c r="D1356" s="2" t="inlineStr">
        <is>
          <t>オフィディア ラージ ダッフルバッグ</t>
        </is>
      </c>
      <c r="E1356" s="2" t="inlineStr">
        <is>
          <t>724612 UULHK 8576</t>
        </is>
      </c>
      <c r="F1356" s="2" t="inlineStr">
        <is>
          <t>グレー＆ブラック スプ</t>
        </is>
      </c>
      <c r="G1356" s="10" t="inlineStr">
        <is>
          <t>OneSize</t>
        </is>
      </c>
      <c r="H1356" s="17" t="inlineStr">
        <is>
          <t>OneSize</t>
        </is>
      </c>
      <c r="I1356" s="18" t="n">
        <v>407000</v>
      </c>
      <c r="J1356" s="19" t="n">
        <v>407000</v>
      </c>
      <c r="K1356" s="20" t="n">
        <v>5</v>
      </c>
      <c r="L1356" s="4" t="inlineStr">
        <is>
          <t>https://www.gucci.com/jp/ja/pr/men/bags-for-men/suitcases-duffle-bags-for-men/ophidia-large-duffle-bag-p-724612UULHK8576</t>
        </is>
      </c>
      <c r="M1356" s="5">
        <f t="array" ref="M1356">_xlfn.IFS(J1356="NOTFOUND",I1356,J1356&gt;=I1356,J1356)</f>
        <v/>
      </c>
    </row>
    <row r="1357" ht="18" customHeight="1" s="16">
      <c r="A1357" s="5" t="n">
        <v>1356</v>
      </c>
      <c r="B1357" s="2" t="inlineStr">
        <is>
          <t>GU-3608</t>
        </is>
      </c>
      <c r="C1357" s="2" t="n"/>
      <c r="D1357" s="2" t="inlineStr">
        <is>
          <t>オフィディア スモール クロスボディバッグ</t>
        </is>
      </c>
      <c r="E1357" s="2" t="inlineStr">
        <is>
          <t>699439 UULHK 8576</t>
        </is>
      </c>
      <c r="F1357" s="2" t="inlineStr">
        <is>
          <t>グレー＆ブラック スプリーム キャンバス</t>
        </is>
      </c>
      <c r="G1357" s="10" t="inlineStr">
        <is>
          <t>OneSize</t>
        </is>
      </c>
      <c r="H1357" s="17" t="inlineStr">
        <is>
          <t>OneSize</t>
        </is>
      </c>
      <c r="I1357" s="18" t="n">
        <v>250800</v>
      </c>
      <c r="J1357" s="19" t="n">
        <v>250800</v>
      </c>
      <c r="K1357" s="20" t="n">
        <v>5</v>
      </c>
      <c r="L1357" s="4" t="inlineStr">
        <is>
          <t>https://www.gucci.com/jp/ja/pr/men/bags-for-men/messenger-crossbody-bags-for-men/ophidia-small-crossbody-bag-p-699439UULHK8576</t>
        </is>
      </c>
      <c r="M1357" s="5">
        <f t="array" ref="M1357">_xlfn.IFS(J1357="NOTFOUND",I1357,J1357&gt;=I1357,J1357)</f>
        <v/>
      </c>
    </row>
    <row r="1358" ht="18" customHeight="1" s="16">
      <c r="A1358" s="5" t="n">
        <v>1357</v>
      </c>
      <c r="B1358" s="2" t="inlineStr">
        <is>
          <t>GU-3609</t>
        </is>
      </c>
      <c r="C1358" s="2" t="n"/>
      <c r="D1358" s="2" t="inlineStr">
        <is>
          <t>GGエンブレム ミディアム ブリーフケース</t>
        </is>
      </c>
      <c r="E1358" s="2" t="inlineStr">
        <is>
          <t>821149 FAED3 9786</t>
        </is>
      </c>
      <c r="F1358" s="2" t="inlineStr">
        <is>
          <t>ベージュ＆ダークブラウ</t>
        </is>
      </c>
      <c r="G1358" s="11" t="inlineStr">
        <is>
          <t>SOLD</t>
        </is>
      </c>
      <c r="H1358" s="22" t="inlineStr">
        <is>
          <t>SOLD</t>
        </is>
      </c>
      <c r="I1358" s="18" t="n">
        <v>379500</v>
      </c>
      <c r="J1358" s="23" t="inlineStr">
        <is>
          <t>NOTFOUND</t>
        </is>
      </c>
      <c r="K1358" s="20" t="n">
        <v>0</v>
      </c>
      <c r="L1358" s="4" t="inlineStr">
        <is>
          <t>https://www.gucci.com/jp/ja/pr/men/bags-for-men/briefcases-for-men/gg-emblem-medium-briefcase-p-821149FAED39786</t>
        </is>
      </c>
      <c r="M1358" s="5">
        <f t="array" ref="M1358">_xlfn.IFS(J1358="NOTFOUND",I1358,J1358&gt;=I1358,J1358)</f>
        <v/>
      </c>
    </row>
    <row r="1359" ht="18" customHeight="1" s="16">
      <c r="A1359" s="5" t="n">
        <v>1358</v>
      </c>
      <c r="B1359" s="2" t="inlineStr">
        <is>
          <t>GU-3610</t>
        </is>
      </c>
      <c r="C1359" s="2" t="n"/>
      <c r="D1359" s="2" t="inlineStr">
        <is>
          <t>GGエンブレム ミディアム ブリーフケース</t>
        </is>
      </c>
      <c r="E1359" s="2" t="inlineStr">
        <is>
          <t>821149 FAED4 1000</t>
        </is>
      </c>
      <c r="F1359" s="2" t="inlineStr">
        <is>
          <t>ブラック ファブリック</t>
        </is>
      </c>
      <c r="G1359" s="10" t="inlineStr">
        <is>
          <t>OneSize</t>
        </is>
      </c>
      <c r="H1359" s="17" t="inlineStr">
        <is>
          <t>OneSize</t>
        </is>
      </c>
      <c r="I1359" s="18" t="n">
        <v>379500</v>
      </c>
      <c r="J1359" s="19" t="n">
        <v>379500</v>
      </c>
      <c r="K1359" s="20" t="n">
        <v>5</v>
      </c>
      <c r="L1359" s="4" t="inlineStr">
        <is>
          <t>https://www.gucci.com/jp/ja/pr/men/bags-for-men/briefcases-for-men/gg-emblem-medium-briefcase-p-821149FAED41000</t>
        </is>
      </c>
      <c r="M1359" s="5">
        <f t="array" ref="M1359">_xlfn.IFS(J1359="NOTFOUND",I1359,J1359&gt;=I1359,J1359)</f>
        <v/>
      </c>
    </row>
    <row r="1360" ht="18" customHeight="1" s="16">
      <c r="A1360" s="5" t="n">
        <v>1359</v>
      </c>
      <c r="B1360" s="2" t="inlineStr">
        <is>
          <t>GU-3611</t>
        </is>
      </c>
      <c r="C1360" s="2" t="n"/>
      <c r="D1360" s="2" t="inlineStr">
        <is>
          <t>GGエンブレム ミディアム ダッフルバッグ</t>
        </is>
      </c>
      <c r="E1360" s="2" t="inlineStr">
        <is>
          <t>821148 FAEH6 1068</t>
        </is>
      </c>
      <c r="F1360" s="2" t="inlineStr">
        <is>
          <t>ブラック ファブリック</t>
        </is>
      </c>
      <c r="G1360" s="11" t="inlineStr">
        <is>
          <t>SOLD</t>
        </is>
      </c>
      <c r="H1360" s="22" t="inlineStr">
        <is>
          <t>SOLD</t>
        </is>
      </c>
      <c r="I1360" s="18" t="n">
        <v>379500</v>
      </c>
      <c r="J1360" s="23" t="inlineStr">
        <is>
          <t>NOTFOUND</t>
        </is>
      </c>
      <c r="K1360" s="20" t="n">
        <v>0</v>
      </c>
      <c r="L1360" s="4" t="inlineStr">
        <is>
          <t>https://www.gucci.com/jp/ja/pr/men/bags-for-men/suitcases-duffle-bags-for-men/gg-emblem-medium-duffle-bag-p-821148FAEH61068</t>
        </is>
      </c>
      <c r="M1360" s="5">
        <f t="array" ref="M1360">_xlfn.IFS(J1360="NOTFOUND",I1360,J1360&gt;=I1360,J1360)</f>
        <v/>
      </c>
    </row>
    <row r="1361" ht="18" customHeight="1" s="16">
      <c r="A1361" s="5" t="n">
        <v>1360</v>
      </c>
      <c r="B1361" s="2" t="inlineStr">
        <is>
          <t>GU-3612</t>
        </is>
      </c>
      <c r="C1361" s="2" t="n"/>
      <c r="D1361" s="2" t="inlineStr">
        <is>
          <t>GGエンブレム ミディアム ダッフルバッグ</t>
        </is>
      </c>
      <c r="E1361" s="2" t="inlineStr">
        <is>
          <t>821148 FAEH7 9796</t>
        </is>
      </c>
      <c r="F1361" s="2" t="inlineStr">
        <is>
          <t>ベージュ＆ダークブラウン ファブリック</t>
        </is>
      </c>
      <c r="G1361" s="11" t="inlineStr">
        <is>
          <t>SOLD</t>
        </is>
      </c>
      <c r="H1361" s="22" t="inlineStr">
        <is>
          <t>SOLD</t>
        </is>
      </c>
      <c r="I1361" s="18" t="n">
        <v>379500</v>
      </c>
      <c r="J1361" s="23" t="inlineStr">
        <is>
          <t>NOTFOUND</t>
        </is>
      </c>
      <c r="K1361" s="20" t="n">
        <v>0</v>
      </c>
      <c r="L1361" s="4" t="inlineStr">
        <is>
          <t>https://www.gucci.com/jp/ja/pr/men/bags-for-men/suitcases-duffle-bags-for-men/gg-emblem-medium-duffle-bag-p-821148FAEH79796</t>
        </is>
      </c>
      <c r="M1361" s="5">
        <f t="array" ref="M1361">_xlfn.IFS(J1361="NOTFOUND",I1361,J1361&gt;=I1361,J1361)</f>
        <v/>
      </c>
    </row>
    <row r="1362" ht="18" customHeight="1" s="16">
      <c r="A1362" s="5" t="n">
        <v>1361</v>
      </c>
      <c r="B1362" s="2" t="inlineStr">
        <is>
          <t>GU-3613</t>
        </is>
      </c>
      <c r="C1362" s="2" t="n"/>
      <c r="D1362" s="2" t="inlineStr">
        <is>
          <t>ジャンボGG スーパーミニバッグ</t>
        </is>
      </c>
      <c r="E1362" s="2" t="inlineStr">
        <is>
          <t>816958 AABY7 1000</t>
        </is>
      </c>
      <c r="F1362" s="2" t="inlineStr">
        <is>
          <t xml:space="preserve">  -</t>
        </is>
      </c>
      <c r="G1362" s="10" t="inlineStr">
        <is>
          <t>OneSize</t>
        </is>
      </c>
      <c r="H1362" s="17" t="inlineStr">
        <is>
          <t>OneSize</t>
        </is>
      </c>
      <c r="I1362" s="18" t="n">
        <v>280500</v>
      </c>
      <c r="J1362" s="19" t="n">
        <v>280500</v>
      </c>
      <c r="K1362" s="20" t="n">
        <v>5</v>
      </c>
      <c r="L1362" s="4" t="inlineStr">
        <is>
          <t>https://www.gucci.com/jp/ja/pr/men/bags-for-men/small-bags-pouches-for-men/small-bags/super-mini-jumbo-gg-bag-p-816958AABY71000</t>
        </is>
      </c>
      <c r="M1362" s="5">
        <f t="array" ref="M1362">_xlfn.IFS(J1362="NOTFOUND",I1362,J1362&gt;=I1362,J1362)</f>
        <v/>
      </c>
    </row>
    <row r="1363" ht="18" customHeight="1" s="16">
      <c r="A1363" s="5" t="n">
        <v>1362</v>
      </c>
      <c r="B1363" s="2" t="inlineStr">
        <is>
          <t>GU-3614</t>
        </is>
      </c>
      <c r="C1363" s="2" t="n"/>
      <c r="D1363" s="2" t="inlineStr">
        <is>
          <t>ジャンボ GG クロスボディバッグ</t>
        </is>
      </c>
      <c r="E1363" s="2" t="inlineStr">
        <is>
          <t>766937 AACWY 1000</t>
        </is>
      </c>
      <c r="F1363" s="2" t="inlineStr">
        <is>
          <t xml:space="preserve">  -</t>
        </is>
      </c>
      <c r="G1363" s="10" t="inlineStr">
        <is>
          <t>OneSize</t>
        </is>
      </c>
      <c r="H1363" s="17" t="inlineStr">
        <is>
          <t>OneSize</t>
        </is>
      </c>
      <c r="I1363" s="18" t="n">
        <v>275000</v>
      </c>
      <c r="J1363" s="19" t="n">
        <v>275000</v>
      </c>
      <c r="K1363" s="20" t="n">
        <v>5</v>
      </c>
      <c r="L1363" s="4" t="inlineStr">
        <is>
          <t>https://www.gucci.com/jp/ja/pr/men/bags-for-men/belt-bags-slingbag-for-men/mini-jumbo-gg-crossbody-bag-p-766937AACWY1000</t>
        </is>
      </c>
      <c r="M1363" s="5">
        <f t="array" ref="M1363">_xlfn.IFS(J1363="NOTFOUND",I1363,J1363&gt;=I1363,J1363)</f>
        <v/>
      </c>
    </row>
    <row r="1364" ht="18" customHeight="1" s="16">
      <c r="A1364" s="5" t="n">
        <v>1363</v>
      </c>
      <c r="B1364" s="2" t="inlineStr">
        <is>
          <t>GU-3615</t>
        </is>
      </c>
      <c r="C1364" s="2" t="n"/>
      <c r="D1364" s="2" t="inlineStr">
        <is>
          <t>ジャンボGG スモール メッセンジャーバッグ</t>
        </is>
      </c>
      <c r="E1364" s="2" t="inlineStr">
        <is>
          <t>761747 AABY7 1000</t>
        </is>
      </c>
      <c r="F1364" s="2" t="inlineStr">
        <is>
          <t xml:space="preserve">  -</t>
        </is>
      </c>
      <c r="G1364" s="11" t="inlineStr">
        <is>
          <t>SOLD</t>
        </is>
      </c>
      <c r="H1364" s="22" t="inlineStr">
        <is>
          <t>SOLD</t>
        </is>
      </c>
      <c r="I1364" s="18" t="n">
        <v>264000</v>
      </c>
      <c r="J1364" s="19" t="n">
        <v>264000</v>
      </c>
      <c r="K1364" s="20" t="n">
        <v>0</v>
      </c>
      <c r="L1364" s="4" t="inlineStr">
        <is>
          <t>https://www.gucci.com/jp/ja/pr/men/bags-for-men/messenger-crossbody-bags-for-men/small-jumbo-gg-messenger-bag-p-761747AABY71000</t>
        </is>
      </c>
      <c r="M1364" s="5">
        <f t="array" ref="M1364">_xlfn.IFS(J1364="NOTFOUND",I1364,J1364&gt;=I1364,J1364)</f>
        <v/>
      </c>
    </row>
    <row r="1365" ht="18" customHeight="1" s="16">
      <c r="A1365" s="5" t="n">
        <v>1364</v>
      </c>
      <c r="B1365" s="2" t="inlineStr">
        <is>
          <t>GU-3616</t>
        </is>
      </c>
      <c r="C1365" s="2" t="n"/>
      <c r="D1365" s="2" t="inlineStr">
        <is>
          <t>ジャンボGG ミディアム メッセンジャーバッグ</t>
        </is>
      </c>
      <c r="E1365" s="2" t="inlineStr">
        <is>
          <t>760234 AABY0 1000</t>
        </is>
      </c>
      <c r="F1365" s="2" t="inlineStr">
        <is>
          <t xml:space="preserve">  -</t>
        </is>
      </c>
      <c r="G1365" s="10" t="inlineStr">
        <is>
          <t>OneSize</t>
        </is>
      </c>
      <c r="H1365" s="17" t="inlineStr">
        <is>
          <t>OneSize</t>
        </is>
      </c>
      <c r="I1365" s="18" t="n">
        <v>368500</v>
      </c>
      <c r="J1365" s="19" t="n">
        <v>368500</v>
      </c>
      <c r="K1365" s="20" t="n">
        <v>5</v>
      </c>
      <c r="L1365" s="4" t="inlineStr">
        <is>
          <t>https://www.gucci.com/jp/ja/pr/men/bags-for-men/messenger-crossbody-bags-for-men/jumbo-gg-medium-messenger-bag-p-760234AABY01000</t>
        </is>
      </c>
      <c r="M1365" s="5">
        <f t="array" ref="M1365">_xlfn.IFS(J1365="NOTFOUND",I1365,J1365&gt;=I1365,J1365)</f>
        <v/>
      </c>
    </row>
    <row r="1366" ht="18" customHeight="1" s="16">
      <c r="A1366" s="5" t="n">
        <v>1365</v>
      </c>
      <c r="B1366" s="2" t="inlineStr">
        <is>
          <t>GU-3617</t>
        </is>
      </c>
      <c r="C1366" s="2" t="n"/>
      <c r="D1366" s="2" t="inlineStr">
        <is>
          <t>GG ミディアム メッセンジャーバッグ</t>
        </is>
      </c>
      <c r="E1366" s="2" t="inlineStr">
        <is>
          <t>696009 AAEB9 1045</t>
        </is>
      </c>
      <c r="F1366" s="2" t="inlineStr">
        <is>
          <t>グレー＆ブラック GGレザー</t>
        </is>
      </c>
      <c r="G1366" s="10" t="inlineStr">
        <is>
          <t>OneSize</t>
        </is>
      </c>
      <c r="H1366" s="17" t="inlineStr">
        <is>
          <t>OneSize</t>
        </is>
      </c>
      <c r="I1366" s="18" t="n">
        <v>308000</v>
      </c>
      <c r="J1366" s="19" t="n">
        <v>308000</v>
      </c>
      <c r="K1366" s="20" t="n">
        <v>5</v>
      </c>
      <c r="L1366" s="4" t="inlineStr">
        <is>
          <t>https://www.gucci.com/jp/ja/pr/men/bags-for-men/messenger-crossbody-bags-for-men/medium-jumbo-gg-messenger-bag-p-696009AAEB91045</t>
        </is>
      </c>
      <c r="M1366" s="5">
        <f t="array" ref="M1366">_xlfn.IFS(J1366="NOTFOUND",I1366,J1366&gt;=I1366,J1366)</f>
        <v/>
      </c>
    </row>
    <row r="1367" ht="18" customHeight="1" s="16">
      <c r="A1367" s="5" t="n">
        <v>1366</v>
      </c>
      <c r="B1367" s="2" t="inlineStr">
        <is>
          <t>GU-3618</t>
        </is>
      </c>
      <c r="C1367" s="2" t="n"/>
      <c r="D1367" s="2" t="inlineStr">
        <is>
          <t>ジャンボGG ミディアム メッセンジャーバッグ</t>
        </is>
      </c>
      <c r="E1367" s="2" t="inlineStr">
        <is>
          <t>696009 AABY7 1000</t>
        </is>
      </c>
      <c r="F1367" s="2" t="inlineStr">
        <is>
          <t>ブラック レザー</t>
        </is>
      </c>
      <c r="G1367" s="10" t="inlineStr">
        <is>
          <t>OneSize</t>
        </is>
      </c>
      <c r="H1367" s="17" t="inlineStr">
        <is>
          <t>OneSize</t>
        </is>
      </c>
      <c r="I1367" s="18" t="n">
        <v>308000</v>
      </c>
      <c r="J1367" s="19" t="n">
        <v>308000</v>
      </c>
      <c r="K1367" s="20" t="n">
        <v>5</v>
      </c>
      <c r="L1367" s="4" t="inlineStr">
        <is>
          <t>https://www.gucci.com/jp/ja/pr/men/bags-for-men/messenger-crossbody-bags-for-men/medium-jumbo-gg-messenger-bag-p-696009AABY71000</t>
        </is>
      </c>
      <c r="M1367" s="5">
        <f t="array" ref="M1367">_xlfn.IFS(J1367="NOTFOUND",I1367,J1367&gt;=I1367,J1367)</f>
        <v/>
      </c>
    </row>
    <row r="1368" ht="18" customHeight="1" s="16">
      <c r="A1368" s="5" t="n">
        <v>1367</v>
      </c>
      <c r="B1368" s="2" t="inlineStr">
        <is>
          <t>GU-3619</t>
        </is>
      </c>
      <c r="C1368" s="2" t="n"/>
      <c r="D1368" s="2" t="inlineStr">
        <is>
          <t>ジャンボGG スモール ベルトバッグ</t>
        </is>
      </c>
      <c r="E1368" s="2" t="inlineStr">
        <is>
          <t>658582 AABY7 1000</t>
        </is>
      </c>
      <c r="F1368" s="2" t="inlineStr">
        <is>
          <t xml:space="preserve">  -</t>
        </is>
      </c>
      <c r="G1368" s="10" t="inlineStr">
        <is>
          <t>80_90</t>
        </is>
      </c>
      <c r="H1368" s="17" t="inlineStr">
        <is>
          <t>80_90</t>
        </is>
      </c>
      <c r="I1368" s="18" t="n">
        <v>211200</v>
      </c>
      <c r="J1368" s="19" t="n">
        <v>211200</v>
      </c>
      <c r="K1368" s="20" t="n">
        <v>5</v>
      </c>
      <c r="L1368" s="4" t="inlineStr">
        <is>
          <t>https://www.gucci.com/jp/ja/pr/men/bags-for-men/belt-bags-slingbag-for-men/small-jumbo-gg-belt-bag-p-658582AABY71000</t>
        </is>
      </c>
      <c r="M1368" s="5">
        <f t="array" ref="M1368">_xlfn.IFS(J1368="NOTFOUND",I1368,J1368&gt;=I1368,J1368)</f>
        <v/>
      </c>
    </row>
    <row r="1369" ht="18" customHeight="1" s="16">
      <c r="A1369" s="5" t="n">
        <v>1368</v>
      </c>
      <c r="B1369" s="2" t="inlineStr">
        <is>
          <t>GU-3620</t>
        </is>
      </c>
      <c r="C1369" s="2" t="n"/>
      <c r="D1369" s="2" t="inlineStr">
        <is>
          <t>GG ミディアム ベルトバッグ</t>
        </is>
      </c>
      <c r="E1369" s="2" t="inlineStr">
        <is>
          <t>645093 AAEB9 1045</t>
        </is>
      </c>
      <c r="F1369" s="2" t="inlineStr">
        <is>
          <t>グレー＆ブラック GGレザー</t>
        </is>
      </c>
      <c r="G1369" s="10" t="inlineStr">
        <is>
          <t>80_100</t>
        </is>
      </c>
      <c r="H1369" s="17" t="inlineStr">
        <is>
          <t>80_100</t>
        </is>
      </c>
      <c r="I1369" s="18" t="n">
        <v>280500</v>
      </c>
      <c r="J1369" s="19" t="n">
        <v>280500</v>
      </c>
      <c r="K1369" s="20" t="n">
        <v>5</v>
      </c>
      <c r="L1369" s="4" t="inlineStr">
        <is>
          <t>https://www.gucci.com/jp/ja/pr/men/bags-for-men/belt-bags-slingbag-for-men/medium-jumbo-gg-belt-bag-p-645093AAEB91045</t>
        </is>
      </c>
      <c r="M1369" s="5">
        <f t="array" ref="M1369">_xlfn.IFS(J1369="NOTFOUND",I1369,J1369&gt;=I1369,J1369)</f>
        <v/>
      </c>
    </row>
    <row r="1370" ht="18" customHeight="1" s="16">
      <c r="A1370" s="5" t="n">
        <v>1369</v>
      </c>
      <c r="B1370" s="2" t="inlineStr">
        <is>
          <t>GU-3621</t>
        </is>
      </c>
      <c r="C1370" s="2" t="n"/>
      <c r="D1370" s="2" t="inlineStr">
        <is>
          <t>ジャンボGG ベルトバッグ</t>
        </is>
      </c>
      <c r="E1370" s="2" t="inlineStr">
        <is>
          <t>645093 AABY7 1000</t>
        </is>
      </c>
      <c r="F1370" s="2" t="inlineStr">
        <is>
          <t>ブラック レザー</t>
        </is>
      </c>
      <c r="G1370" s="10" t="inlineStr">
        <is>
          <t>100</t>
        </is>
      </c>
      <c r="H1370" s="17" t="inlineStr">
        <is>
          <t>100</t>
        </is>
      </c>
      <c r="I1370" s="18" t="n">
        <v>280500</v>
      </c>
      <c r="J1370" s="19" t="n">
        <v>280500</v>
      </c>
      <c r="K1370" s="20" t="n">
        <v>5</v>
      </c>
      <c r="L1370" s="4" t="inlineStr">
        <is>
          <t>https://www.gucci.com/jp/ja/pr/men/bags-for-men/belt-bags-slingbag-for-men/jumbo-gg-belt-bag-p-645093AABY71000</t>
        </is>
      </c>
      <c r="M1370" s="5">
        <f t="array" ref="M1370">_xlfn.IFS(J1370="NOTFOUND",I1370,J1370&gt;=I1370,J1370)</f>
        <v/>
      </c>
    </row>
    <row r="1371" ht="18" customHeight="1" s="16">
      <c r="A1371" s="5" t="n">
        <v>1370</v>
      </c>
      <c r="B1371" s="2" t="inlineStr">
        <is>
          <t>GU-3622</t>
        </is>
      </c>
      <c r="C1371" s="2" t="n"/>
      <c r="D1371" s="2" t="inlineStr">
        <is>
          <t>ウェブ ストライプ付き ミディアム ブリーフケース</t>
        </is>
      </c>
      <c r="E1371" s="2" t="inlineStr">
        <is>
          <t>816757 AAEF6 1042</t>
        </is>
      </c>
      <c r="F1371" s="2" t="inlineStr">
        <is>
          <t xml:space="preserve">  -</t>
        </is>
      </c>
      <c r="G1371" s="10" t="inlineStr">
        <is>
          <t>OneSize</t>
        </is>
      </c>
      <c r="H1371" s="17" t="inlineStr">
        <is>
          <t>OneSize</t>
        </is>
      </c>
      <c r="I1371" s="18" t="n">
        <v>467500</v>
      </c>
      <c r="J1371" s="19" t="n">
        <v>467500</v>
      </c>
      <c r="K1371" s="20" t="n">
        <v>5</v>
      </c>
      <c r="L1371" s="4" t="inlineStr">
        <is>
          <t>https://www.gucci.com/jp/ja/pr/men/bags-for-men/briefcases-for-men/medium-briefcase-with-web-p-816757AAEF61042</t>
        </is>
      </c>
      <c r="M1371" s="5">
        <f t="array" ref="M1371">_xlfn.IFS(J1371="NOTFOUND",I1371,J1371&gt;=I1371,J1371)</f>
        <v/>
      </c>
    </row>
    <row r="1372" ht="18" customHeight="1" s="16">
      <c r="A1372" s="5" t="n">
        <v>1371</v>
      </c>
      <c r="B1372" s="2" t="inlineStr">
        <is>
          <t>GU-3623</t>
        </is>
      </c>
      <c r="C1372" s="2" t="n"/>
      <c r="D1372" s="2" t="inlineStr">
        <is>
          <t>ウェブ ストライプ付き ミディアム ビジネスケース</t>
        </is>
      </c>
      <c r="E1372" s="2" t="inlineStr">
        <is>
          <t>816755 AAEF6 1042</t>
        </is>
      </c>
      <c r="F1372" s="2" t="inlineStr">
        <is>
          <t xml:space="preserve">  -</t>
        </is>
      </c>
      <c r="G1372" s="11" t="inlineStr">
        <is>
          <t>SOLD</t>
        </is>
      </c>
      <c r="H1372" s="22" t="inlineStr">
        <is>
          <t>SOLD</t>
        </is>
      </c>
      <c r="I1372" s="18" t="n">
        <v>305800</v>
      </c>
      <c r="J1372" s="23" t="inlineStr">
        <is>
          <t>NOTFOUND</t>
        </is>
      </c>
      <c r="K1372" s="20" t="n">
        <v>0</v>
      </c>
      <c r="L1372" s="4" t="inlineStr">
        <is>
          <t>https://www.gucci.com/jp/ja/pr/men/small-leather-goods-for-men/small-bags-pouches/pouches-for-men/medium-business-case-with-web-p-816755AAEF61042</t>
        </is>
      </c>
      <c r="M1372" s="5">
        <f t="array" ref="M1372">_xlfn.IFS(J1372="NOTFOUND",I1372,J1372&gt;=I1372,J1372)</f>
        <v/>
      </c>
    </row>
    <row r="1373" ht="18" customHeight="1" s="16">
      <c r="A1373" s="5" t="n">
        <v>1372</v>
      </c>
      <c r="B1373" s="2" t="inlineStr">
        <is>
          <t>GU-3624</t>
        </is>
      </c>
      <c r="C1373" s="2" t="n"/>
      <c r="D1373" s="2" t="inlineStr">
        <is>
          <t>ウェブ ストライプ付き ラージ トートバッグ</t>
        </is>
      </c>
      <c r="E1373" s="2" t="inlineStr">
        <is>
          <t>816753 AAEF6 1042</t>
        </is>
      </c>
      <c r="F1373" s="2" t="inlineStr">
        <is>
          <t xml:space="preserve">  -</t>
        </is>
      </c>
      <c r="G1373" s="10" t="inlineStr">
        <is>
          <t>OneSize</t>
        </is>
      </c>
      <c r="H1373" s="17" t="inlineStr">
        <is>
          <t>OneSize</t>
        </is>
      </c>
      <c r="I1373" s="18" t="n">
        <v>495000</v>
      </c>
      <c r="J1373" s="19" t="n">
        <v>495000</v>
      </c>
      <c r="K1373" s="20" t="n">
        <v>5</v>
      </c>
      <c r="L1373" s="4" t="inlineStr">
        <is>
          <t>https://www.gucci.com/jp/ja/pr/men/bags-for-men/tote-bags-for-men/large-tote-bag-with-web-p-816753AAEF61042</t>
        </is>
      </c>
      <c r="M1373" s="5">
        <f t="array" ref="M1373">_xlfn.IFS(J1373="NOTFOUND",I1373,J1373&gt;=I1373,J1373)</f>
        <v/>
      </c>
    </row>
    <row r="1374" ht="18" customHeight="1" s="16">
      <c r="A1374" s="5" t="n">
        <v>1373</v>
      </c>
      <c r="B1374" s="2" t="inlineStr">
        <is>
          <t>GU-3625</t>
        </is>
      </c>
      <c r="C1374" s="2" t="n"/>
      <c r="D1374" s="2" t="inlineStr">
        <is>
          <t>ウェブ ストライプ付き スモール クロスボディバッグ</t>
        </is>
      </c>
      <c r="E1374" s="2" t="inlineStr">
        <is>
          <t>816751 AAEF6 1042</t>
        </is>
      </c>
      <c r="F1374" s="2" t="inlineStr">
        <is>
          <t xml:space="preserve">  -</t>
        </is>
      </c>
      <c r="G1374" s="10" t="inlineStr">
        <is>
          <t>OneSize</t>
        </is>
      </c>
      <c r="H1374" s="17" t="inlineStr">
        <is>
          <t>OneSize</t>
        </is>
      </c>
      <c r="I1374" s="18" t="n">
        <v>341000</v>
      </c>
      <c r="J1374" s="19" t="n">
        <v>341000</v>
      </c>
      <c r="K1374" s="20" t="n">
        <v>5</v>
      </c>
      <c r="L1374" s="4" t="inlineStr">
        <is>
          <t>https://www.gucci.com/jp/ja/pr/men/bags-for-men/small-bags-pouches-for-men/small-bags/small-crossbody-bag-with-web-p-816751AAEF61042</t>
        </is>
      </c>
      <c r="M1374" s="5">
        <f t="array" ref="M1374">_xlfn.IFS(J1374="NOTFOUND",I1374,J1374&gt;=I1374,J1374)</f>
        <v/>
      </c>
    </row>
    <row r="1375" ht="18" customHeight="1" s="16">
      <c r="A1375" s="5" t="n">
        <v>1374</v>
      </c>
      <c r="B1375" s="2" t="inlineStr">
        <is>
          <t>GU-3626</t>
        </is>
      </c>
      <c r="C1375" s="2" t="n"/>
      <c r="D1375" s="2" t="inlineStr">
        <is>
          <t>ウェブ ストライプ付き ラージ バックパック</t>
        </is>
      </c>
      <c r="E1375" s="2" t="inlineStr">
        <is>
          <t>816750 AAEF7 1042</t>
        </is>
      </c>
      <c r="F1375" s="2" t="inlineStr">
        <is>
          <t xml:space="preserve">  -</t>
        </is>
      </c>
      <c r="G1375" s="10" t="inlineStr">
        <is>
          <t>OneSize</t>
        </is>
      </c>
      <c r="H1375" s="17" t="inlineStr">
        <is>
          <t>OneSize</t>
        </is>
      </c>
      <c r="I1375" s="18" t="n">
        <v>517000</v>
      </c>
      <c r="J1375" s="19" t="n">
        <v>537900</v>
      </c>
      <c r="K1375" s="20" t="n">
        <v>5</v>
      </c>
      <c r="L1375" s="4" t="inlineStr">
        <is>
          <t>https://www.gucci.com/jp/ja/pr/men/bags-for-men/backpacks-for-men/large-backpack-with-web-p-816750AAEF71042</t>
        </is>
      </c>
      <c r="M1375" s="5">
        <f t="array" ref="M1375">_xlfn.IFS(J1375="NOTFOUND",I1375,J1375&gt;=I1375,J1375)</f>
        <v/>
      </c>
    </row>
    <row r="1376" ht="18" customHeight="1" s="16">
      <c r="A1376" s="5" t="n">
        <v>1375</v>
      </c>
      <c r="B1376" s="2" t="inlineStr">
        <is>
          <t>GU-3627</t>
        </is>
      </c>
      <c r="C1376" s="2" t="n"/>
      <c r="D1376" s="2" t="inlineStr">
        <is>
          <t>GG スモール クロスボディバッグ</t>
        </is>
      </c>
      <c r="E1376" s="2" t="inlineStr">
        <is>
          <t>822073 FADJM 1043</t>
        </is>
      </c>
      <c r="F1376" s="2" t="inlineStr">
        <is>
          <t xml:space="preserve">  -</t>
        </is>
      </c>
      <c r="G1376" s="10" t="inlineStr">
        <is>
          <t>OneSize</t>
        </is>
      </c>
      <c r="H1376" s="17" t="inlineStr">
        <is>
          <t>OneSize</t>
        </is>
      </c>
      <c r="I1376" s="18" t="n">
        <v>280500</v>
      </c>
      <c r="J1376" s="19" t="n">
        <v>280500</v>
      </c>
      <c r="K1376" s="20" t="n">
        <v>5</v>
      </c>
      <c r="L1376" s="4" t="inlineStr">
        <is>
          <t>https://www.gucci.com/jp/ja/pr/men/bags-for-men/belt-bags-slingbag-for-men/small-gg-crossbody-bag-p-822073FADJM1043</t>
        </is>
      </c>
      <c r="M1376" s="5">
        <f t="array" ref="M1376">_xlfn.IFS(J1376="NOTFOUND",I1376,J1376&gt;=I1376,J1376)</f>
        <v/>
      </c>
    </row>
    <row r="1377" ht="18" customHeight="1" s="16">
      <c r="A1377" s="5" t="n">
        <v>1376</v>
      </c>
      <c r="B1377" s="2" t="inlineStr">
        <is>
          <t>GU-3628</t>
        </is>
      </c>
      <c r="C1377" s="2" t="n"/>
      <c r="D1377" s="2" t="inlineStr">
        <is>
          <t>GG ミディアム クロスボディバッグ</t>
        </is>
      </c>
      <c r="E1377" s="2" t="inlineStr">
        <is>
          <t>822072 FADJA 1042</t>
        </is>
      </c>
      <c r="F1377" s="2" t="inlineStr">
        <is>
          <t xml:space="preserve">  -</t>
        </is>
      </c>
      <c r="G1377" s="10" t="inlineStr">
        <is>
          <t>OneSize</t>
        </is>
      </c>
      <c r="H1377" s="17" t="inlineStr">
        <is>
          <t>OneSize</t>
        </is>
      </c>
      <c r="I1377" s="18" t="n">
        <v>308000</v>
      </c>
      <c r="J1377" s="19" t="n">
        <v>308000</v>
      </c>
      <c r="K1377" s="20" t="n">
        <v>5</v>
      </c>
      <c r="L1377" s="4" t="inlineStr">
        <is>
          <t>https://www.gucci.com/jp/ja/pr/men/bags-for-men/messenger-crossbody-bags-for-men/medium-gg-crossbody-bag-p-822072FADJA1042</t>
        </is>
      </c>
      <c r="M1377" s="5">
        <f t="array" ref="M1377">_xlfn.IFS(J1377="NOTFOUND",I1377,J1377&gt;=I1377,J1377)</f>
        <v/>
      </c>
    </row>
    <row r="1378" ht="18" customHeight="1" s="16">
      <c r="A1378" s="5" t="n">
        <v>1377</v>
      </c>
      <c r="B1378" s="2" t="inlineStr">
        <is>
          <t>GU-3629</t>
        </is>
      </c>
      <c r="C1378" s="2" t="n"/>
      <c r="D1378" s="2" t="inlineStr">
        <is>
          <t>GG スーパーミニバッグ</t>
        </is>
      </c>
      <c r="E1378" s="2" t="inlineStr">
        <is>
          <t>816954 FAD8C 1049</t>
        </is>
      </c>
      <c r="F1378" s="2" t="inlineStr">
        <is>
          <t xml:space="preserve">  -</t>
        </is>
      </c>
      <c r="G1378" s="11" t="inlineStr">
        <is>
          <t>SOLD</t>
        </is>
      </c>
      <c r="H1378" s="22" t="inlineStr">
        <is>
          <t>SOLD</t>
        </is>
      </c>
      <c r="I1378" s="18" t="n">
        <v>214500</v>
      </c>
      <c r="J1378" s="23" t="inlineStr">
        <is>
          <t>NOTFOUND</t>
        </is>
      </c>
      <c r="K1378" s="20" t="n">
        <v>0</v>
      </c>
      <c r="L1378" s="4" t="inlineStr">
        <is>
          <t>https://www.gucci.com/jp/ja/pr/men/bags-for-men/small-bags-pouches-for-men/small-bags/super-mini-gg-bag-p-816954FAD8C1049</t>
        </is>
      </c>
      <c r="M1378" s="5">
        <f t="array" ref="M1378">_xlfn.IFS(J1378="NOTFOUND",I1378,J1378&gt;=I1378,J1378)</f>
        <v/>
      </c>
    </row>
    <row r="1379" ht="18" customHeight="1" s="16">
      <c r="A1379" s="5" t="n">
        <v>1378</v>
      </c>
      <c r="B1379" s="2" t="inlineStr">
        <is>
          <t>GU-3630</t>
        </is>
      </c>
      <c r="C1379" s="2" t="n"/>
      <c r="D1379" s="2" t="inlineStr">
        <is>
          <t>GG スーパーミニバッグ</t>
        </is>
      </c>
      <c r="E1379" s="2" t="inlineStr">
        <is>
          <t>816953 FAD8C 1049</t>
        </is>
      </c>
      <c r="F1379" s="2" t="inlineStr">
        <is>
          <t xml:space="preserve">  -</t>
        </is>
      </c>
      <c r="G1379" s="10" t="inlineStr">
        <is>
          <t>OneSize</t>
        </is>
      </c>
      <c r="H1379" s="17" t="inlineStr">
        <is>
          <t>OneSize</t>
        </is>
      </c>
      <c r="I1379" s="18" t="n">
        <v>253000</v>
      </c>
      <c r="J1379" s="19" t="n">
        <v>253000</v>
      </c>
      <c r="K1379" s="20" t="n">
        <v>5</v>
      </c>
      <c r="L1379" s="4" t="inlineStr">
        <is>
          <t>https://www.gucci.com/jp/ja/pr/men/bags-for-men/small-bags-pouches-for-men/small-bags/super-mini-gg-bag-p-816953FAD8C1049</t>
        </is>
      </c>
      <c r="M1379" s="5">
        <f t="array" ref="M1379">_xlfn.IFS(J1379="NOTFOUND",I1379,J1379&gt;=I1379,J1379)</f>
        <v/>
      </c>
    </row>
    <row r="1380" ht="18" customHeight="1" s="16">
      <c r="A1380" s="5" t="n">
        <v>1379</v>
      </c>
      <c r="B1380" s="2" t="inlineStr">
        <is>
          <t>GU-3631</t>
        </is>
      </c>
      <c r="C1380" s="2" t="n"/>
      <c r="D1380" s="2" t="inlineStr">
        <is>
          <t>GG スモール クロスボディバッグ</t>
        </is>
      </c>
      <c r="E1380" s="2" t="inlineStr">
        <is>
          <t>795479 FADJA 1042</t>
        </is>
      </c>
      <c r="F1380" s="2" t="inlineStr">
        <is>
          <t xml:space="preserve">  -</t>
        </is>
      </c>
      <c r="G1380" s="10" t="inlineStr">
        <is>
          <t>OneSize</t>
        </is>
      </c>
      <c r="H1380" s="17" t="inlineStr">
        <is>
          <t>OneSize</t>
        </is>
      </c>
      <c r="I1380" s="18" t="n">
        <v>269500</v>
      </c>
      <c r="J1380" s="19" t="n">
        <v>269500</v>
      </c>
      <c r="K1380" s="20" t="n">
        <v>5</v>
      </c>
      <c r="L1380" s="4" t="inlineStr">
        <is>
          <t>https://www.gucci.com/jp/ja/pr/men/bags-for-men/messenger-crossbody-bags-for-men/small-gg-crossbody-bag-p-795479FADJA1042</t>
        </is>
      </c>
      <c r="M1380" s="5">
        <f t="array" ref="M1380">_xlfn.IFS(J1380="NOTFOUND",I1380,J1380&gt;=I1380,J1380)</f>
        <v/>
      </c>
    </row>
    <row r="1381" ht="18" customHeight="1" s="16">
      <c r="A1381" s="5" t="n">
        <v>1380</v>
      </c>
      <c r="B1381" s="2" t="inlineStr">
        <is>
          <t>GU-3632</t>
        </is>
      </c>
      <c r="C1381" s="2" t="n"/>
      <c r="D1381" s="2" t="inlineStr">
        <is>
          <t>GG ミディアム トートバッグ</t>
        </is>
      </c>
      <c r="E1381" s="2" t="inlineStr">
        <is>
          <t>794918 FADJA 1042</t>
        </is>
      </c>
      <c r="F1381" s="2" t="inlineStr">
        <is>
          <t xml:space="preserve">  -</t>
        </is>
      </c>
      <c r="G1381" s="10" t="inlineStr">
        <is>
          <t>OneSize</t>
        </is>
      </c>
      <c r="H1381" s="17" t="inlineStr">
        <is>
          <t>OneSize</t>
        </is>
      </c>
      <c r="I1381" s="18" t="n">
        <v>324500</v>
      </c>
      <c r="J1381" s="19" t="n">
        <v>324500</v>
      </c>
      <c r="K1381" s="20" t="n">
        <v>5</v>
      </c>
      <c r="L1381" s="4" t="inlineStr">
        <is>
          <t>https://www.gucci.com/jp/ja/pr/men/bags-for-men/tote-bags-for-men/medium-gg-tote-p-794918FADJA1042</t>
        </is>
      </c>
      <c r="M1381" s="5">
        <f t="array" ref="M1381">_xlfn.IFS(J1381="NOTFOUND",I1381,J1381&gt;=I1381,J1381)</f>
        <v/>
      </c>
    </row>
    <row r="1382" ht="18" customHeight="1" s="16">
      <c r="A1382" s="5" t="n">
        <v>1381</v>
      </c>
      <c r="B1382" s="2" t="inlineStr">
        <is>
          <t>GU-3633</t>
        </is>
      </c>
      <c r="C1382" s="2" t="n"/>
      <c r="D1382" s="2" t="inlineStr">
        <is>
          <t>GG クロスボディバッグ</t>
        </is>
      </c>
      <c r="E1382" s="2" t="inlineStr">
        <is>
          <t>792124 FADJA 1042</t>
        </is>
      </c>
      <c r="F1382" s="2" t="inlineStr">
        <is>
          <t xml:space="preserve">  -</t>
        </is>
      </c>
      <c r="G1382" s="10" t="inlineStr">
        <is>
          <t>OneSize</t>
        </is>
      </c>
      <c r="H1382" s="17" t="inlineStr">
        <is>
          <t>OneSize</t>
        </is>
      </c>
      <c r="I1382" s="18" t="n">
        <v>247500</v>
      </c>
      <c r="J1382" s="19" t="n">
        <v>247500</v>
      </c>
      <c r="K1382" s="20" t="n">
        <v>5</v>
      </c>
      <c r="L1382" s="4" t="inlineStr">
        <is>
          <t>https://www.gucci.com/jp/ja/pr/men/bags-for-men/messenger-crossbody-bags-for-men/gg-crossbody-bag-p-792124FADJA1042</t>
        </is>
      </c>
      <c r="M1382" s="5">
        <f t="array" ref="M1382">_xlfn.IFS(J1382="NOTFOUND",I1382,J1382&gt;=I1382,J1382)</f>
        <v/>
      </c>
    </row>
    <row r="1383" ht="18" customHeight="1" s="16">
      <c r="A1383" s="5" t="n">
        <v>1382</v>
      </c>
      <c r="B1383" s="2" t="inlineStr">
        <is>
          <t>GU-3634</t>
        </is>
      </c>
      <c r="C1383" s="2" t="n"/>
      <c r="D1383" s="2" t="inlineStr">
        <is>
          <t>GG バックパック</t>
        </is>
      </c>
      <c r="E1383" s="2" t="inlineStr">
        <is>
          <t>792123 FADJN 1044</t>
        </is>
      </c>
      <c r="F1383" s="2" t="inlineStr">
        <is>
          <t xml:space="preserve">  -</t>
        </is>
      </c>
      <c r="G1383" s="10" t="inlineStr">
        <is>
          <t>OneSize</t>
        </is>
      </c>
      <c r="H1383" s="17" t="inlineStr">
        <is>
          <t>OneSize</t>
        </is>
      </c>
      <c r="I1383" s="18" t="n">
        <v>341000</v>
      </c>
      <c r="J1383" s="19" t="n">
        <v>341000</v>
      </c>
      <c r="K1383" s="20" t="n">
        <v>5</v>
      </c>
      <c r="L1383" s="4" t="inlineStr">
        <is>
          <t>https://www.gucci.com/jp/ja/pr/men/bags-for-men/backpacks-for-men/gg-backpack-p-792123FADJN1044</t>
        </is>
      </c>
      <c r="M1383" s="5">
        <f t="array" ref="M1383">_xlfn.IFS(J1383="NOTFOUND",I1383,J1383&gt;=I1383,J1383)</f>
        <v/>
      </c>
    </row>
    <row r="1384" ht="18" customHeight="1" s="16">
      <c r="A1384" s="5" t="n">
        <v>1383</v>
      </c>
      <c r="B1384" s="2" t="inlineStr">
        <is>
          <t>GU-3635</t>
        </is>
      </c>
      <c r="C1384" s="2" t="n"/>
      <c r="D1384" s="2" t="inlineStr">
        <is>
          <t>GG クロスボディバッグ</t>
        </is>
      </c>
      <c r="E1384" s="2" t="inlineStr">
        <is>
          <t>792097 FADJA 1042</t>
        </is>
      </c>
      <c r="F1384" s="2" t="inlineStr">
        <is>
          <t xml:space="preserve">  -</t>
        </is>
      </c>
      <c r="G1384" s="11" t="inlineStr">
        <is>
          <t>SOLD</t>
        </is>
      </c>
      <c r="H1384" s="22" t="inlineStr">
        <is>
          <t>SOLD</t>
        </is>
      </c>
      <c r="I1384" s="18" t="n">
        <v>242000</v>
      </c>
      <c r="J1384" s="23" t="inlineStr">
        <is>
          <t>NOTFOUND</t>
        </is>
      </c>
      <c r="K1384" s="20" t="n">
        <v>0</v>
      </c>
      <c r="L1384" s="4" t="inlineStr">
        <is>
          <t>https://www.gucci.com/jp/ja/pr/men/bags-for-men/small-bags-pouches-for-men/gg-crossbody-bag-p-792097FADJA1042</t>
        </is>
      </c>
      <c r="M1384" s="5">
        <f t="array" ref="M1384">_xlfn.IFS(J1384="NOTFOUND",I1384,J1384&gt;=I1384,J1384)</f>
        <v/>
      </c>
    </row>
    <row r="1385" ht="18" customHeight="1" s="16">
      <c r="A1385" s="5" t="n">
        <v>1384</v>
      </c>
      <c r="B1385" s="2" t="inlineStr">
        <is>
          <t>GU-3636</t>
        </is>
      </c>
      <c r="C1385" s="2" t="n"/>
      <c r="D1385" s="2" t="inlineStr">
        <is>
          <t>ジップポケット付き GG ベルトバッグ</t>
        </is>
      </c>
      <c r="E1385" s="2" t="inlineStr">
        <is>
          <t>792094 FADJM 1043</t>
        </is>
      </c>
      <c r="F1385" s="2" t="inlineStr">
        <is>
          <t xml:space="preserve">  -</t>
        </is>
      </c>
      <c r="G1385" s="10" t="inlineStr">
        <is>
          <t>OneSize</t>
        </is>
      </c>
      <c r="H1385" s="17" t="inlineStr">
        <is>
          <t>OneSize</t>
        </is>
      </c>
      <c r="I1385" s="18" t="n">
        <v>192500</v>
      </c>
      <c r="J1385" s="19" t="n">
        <v>192500</v>
      </c>
      <c r="K1385" s="20" t="n">
        <v>5</v>
      </c>
      <c r="L1385" s="4" t="inlineStr">
        <is>
          <t>https://www.gucci.com/jp/ja/pr/men/bags-for-men/belt-bags-slingbag-for-men/gg-belt-bag-with-zip-pocket-p-792094FADJM1043</t>
        </is>
      </c>
      <c r="M1385" s="5">
        <f t="array" ref="M1385">_xlfn.IFS(J1385="NOTFOUND",I1385,J1385&gt;=I1385,J1385)</f>
        <v/>
      </c>
    </row>
    <row r="1386" ht="18" customHeight="1" s="16">
      <c r="A1386" s="5" t="n">
        <v>1385</v>
      </c>
      <c r="B1386" s="2" t="inlineStr">
        <is>
          <t>GU-3637</t>
        </is>
      </c>
      <c r="C1386" s="2" t="n"/>
      <c r="D1386" s="2" t="inlineStr">
        <is>
          <t>GG ベルトバッグ</t>
        </is>
      </c>
      <c r="E1386" s="2" t="inlineStr">
        <is>
          <t>792091 FADJA 1042</t>
        </is>
      </c>
      <c r="F1386" s="2" t="inlineStr">
        <is>
          <t xml:space="preserve">  -</t>
        </is>
      </c>
      <c r="G1386" s="10" t="inlineStr">
        <is>
          <t>OneSize</t>
        </is>
      </c>
      <c r="H1386" s="17" t="inlineStr">
        <is>
          <t>OneSize</t>
        </is>
      </c>
      <c r="I1386" s="18" t="n">
        <v>173800</v>
      </c>
      <c r="J1386" s="19" t="n">
        <v>173800</v>
      </c>
      <c r="K1386" s="20" t="n">
        <v>5</v>
      </c>
      <c r="L1386" s="4" t="inlineStr">
        <is>
          <t>https://www.gucci.com/jp/ja/pr/men/bags-for-men/belt-bags-slingbag-for-men/gg-belt-bag-p-792091FADJA1042</t>
        </is>
      </c>
      <c r="M1386" s="5">
        <f t="array" ref="M1386">_xlfn.IFS(J1386="NOTFOUND",I1386,J1386&gt;=I1386,J1386)</f>
        <v/>
      </c>
    </row>
    <row r="1387" ht="18" customHeight="1" s="16">
      <c r="A1387" s="5" t="n">
        <v>1386</v>
      </c>
      <c r="B1387" s="2" t="inlineStr">
        <is>
          <t>GU-3638</t>
        </is>
      </c>
      <c r="C1387" s="2" t="n"/>
      <c r="D1387" s="2" t="inlineStr">
        <is>
          <t>GG スモール クロスボディバッグ</t>
        </is>
      </c>
      <c r="E1387" s="2" t="inlineStr">
        <is>
          <t>792082 FADJA 1042</t>
        </is>
      </c>
      <c r="F1387" s="2" t="inlineStr">
        <is>
          <t xml:space="preserve">  -</t>
        </is>
      </c>
      <c r="G1387" s="10" t="inlineStr">
        <is>
          <t>OneSize</t>
        </is>
      </c>
      <c r="H1387" s="17" t="inlineStr">
        <is>
          <t>OneSize</t>
        </is>
      </c>
      <c r="I1387" s="18" t="n">
        <v>211200</v>
      </c>
      <c r="J1387" s="19" t="n">
        <v>211200</v>
      </c>
      <c r="K1387" s="20" t="n">
        <v>5</v>
      </c>
      <c r="L1387" s="4" t="inlineStr">
        <is>
          <t>https://www.gucci.com/jp/ja/pr/men/bags-for-men/small-bags-pouches-for-men/small-bags/small-gg-crossbody-bag-p-792082FADJA1042</t>
        </is>
      </c>
      <c r="M1387" s="5">
        <f t="array" ref="M1387">_xlfn.IFS(J1387="NOTFOUND",I1387,J1387&gt;=I1387,J1387)</f>
        <v/>
      </c>
    </row>
    <row r="1388" ht="18" customHeight="1" s="16">
      <c r="A1388" s="5" t="n">
        <v>1387</v>
      </c>
      <c r="B1388" s="2" t="inlineStr">
        <is>
          <t>GU-3639</t>
        </is>
      </c>
      <c r="C1388" s="2" t="n"/>
      <c r="D1388" s="2" t="inlineStr">
        <is>
          <t>GG クロスボディバッグ</t>
        </is>
      </c>
      <c r="E1388" s="2" t="inlineStr">
        <is>
          <t>792081 FADJA 1042</t>
        </is>
      </c>
      <c r="F1388" s="2" t="inlineStr">
        <is>
          <t xml:space="preserve">  -</t>
        </is>
      </c>
      <c r="G1388" s="10" t="inlineStr">
        <is>
          <t>OneSize</t>
        </is>
      </c>
      <c r="H1388" s="17" t="inlineStr">
        <is>
          <t>OneSize</t>
        </is>
      </c>
      <c r="I1388" s="18" t="n">
        <v>217800</v>
      </c>
      <c r="J1388" s="19" t="n">
        <v>217800</v>
      </c>
      <c r="K1388" s="20" t="n">
        <v>5</v>
      </c>
      <c r="L1388" s="4" t="inlineStr">
        <is>
          <t>https://www.gucci.com/jp/ja/pr/men/bags-for-men/messenger-crossbody-bags-for-men/gg-crossbody-bag-p-792081FADJA1042</t>
        </is>
      </c>
      <c r="M1388" s="5">
        <f t="array" ref="M1388">_xlfn.IFS(J1388="NOTFOUND",I1388,J1388&gt;=I1388,J1388)</f>
        <v/>
      </c>
    </row>
    <row r="1389" ht="18" customHeight="1" s="16">
      <c r="A1389" s="5" t="n">
        <v>1388</v>
      </c>
      <c r="B1389" s="2" t="inlineStr">
        <is>
          <t>GU-3640</t>
        </is>
      </c>
      <c r="C1389" s="2" t="n"/>
      <c r="D1389" s="2" t="inlineStr">
        <is>
          <t>GG スモール バックパック</t>
        </is>
      </c>
      <c r="E1389" s="2" t="inlineStr">
        <is>
          <t>792080 FADJQ 1185</t>
        </is>
      </c>
      <c r="F1389" s="2" t="inlineStr">
        <is>
          <t xml:space="preserve">  -</t>
        </is>
      </c>
      <c r="G1389" s="10" t="inlineStr">
        <is>
          <t>OneSize</t>
        </is>
      </c>
      <c r="H1389" s="17" t="inlineStr">
        <is>
          <t>OneSize</t>
        </is>
      </c>
      <c r="I1389" s="18" t="n">
        <v>368500</v>
      </c>
      <c r="J1389" s="19" t="n">
        <v>368500</v>
      </c>
      <c r="K1389" s="20" t="n">
        <v>5</v>
      </c>
      <c r="L1389" s="4" t="inlineStr">
        <is>
          <t>https://www.gucci.com/jp/ja/pr/men/bags-for-men/backpacks-for-men/small-gg-backpack-p-792080FADJQ1185</t>
        </is>
      </c>
      <c r="M1389" s="5">
        <f t="array" ref="M1389">_xlfn.IFS(J1389="NOTFOUND",I1389,J1389&gt;=I1389,J1389)</f>
        <v/>
      </c>
    </row>
    <row r="1390" ht="18" customHeight="1" s="16">
      <c r="A1390" s="5" t="n">
        <v>1389</v>
      </c>
      <c r="B1390" s="2" t="inlineStr">
        <is>
          <t>GU-3641</t>
        </is>
      </c>
      <c r="C1390" s="2" t="n"/>
      <c r="D1390" s="2" t="inlineStr">
        <is>
          <t>GG スリングバックバッグ</t>
        </is>
      </c>
      <c r="E1390" s="2" t="inlineStr">
        <is>
          <t>792078 FADJM 1043</t>
        </is>
      </c>
      <c r="F1390" s="2" t="inlineStr">
        <is>
          <t xml:space="preserve">  -</t>
        </is>
      </c>
      <c r="G1390" s="10" t="inlineStr">
        <is>
          <t>OneSize</t>
        </is>
      </c>
      <c r="H1390" s="17" t="inlineStr">
        <is>
          <t>OneSize</t>
        </is>
      </c>
      <c r="I1390" s="18" t="n">
        <v>192500</v>
      </c>
      <c r="J1390" s="19" t="n">
        <v>192500</v>
      </c>
      <c r="K1390" s="20" t="n">
        <v>5</v>
      </c>
      <c r="L1390" s="4" t="inlineStr">
        <is>
          <t>https://www.gucci.com/jp/ja/pr/men/bags-for-men/belt-bags-slingbag-for-men/gg-sling-back-bag-p-792078FADJM1043</t>
        </is>
      </c>
      <c r="M1390" s="5">
        <f t="array" ref="M1390">_xlfn.IFS(J1390="NOTFOUND",I1390,J1390&gt;=I1390,J1390)</f>
        <v/>
      </c>
    </row>
    <row r="1391" ht="18" customHeight="1" s="16">
      <c r="A1391" s="5" t="n">
        <v>1390</v>
      </c>
      <c r="B1391" s="2" t="inlineStr">
        <is>
          <t>GU-3642</t>
        </is>
      </c>
      <c r="C1391" s="2" t="n"/>
      <c r="D1391" s="2" t="inlineStr">
        <is>
          <t>ショルダーストラップ付き GG スモール ブリーフケース</t>
        </is>
      </c>
      <c r="E1391" s="2" t="inlineStr">
        <is>
          <t>792077 FADJA 1042</t>
        </is>
      </c>
      <c r="F1391" s="2" t="inlineStr">
        <is>
          <t xml:space="preserve">  -</t>
        </is>
      </c>
      <c r="G1391" s="10" t="inlineStr">
        <is>
          <t>OneSize</t>
        </is>
      </c>
      <c r="H1391" s="17" t="inlineStr">
        <is>
          <t>OneSize</t>
        </is>
      </c>
      <c r="I1391" s="18" t="n">
        <v>313500</v>
      </c>
      <c r="J1391" s="19" t="n">
        <v>313500</v>
      </c>
      <c r="K1391" s="20" t="n">
        <v>5</v>
      </c>
      <c r="L1391" s="4" t="inlineStr">
        <is>
          <t>https://www.gucci.com/jp/ja/pr/men/bags-for-men/briefcases-for-men/small-gg-briefcase-with-shoulder-strap-p-792077FADJA1042</t>
        </is>
      </c>
      <c r="M1391" s="5">
        <f t="array" ref="M1391">_xlfn.IFS(J1391="NOTFOUND",I1391,J1391&gt;=I1391,J1391)</f>
        <v/>
      </c>
    </row>
    <row r="1392" ht="18" customHeight="1" s="16">
      <c r="A1392" s="5" t="n">
        <v>1391</v>
      </c>
      <c r="B1392" s="2" t="inlineStr">
        <is>
          <t>GU-3643</t>
        </is>
      </c>
      <c r="C1392" s="2" t="n"/>
      <c r="D1392" s="2" t="inlineStr">
        <is>
          <t>GG クロスボディバッグ</t>
        </is>
      </c>
      <c r="E1392" s="2" t="inlineStr">
        <is>
          <t>771164 KAAAJ 1143</t>
        </is>
      </c>
      <c r="F1392" s="2" t="inlineStr">
        <is>
          <t xml:space="preserve">  -</t>
        </is>
      </c>
      <c r="G1392" s="11" t="inlineStr">
        <is>
          <t>SOLD</t>
        </is>
      </c>
      <c r="H1392" s="22" t="inlineStr">
        <is>
          <t>SOLD</t>
        </is>
      </c>
      <c r="I1392" s="18" t="n">
        <v>231000</v>
      </c>
      <c r="J1392" s="23" t="inlineStr">
        <is>
          <t>NOTFOUND</t>
        </is>
      </c>
      <c r="K1392" s="20" t="n">
        <v>0</v>
      </c>
      <c r="L1392" s="4" t="inlineStr">
        <is>
          <t>https://www.gucci.com/jp/ja/pr/men/bags-for-men/belt-bags-slingbag-for-men/gg-crossbody-bag-p-771164KAAAJ1143</t>
        </is>
      </c>
      <c r="M1392" s="5">
        <f t="array" ref="M1392">_xlfn.IFS(J1392="NOTFOUND",I1392,J1392&gt;=I1392,J1392)</f>
        <v/>
      </c>
    </row>
    <row r="1393" ht="18" customHeight="1" s="16">
      <c r="A1393" s="5" t="n">
        <v>1392</v>
      </c>
      <c r="B1393" s="2" t="inlineStr">
        <is>
          <t>GU-3644</t>
        </is>
      </c>
      <c r="C1393" s="2" t="n"/>
      <c r="D1393" s="2" t="inlineStr">
        <is>
          <t>ロゴ ラージ トートバッグ</t>
        </is>
      </c>
      <c r="E1393" s="2" t="inlineStr">
        <is>
          <t>802172 FADUZ 1066</t>
        </is>
      </c>
      <c r="F1393" s="2" t="inlineStr">
        <is>
          <t xml:space="preserve">  -</t>
        </is>
      </c>
      <c r="G1393" s="11" t="inlineStr">
        <is>
          <t>SOLD</t>
        </is>
      </c>
      <c r="H1393" s="22" t="inlineStr">
        <is>
          <t>SOLD</t>
        </is>
      </c>
      <c r="I1393" s="18" t="n">
        <v>302500</v>
      </c>
      <c r="J1393" s="23" t="inlineStr">
        <is>
          <t>NOTFOUND</t>
        </is>
      </c>
      <c r="K1393" s="20" t="n">
        <v>0</v>
      </c>
      <c r="L1393" s="4" t="inlineStr">
        <is>
          <t>https://www.gucci.com/jp/ja/pr/men/bags-for-men/tote-bags-for-men/large-tote-bag-with-gucci-logo-p-802172FADUZ1066</t>
        </is>
      </c>
      <c r="M1393" s="5">
        <f t="array" ref="M1393">_xlfn.IFS(J1393="NOTFOUND",I1393,J1393&gt;=I1393,J1393)</f>
        <v/>
      </c>
    </row>
    <row r="1394" ht="18" customHeight="1" s="16">
      <c r="A1394" s="5" t="n">
        <v>1393</v>
      </c>
      <c r="B1394" s="2" t="inlineStr">
        <is>
          <t>GU-3645</t>
        </is>
      </c>
      <c r="C1394" s="2" t="n"/>
      <c r="D1394" s="2" t="inlineStr">
        <is>
          <t>ロゴ ミディアム バックパック</t>
        </is>
      </c>
      <c r="E1394" s="2" t="inlineStr">
        <is>
          <t>800265 FADR6 1058</t>
        </is>
      </c>
      <c r="F1394" s="2" t="inlineStr">
        <is>
          <t>ブラック ナイロン</t>
        </is>
      </c>
      <c r="G1394" s="11" t="inlineStr">
        <is>
          <t>SOLD</t>
        </is>
      </c>
      <c r="H1394" s="22" t="inlineStr">
        <is>
          <t>SOLD</t>
        </is>
      </c>
      <c r="I1394" s="18" t="n">
        <v>437800</v>
      </c>
      <c r="J1394" s="23" t="inlineStr">
        <is>
          <t>NOTFOUND</t>
        </is>
      </c>
      <c r="K1394" s="20" t="n">
        <v>0</v>
      </c>
      <c r="L1394" s="4" t="inlineStr">
        <is>
          <t>https://www.gucci.com/jp/ja/pr/men/bags-for-men/backpacks-for-men/medium-backpack-with-gucci-logo-p-800265FADR61058</t>
        </is>
      </c>
      <c r="M1394" s="5">
        <f t="array" ref="M1394">_xlfn.IFS(J1394="NOTFOUND",I1394,J1394&gt;=I1394,J1394)</f>
        <v/>
      </c>
    </row>
    <row r="1395" ht="18" customHeight="1" s="16">
      <c r="A1395" s="5" t="n">
        <v>1394</v>
      </c>
      <c r="B1395" s="2" t="inlineStr">
        <is>
          <t>GU-3646</t>
        </is>
      </c>
      <c r="C1395" s="2" t="n"/>
      <c r="D1395" s="2" t="inlineStr">
        <is>
          <t>ジャンボGG スモール ポーチ</t>
        </is>
      </c>
      <c r="E1395" s="2" t="inlineStr">
        <is>
          <t>802148 AABY0 1000</t>
        </is>
      </c>
      <c r="F1395" s="2" t="inlineStr">
        <is>
          <t xml:space="preserve">  -</t>
        </is>
      </c>
      <c r="G1395" s="10" t="inlineStr">
        <is>
          <t>OneSize</t>
        </is>
      </c>
      <c r="H1395" s="17" t="inlineStr">
        <is>
          <t>OneSize</t>
        </is>
      </c>
      <c r="I1395" s="18" t="n">
        <v>192500</v>
      </c>
      <c r="J1395" s="19" t="n">
        <v>192500</v>
      </c>
      <c r="K1395" s="20" t="n">
        <v>5</v>
      </c>
      <c r="L1395" s="4" t="inlineStr">
        <is>
          <t>https://www.gucci.com/jp/ja/pr/men/bags-for-men/small-bags-pouches-for-men/pouches/small-jumbo-gg-pouch-p-802148AABY01000</t>
        </is>
      </c>
      <c r="M1395" s="5">
        <f t="array" ref="M1395">_xlfn.IFS(J1395="NOTFOUND",I1395,J1395&gt;=I1395,J1395)</f>
        <v/>
      </c>
    </row>
    <row r="1396" ht="18" customHeight="1" s="16">
      <c r="A1396" s="5" t="n">
        <v>1395</v>
      </c>
      <c r="B1396" s="2" t="inlineStr">
        <is>
          <t>GU-3647</t>
        </is>
      </c>
      <c r="C1396" s="2" t="n"/>
      <c r="D1396" s="2" t="inlineStr">
        <is>
          <t>グッチB スモール クロスボディバッグ</t>
        </is>
      </c>
      <c r="E1396" s="2" t="inlineStr">
        <is>
          <t>801887 AZB5Z 1060</t>
        </is>
      </c>
      <c r="F1396" s="2" t="inlineStr">
        <is>
          <t>ブラック レザー</t>
        </is>
      </c>
      <c r="G1396" s="11" t="inlineStr">
        <is>
          <t>SOLD</t>
        </is>
      </c>
      <c r="H1396" s="22" t="inlineStr">
        <is>
          <t>SOLD</t>
        </is>
      </c>
      <c r="I1396" s="18" t="n">
        <v>599500</v>
      </c>
      <c r="J1396" s="23" t="inlineStr">
        <is>
          <t>NOTFOUND</t>
        </is>
      </c>
      <c r="K1396" s="20" t="n">
        <v>0</v>
      </c>
      <c r="L1396" s="4" t="inlineStr">
        <is>
          <t>https://www.gucci.com/jp/ja/pr/men/bags-for-men/messenger-crossbody-bags-for-men/gucci-b-small-crossbody-bag-p-801887AZB5Z1060</t>
        </is>
      </c>
      <c r="M1396" s="5">
        <f t="array" ref="M1396">_xlfn.IFS(J1396="NOTFOUND",I1396,J1396&gt;=I1396,J1396)</f>
        <v/>
      </c>
    </row>
    <row r="1397" ht="18" customHeight="1" s="16">
      <c r="A1397" s="5" t="n">
        <v>1396</v>
      </c>
      <c r="B1397" s="2" t="inlineStr">
        <is>
          <t>GU-3648</t>
        </is>
      </c>
      <c r="C1397" s="2" t="n"/>
      <c r="D1397" s="2" t="inlineStr">
        <is>
          <t>ジャッキー ラージ ショルダーバッグ</t>
        </is>
      </c>
      <c r="E1397" s="2" t="inlineStr">
        <is>
          <t>813650 AZB5Z 1060</t>
        </is>
      </c>
      <c r="F1397" s="2" t="inlineStr">
        <is>
          <t xml:space="preserve">  -</t>
        </is>
      </c>
      <c r="G1397" s="10" t="inlineStr">
        <is>
          <t>OneSize</t>
        </is>
      </c>
      <c r="H1397" s="17" t="inlineStr">
        <is>
          <t>OneSize</t>
        </is>
      </c>
      <c r="I1397" s="18" t="n">
        <v>649000</v>
      </c>
      <c r="J1397" s="19" t="n">
        <v>649000</v>
      </c>
      <c r="K1397" s="20" t="n">
        <v>5</v>
      </c>
      <c r="L1397" s="4" t="inlineStr">
        <is>
          <t>https://www.gucci.com/jp/ja/pr/men/bags-for-men/messenger-crossbody-bags-for-men/jackie-large-shoulder-bag-p-813650AZB5Z1060</t>
        </is>
      </c>
      <c r="M1397" s="5">
        <f t="array" ref="M1397">_xlfn.IFS(J1397="NOTFOUND",I1397,J1397&gt;=I1397,J1397)</f>
        <v/>
      </c>
    </row>
    <row r="1398" ht="18" customHeight="1" s="16">
      <c r="A1398" s="5" t="n">
        <v>1397</v>
      </c>
      <c r="B1398" s="2" t="inlineStr">
        <is>
          <t>GU-3649</t>
        </is>
      </c>
      <c r="C1398" s="2" t="n"/>
      <c r="D1398" s="2" t="inlineStr">
        <is>
          <t>オフィディア スモール クロスボディバッグ</t>
        </is>
      </c>
      <c r="E1398" s="2" t="inlineStr">
        <is>
          <t>699439 FADIC 9761</t>
        </is>
      </c>
      <c r="F1398" s="2" t="inlineStr">
        <is>
          <t>ベージュ＆エボニー GGスプリーム キャンバス</t>
        </is>
      </c>
      <c r="G1398" s="11" t="inlineStr">
        <is>
          <t>SOLD</t>
        </is>
      </c>
      <c r="H1398" s="22" t="inlineStr">
        <is>
          <t>SOLD</t>
        </is>
      </c>
      <c r="I1398" s="18" t="n">
        <v>250800</v>
      </c>
      <c r="J1398" s="23" t="inlineStr">
        <is>
          <t>NOTFOUND</t>
        </is>
      </c>
      <c r="K1398" s="20" t="n">
        <v>0</v>
      </c>
      <c r="L1398" s="4" t="inlineStr">
        <is>
          <t>https://www.gucci.com/jp/ja/pr/women/handbags/crossbody-bags-for-women/ophidia-small-crossbody-bag-p-699439FADIC9761</t>
        </is>
      </c>
      <c r="M1398" s="5">
        <f t="array" ref="M1398">_xlfn.IFS(J1398="NOTFOUND",I1398,J1398&gt;=I1398,J1398)</f>
        <v/>
      </c>
    </row>
    <row r="1399" ht="18" customHeight="1" s="16">
      <c r="A1399" s="5" t="n">
        <v>1398</v>
      </c>
      <c r="B1399" s="2" t="inlineStr">
        <is>
          <t>GU-3650</t>
        </is>
      </c>
      <c r="C1399" s="2" t="n"/>
      <c r="D1399" s="2" t="inlineStr">
        <is>
          <t>SAVOY ミディアム ダッフルバッグ</t>
        </is>
      </c>
      <c r="E1399" s="2" t="inlineStr">
        <is>
          <t>724642 9C2SN 4076</t>
        </is>
      </c>
      <c r="F1399" s="2" t="inlineStr">
        <is>
          <t>ベージュ＆ブルー GGスプリーム キャンバス</t>
        </is>
      </c>
      <c r="G1399" s="10" t="inlineStr">
        <is>
          <t>OneSize</t>
        </is>
      </c>
      <c r="H1399" s="17" t="inlineStr">
        <is>
          <t>OneSize</t>
        </is>
      </c>
      <c r="I1399" s="18" t="n">
        <v>357500</v>
      </c>
      <c r="J1399" s="19" t="n">
        <v>357500</v>
      </c>
      <c r="K1399" s="20" t="n">
        <v>5</v>
      </c>
      <c r="L1399" s="4" t="inlineStr">
        <is>
          <t>https://www.gucci.com/jp/ja/pr/men/bags-for-men/suitcases-duffle-bags-for-men/gucci-savoy-medium-duffle-bag-p-7246429C2SN4076</t>
        </is>
      </c>
      <c r="M1399" s="5">
        <f t="array" ref="M1399">_xlfn.IFS(J1399="NOTFOUND",I1399,J1399&gt;=I1399,J1399)</f>
        <v/>
      </c>
    </row>
    <row r="1400" ht="18" customHeight="1" s="16">
      <c r="A1400" s="5" t="n">
        <v>1399</v>
      </c>
      <c r="B1400" s="2" t="inlineStr">
        <is>
          <t>GU-3651</t>
        </is>
      </c>
      <c r="C1400" s="2" t="n"/>
      <c r="D1400" s="2" t="inlineStr">
        <is>
          <t>オフィディア クロスボディバッグ</t>
        </is>
      </c>
      <c r="E1400" s="2" t="inlineStr">
        <is>
          <t>681064 96IWN 4076</t>
        </is>
      </c>
      <c r="F1400" s="2" t="inlineStr">
        <is>
          <t xml:space="preserve">  -</t>
        </is>
      </c>
      <c r="G1400" s="11" t="inlineStr">
        <is>
          <t>SOLD</t>
        </is>
      </c>
      <c r="H1400" s="22" t="inlineStr">
        <is>
          <t>SOLD</t>
        </is>
      </c>
      <c r="I1400" s="18" t="n">
        <v>242000</v>
      </c>
      <c r="J1400" s="23" t="inlineStr">
        <is>
          <t>NOTFOUND</t>
        </is>
      </c>
      <c r="K1400" s="20" t="n">
        <v>0</v>
      </c>
      <c r="L1400" s="4" t="inlineStr">
        <is>
          <t>https://www.gucci.com/jp/ja/pr/women/handbags/shoulder-bags-for-women/camera-bags-for-women/ophidia-small-crossbody-bag-p-68106496IWN4076</t>
        </is>
      </c>
      <c r="M1400" s="5">
        <f t="array" ref="M1400">_xlfn.IFS(J1400="NOTFOUND",I1400,J1400&gt;=I1400,J1400)</f>
        <v/>
      </c>
    </row>
    <row r="1401" ht="18" customHeight="1" s="16">
      <c r="A1401" s="5" t="n">
        <v>1400</v>
      </c>
      <c r="B1401" s="2" t="inlineStr">
        <is>
          <t>GU-3652</t>
        </is>
      </c>
      <c r="C1401" s="2" t="n"/>
      <c r="D1401" s="2" t="inlineStr">
        <is>
          <t>オフィディア スモール クロスボディバッグ</t>
        </is>
      </c>
      <c r="E1401" s="2" t="inlineStr">
        <is>
          <t>598125 2ZGMN 4076</t>
        </is>
      </c>
      <c r="F1401" s="2" t="inlineStr">
        <is>
          <t>ベージュ＆ブルー GGスプリーム キャンバス</t>
        </is>
      </c>
      <c r="G1401" s="11" t="inlineStr">
        <is>
          <t>SOLD</t>
        </is>
      </c>
      <c r="H1401" s="22" t="inlineStr">
        <is>
          <t>SOLD</t>
        </is>
      </c>
      <c r="I1401" s="18" t="n">
        <v>225500</v>
      </c>
      <c r="J1401" s="23" t="inlineStr">
        <is>
          <t>NOTFOUND</t>
        </is>
      </c>
      <c r="K1401" s="20" t="n">
        <v>0</v>
      </c>
      <c r="L1401" s="4" t="inlineStr">
        <is>
          <t>https://www.gucci.com/jp/ja/pr/men/bags-for-men/messenger-crossbody-bags-for-men/ophidia-small-crossbody-bag-p-5981252ZGMN4076</t>
        </is>
      </c>
      <c r="M1401" s="5">
        <f t="array" ref="M1401">_xlfn.IFS(J1401="NOTFOUND",I1401,J1401&gt;=I1401,J1401)</f>
        <v/>
      </c>
    </row>
    <row r="1402" ht="18" customHeight="1" s="16">
      <c r="A1402" s="5" t="n">
        <v>1401</v>
      </c>
      <c r="B1402" s="2" t="inlineStr">
        <is>
          <t>GU-3653</t>
        </is>
      </c>
      <c r="C1402" s="2" t="n"/>
      <c r="D1402" s="2" t="inlineStr">
        <is>
          <t>オフィディア GG スモール バックパック</t>
        </is>
      </c>
      <c r="E1402" s="2" t="inlineStr">
        <is>
          <t>547965 9U8BN 4077</t>
        </is>
      </c>
      <c r="F1402" s="2" t="inlineStr">
        <is>
          <t>ベージュ＆ブルー GGス</t>
        </is>
      </c>
      <c r="G1402" s="11" t="inlineStr">
        <is>
          <t>SOLD</t>
        </is>
      </c>
      <c r="H1402" s="22" t="inlineStr">
        <is>
          <t>SOLD</t>
        </is>
      </c>
      <c r="I1402" s="18" t="n">
        <v>258500</v>
      </c>
      <c r="J1402" s="23" t="inlineStr">
        <is>
          <t>NOTFOUND</t>
        </is>
      </c>
      <c r="K1402" s="20" t="n">
        <v>0</v>
      </c>
      <c r="L1402" s="4" t="inlineStr">
        <is>
          <t>https://www.gucci.com/jp/ja/pr/men/bags-for-men/backpacks-for-men/ophidia-small-backpack-p-5479659U8BN4077</t>
        </is>
      </c>
      <c r="M1402" s="5">
        <f t="array" ref="M1402">_xlfn.IFS(J1402="NOTFOUND",I1402,J1402&gt;=I1402,J1402)</f>
        <v/>
      </c>
    </row>
    <row r="1403" ht="18" customHeight="1" s="16">
      <c r="A1403" s="5" t="n">
        <v>1402</v>
      </c>
      <c r="B1403" s="2" t="inlineStr">
        <is>
          <t>GU-3654</t>
        </is>
      </c>
      <c r="C1403" s="2" t="n"/>
      <c r="D1403" s="2" t="inlineStr">
        <is>
          <t>オフィディア GG スモール メッセンジャー バッグ</t>
        </is>
      </c>
      <c r="E1403" s="2" t="inlineStr">
        <is>
          <t>547926 96IWN 4076</t>
        </is>
      </c>
      <c r="F1403" s="2" t="inlineStr">
        <is>
          <t>ベージュ＆ブルー GGスプリーム キャンバス</t>
        </is>
      </c>
      <c r="G1403" s="11" t="inlineStr">
        <is>
          <t>SOLD</t>
        </is>
      </c>
      <c r="H1403" s="22" t="inlineStr">
        <is>
          <t>SOLD</t>
        </is>
      </c>
      <c r="I1403" s="18" t="n">
        <v>211200</v>
      </c>
      <c r="J1403" s="23" t="inlineStr">
        <is>
          <t>NOTFOUND</t>
        </is>
      </c>
      <c r="K1403" s="20" t="n">
        <v>0</v>
      </c>
      <c r="L1403" s="4" t="inlineStr">
        <is>
          <t>https://www.gucci.com/jp/ja/pr/men/bags-for-men/messenger-crossbody-bags-for-men/ophidia-small-messenger-bag-p-54792696IWN4076</t>
        </is>
      </c>
      <c r="M1403" s="5">
        <f t="array" ref="M1403">_xlfn.IFS(J1403="NOTFOUND",I1403,J1403&gt;=I1403,J1403)</f>
        <v/>
      </c>
    </row>
    <row r="1404" ht="18" customHeight="1" s="16">
      <c r="A1404" s="5" t="n">
        <v>1403</v>
      </c>
      <c r="B1404" s="2" t="inlineStr">
        <is>
          <t>GU-3655</t>
        </is>
      </c>
      <c r="C1404" s="2" t="n"/>
      <c r="D1404" s="2" t="inlineStr">
        <is>
          <t>GG テンダー ミディアム トートバッグ</t>
        </is>
      </c>
      <c r="E1404" s="2" t="inlineStr">
        <is>
          <t>763287 FACHL 8844</t>
        </is>
      </c>
      <c r="F1404" s="2" t="inlineStr">
        <is>
          <t xml:space="preserve">  -</t>
        </is>
      </c>
      <c r="G1404" s="10" t="inlineStr">
        <is>
          <t>OneSize</t>
        </is>
      </c>
      <c r="H1404" s="22" t="inlineStr">
        <is>
          <t>SOLD</t>
        </is>
      </c>
      <c r="I1404" s="18" t="n">
        <v>193600</v>
      </c>
      <c r="J1404" s="19" t="n">
        <v>193600</v>
      </c>
      <c r="K1404" s="20" t="n">
        <v>0</v>
      </c>
      <c r="L1404" s="4" t="inlineStr">
        <is>
          <t>https://www.gucci.com/jp/ja/pr/women/handbags/tote-bags-for-women/gg-tender-medium-tote-bag-p-763287FACHL8844</t>
        </is>
      </c>
      <c r="M1404" s="5">
        <f t="array" ref="M1404">_xlfn.IFS(J1404="NOTFOUND",I1404,J1404&gt;=I1404,J1404)</f>
        <v/>
      </c>
    </row>
    <row r="1405" ht="18" customHeight="1" s="16">
      <c r="A1405" s="5" t="n">
        <v>1404</v>
      </c>
      <c r="B1405" s="2" t="inlineStr">
        <is>
          <t>GU-3656</t>
        </is>
      </c>
      <c r="C1405" s="2" t="n"/>
      <c r="D1405" s="2" t="inlineStr">
        <is>
          <t>GG ベルトバッグ</t>
        </is>
      </c>
      <c r="E1405" s="2" t="inlineStr">
        <is>
          <t>760217 FACJN 9765</t>
        </is>
      </c>
      <c r="F1405" s="2" t="inlineStr">
        <is>
          <t xml:space="preserve">  -</t>
        </is>
      </c>
      <c r="G1405" s="11" t="inlineStr">
        <is>
          <t>SOLD</t>
        </is>
      </c>
      <c r="H1405" s="22" t="inlineStr">
        <is>
          <t>SOLD</t>
        </is>
      </c>
      <c r="I1405" s="18" t="n">
        <v>159500</v>
      </c>
      <c r="J1405" s="23" t="inlineStr">
        <is>
          <t>NOTFOUND</t>
        </is>
      </c>
      <c r="K1405" s="20" t="n">
        <v>0</v>
      </c>
      <c r="L1405" s="4" t="inlineStr">
        <is>
          <t>https://www.gucci.com/jp/ja/pr/men/bags-for-men/belt-bags-slingbag-for-men/small-belt-bag-p-760217FACJN9765</t>
        </is>
      </c>
      <c r="M1405" s="5">
        <f t="array" ref="M1405">_xlfn.IFS(J1405="NOTFOUND",I1405,J1405&gt;=I1405,J1405)</f>
        <v/>
      </c>
    </row>
    <row r="1406" ht="18" customHeight="1" s="16">
      <c r="A1406" s="5" t="n">
        <v>1405</v>
      </c>
      <c r="B1406" s="2" t="inlineStr">
        <is>
          <t>GU-3657</t>
        </is>
      </c>
      <c r="C1406" s="2" t="n"/>
      <c r="D1406" s="2" t="inlineStr">
        <is>
          <t>ウェブ ストライプ付き ラージ ダッフルバッグ</t>
        </is>
      </c>
      <c r="E1406" s="2" t="inlineStr">
        <is>
          <t>760152 FACK7 9768</t>
        </is>
      </c>
      <c r="F1406" s="2" t="inlineStr">
        <is>
          <t xml:space="preserve">  -</t>
        </is>
      </c>
      <c r="G1406" s="10" t="inlineStr">
        <is>
          <t>OneSize</t>
        </is>
      </c>
      <c r="H1406" s="17" t="inlineStr">
        <is>
          <t>OneSize</t>
        </is>
      </c>
      <c r="I1406" s="18" t="n">
        <v>313500</v>
      </c>
      <c r="J1406" s="19" t="n">
        <v>313500</v>
      </c>
      <c r="K1406" s="20" t="n">
        <v>5</v>
      </c>
      <c r="L1406" s="4" t="inlineStr">
        <is>
          <t>https://www.gucci.com/jp/ja/pr/men/bags-for-men/suitcases-duffle-bags-for-men/large-duffle-bag-with-web-p-760152FACK79768</t>
        </is>
      </c>
      <c r="M1406" s="5">
        <f t="array" ref="M1406">_xlfn.IFS(J1406="NOTFOUND",I1406,J1406&gt;=I1406,J1406)</f>
        <v/>
      </c>
    </row>
    <row r="1407" ht="18" customHeight="1" s="16">
      <c r="A1407" s="5" t="n">
        <v>1406</v>
      </c>
      <c r="B1407" s="2" t="inlineStr">
        <is>
          <t>GU-3658</t>
        </is>
      </c>
      <c r="C1407" s="2" t="n"/>
      <c r="D1407" s="2" t="inlineStr">
        <is>
          <t>GG メッセンジャーバッグ</t>
        </is>
      </c>
      <c r="E1407" s="2" t="inlineStr">
        <is>
          <t>760123 FACJN 9765</t>
        </is>
      </c>
      <c r="F1407" s="2" t="inlineStr">
        <is>
          <t xml:space="preserve">  -</t>
        </is>
      </c>
      <c r="G1407" s="11" t="inlineStr">
        <is>
          <t>SOLD</t>
        </is>
      </c>
      <c r="H1407" s="22" t="inlineStr">
        <is>
          <t>SOLD</t>
        </is>
      </c>
      <c r="I1407" s="18" t="n">
        <v>231000</v>
      </c>
      <c r="J1407" s="23" t="inlineStr">
        <is>
          <t>NOTFOUND</t>
        </is>
      </c>
      <c r="K1407" s="20" t="n">
        <v>0</v>
      </c>
      <c r="L1407" s="4" t="inlineStr">
        <is>
          <t>https://www.gucci.com/jp/ja/pr/women/handbags/shoulder-bags-for-women/small-messenger-bag-p-760123FACJN9765</t>
        </is>
      </c>
      <c r="M1407" s="5">
        <f t="array" ref="M1407">_xlfn.IFS(J1407="NOTFOUND",I1407,J1407&gt;=I1407,J1407)</f>
        <v/>
      </c>
    </row>
    <row r="1408" ht="18" customHeight="1" s="16">
      <c r="A1408" s="5" t="n">
        <v>1407</v>
      </c>
      <c r="B1408" s="2" t="inlineStr">
        <is>
          <t>GU-3659</t>
        </is>
      </c>
      <c r="C1408" s="2" t="n"/>
      <c r="D1408" s="2" t="inlineStr">
        <is>
          <t>タグ付き GG スモール クロスボディバッグ</t>
        </is>
      </c>
      <c r="E1408" s="2" t="inlineStr">
        <is>
          <t>795465 FADJK 1000</t>
        </is>
      </c>
      <c r="F1408" s="2" t="inlineStr">
        <is>
          <t xml:space="preserve">  -</t>
        </is>
      </c>
      <c r="G1408" s="11" t="inlineStr">
        <is>
          <t>SOLD</t>
        </is>
      </c>
      <c r="H1408" s="22" t="inlineStr">
        <is>
          <t>SOLD</t>
        </is>
      </c>
      <c r="I1408" s="18" t="n">
        <v>275000</v>
      </c>
      <c r="J1408" s="23" t="inlineStr">
        <is>
          <t>NOTFOUND</t>
        </is>
      </c>
      <c r="K1408" s="20" t="n">
        <v>0</v>
      </c>
      <c r="L1408" s="4" t="inlineStr">
        <is>
          <t>https://www.gucci.com/jp/ja/pr/men/bags-for-men/bestsellers-for-men/small-gg-crossbody-bag-with-tag-p-795465FADJK1000</t>
        </is>
      </c>
      <c r="M1408" s="5">
        <f t="array" ref="M1408">_xlfn.IFS(J1408="NOTFOUND",I1408,J1408&gt;=I1408,J1408)</f>
        <v/>
      </c>
    </row>
    <row r="1409" ht="18" customHeight="1" s="16">
      <c r="A1409" s="5" t="n">
        <v>1408</v>
      </c>
      <c r="B1409" s="2" t="inlineStr">
        <is>
          <t>GU-3660</t>
        </is>
      </c>
      <c r="C1409" s="2" t="n"/>
      <c r="D1409" s="2" t="inlineStr">
        <is>
          <t>タグ付き GG スモール クロスボディバッグ</t>
        </is>
      </c>
      <c r="E1409" s="2" t="inlineStr">
        <is>
          <t>795464 FACU5 1000</t>
        </is>
      </c>
      <c r="F1409" s="2" t="inlineStr">
        <is>
          <t xml:space="preserve">  -</t>
        </is>
      </c>
      <c r="G1409" s="11" t="inlineStr">
        <is>
          <t>SOLD</t>
        </is>
      </c>
      <c r="H1409" s="22" t="inlineStr">
        <is>
          <t>SOLD</t>
        </is>
      </c>
      <c r="I1409" s="18" t="n">
        <v>305800</v>
      </c>
      <c r="J1409" s="23" t="inlineStr">
        <is>
          <t>NOTFOUND</t>
        </is>
      </c>
      <c r="K1409" s="20" t="n">
        <v>0</v>
      </c>
      <c r="L1409" s="4" t="inlineStr">
        <is>
          <t>https://www.gucci.com/jp/ja/pr/men/bags-for-men/small-bags-pouches-for-men/small-bags/small-gg-crossbody-bag-with-tag-p-795464FACU51000</t>
        </is>
      </c>
      <c r="M1409" s="5">
        <f t="array" ref="M1409">_xlfn.IFS(J1409="NOTFOUND",I1409,J1409&gt;=I1409,J1409)</f>
        <v/>
      </c>
    </row>
    <row r="1410" ht="18" customHeight="1" s="16">
      <c r="A1410" s="5" t="n">
        <v>1409</v>
      </c>
      <c r="B1410" s="2" t="inlineStr">
        <is>
          <t>GU-3661</t>
        </is>
      </c>
      <c r="C1410" s="2" t="n"/>
      <c r="D1410" s="2" t="inlineStr">
        <is>
          <t>タグ付き GG スモール ベルトバッグ</t>
        </is>
      </c>
      <c r="E1410" s="2" t="inlineStr">
        <is>
          <t>795463 FADJK 1000</t>
        </is>
      </c>
      <c r="F1410" s="2" t="inlineStr">
        <is>
          <t xml:space="preserve">  -</t>
        </is>
      </c>
      <c r="G1410" s="11" t="inlineStr">
        <is>
          <t>SOLD</t>
        </is>
      </c>
      <c r="H1410" s="22" t="inlineStr">
        <is>
          <t>SOLD</t>
        </is>
      </c>
      <c r="I1410" s="18" t="n">
        <v>217800</v>
      </c>
      <c r="J1410" s="23" t="inlineStr">
        <is>
          <t>NOTFOUND</t>
        </is>
      </c>
      <c r="K1410" s="20" t="n">
        <v>0</v>
      </c>
      <c r="L1410" s="4" t="inlineStr">
        <is>
          <t>https://www.gucci.com/jp/ja/pr/men/bags-for-men/belt-bags-slingbag-for-men/small-gg-belt-bag-with-tag-p-795463FADJK1000</t>
        </is>
      </c>
      <c r="M1410" s="5">
        <f t="array" ref="M1410">_xlfn.IFS(J1410="NOTFOUND",I1410,J1410&gt;=I1410,J1410)</f>
        <v/>
      </c>
    </row>
    <row r="1411" ht="18" customHeight="1" s="16">
      <c r="A1411" s="5" t="n">
        <v>1410</v>
      </c>
      <c r="B1411" s="2" t="inlineStr">
        <is>
          <t>GU-3662</t>
        </is>
      </c>
      <c r="C1411" s="2" t="n"/>
      <c r="D1411" s="2" t="inlineStr">
        <is>
          <t>タグ付き GG ミディアム ブリーフケース</t>
        </is>
      </c>
      <c r="E1411" s="2" t="inlineStr">
        <is>
          <t>795461 FACU5 1000</t>
        </is>
      </c>
      <c r="F1411" s="2" t="inlineStr">
        <is>
          <t xml:space="preserve">  -</t>
        </is>
      </c>
      <c r="G1411" s="11" t="inlineStr">
        <is>
          <t>SOLD</t>
        </is>
      </c>
      <c r="H1411" s="22" t="inlineStr">
        <is>
          <t>SOLD</t>
        </is>
      </c>
      <c r="I1411" s="18" t="n">
        <v>385000</v>
      </c>
      <c r="J1411" s="23" t="inlineStr">
        <is>
          <t>NOTFOUND</t>
        </is>
      </c>
      <c r="K1411" s="20" t="n">
        <v>0</v>
      </c>
      <c r="L1411" s="4" t="inlineStr">
        <is>
          <t>https://www.gucci.com/jp/ja/pr/men/bags-for-men/briefcases-for-men/medium-gg-briefcase-with-tag-p-795461FACU51000</t>
        </is>
      </c>
      <c r="M1411" s="5">
        <f t="array" ref="M1411">_xlfn.IFS(J1411="NOTFOUND",I1411,J1411&gt;=I1411,J1411)</f>
        <v/>
      </c>
    </row>
    <row r="1412" ht="18" customHeight="1" s="16">
      <c r="A1412" s="5" t="n">
        <v>1411</v>
      </c>
      <c r="B1412" s="2" t="inlineStr">
        <is>
          <t>GU-3663</t>
        </is>
      </c>
      <c r="C1412" s="2" t="n"/>
      <c r="D1412" s="2" t="inlineStr">
        <is>
          <t>タグ付き GG ミディアム クロスボディバッグ</t>
        </is>
      </c>
      <c r="E1412" s="2" t="inlineStr">
        <is>
          <t>795459 FADJK 1000</t>
        </is>
      </c>
      <c r="F1412" s="2" t="inlineStr">
        <is>
          <t xml:space="preserve">  -</t>
        </is>
      </c>
      <c r="G1412" s="11" t="inlineStr">
        <is>
          <t>SOLD</t>
        </is>
      </c>
      <c r="H1412" s="22" t="inlineStr">
        <is>
          <t>SOLD</t>
        </is>
      </c>
      <c r="I1412" s="18" t="n">
        <v>324500</v>
      </c>
      <c r="J1412" s="23" t="inlineStr">
        <is>
          <t>NOTFOUND</t>
        </is>
      </c>
      <c r="K1412" s="20" t="n">
        <v>0</v>
      </c>
      <c r="L1412" s="4" t="inlineStr">
        <is>
          <t>https://www.gucci.com/jp/ja/pr/men/bags-for-men/messenger-crossbody-bags-for-men/medium-gg-crossbody-bag-with-tag-p-795459FADJK1000</t>
        </is>
      </c>
      <c r="M1412" s="5">
        <f t="array" ref="M1412">_xlfn.IFS(J1412="NOTFOUND",I1412,J1412&gt;=I1412,J1412)</f>
        <v/>
      </c>
    </row>
    <row r="1413" ht="18" customHeight="1" s="16">
      <c r="A1413" s="5" t="n">
        <v>1412</v>
      </c>
      <c r="B1413" s="2" t="inlineStr">
        <is>
          <t>GU-3664</t>
        </is>
      </c>
      <c r="C1413" s="2" t="n"/>
      <c r="D1413" s="2" t="inlineStr">
        <is>
          <t>フック クロージャー付き スモール クロスボディバッグ</t>
        </is>
      </c>
      <c r="E1413" s="2" t="inlineStr">
        <is>
          <t>821623 AAESU 3746</t>
        </is>
      </c>
      <c r="F1413" s="2" t="inlineStr">
        <is>
          <t>グリーン レザー</t>
        </is>
      </c>
      <c r="G1413" s="11" t="inlineStr">
        <is>
          <t>SOLD</t>
        </is>
      </c>
      <c r="H1413" s="22" t="inlineStr">
        <is>
          <t>SOLD</t>
        </is>
      </c>
      <c r="I1413" s="18" t="n">
        <v>368500</v>
      </c>
      <c r="J1413" s="23" t="inlineStr">
        <is>
          <t>NOTFOUND</t>
        </is>
      </c>
      <c r="K1413" s="20" t="n">
        <v>0</v>
      </c>
      <c r="L1413" s="4" t="inlineStr">
        <is>
          <t>https://www.gucci.com/jp/ja/pr/women/handbags/crossbody-bags-for-women/small-crossbody-bag-with-hook-closure-p-821623AAESU3746</t>
        </is>
      </c>
      <c r="M1413" s="5">
        <f t="array" ref="M1413">_xlfn.IFS(J1413="NOTFOUND",I1413,J1413&gt;=I1413,J1413)</f>
        <v/>
      </c>
    </row>
    <row r="1414" ht="18" customHeight="1" s="16">
      <c r="A1414" s="5" t="n">
        <v>1413</v>
      </c>
      <c r="B1414" s="2" t="inlineStr">
        <is>
          <t>GU-3665</t>
        </is>
      </c>
      <c r="C1414" s="2" t="n"/>
      <c r="D1414" s="2" t="inlineStr">
        <is>
          <t>フック クロージャー付き スモール クロスボディバッグ</t>
        </is>
      </c>
      <c r="E1414" s="2" t="inlineStr">
        <is>
          <t>821623 AAESU 1069</t>
        </is>
      </c>
      <c r="F1414" s="2" t="inlineStr">
        <is>
          <t>ブラック レザー</t>
        </is>
      </c>
      <c r="G1414" s="11" t="inlineStr">
        <is>
          <t>SOLD</t>
        </is>
      </c>
      <c r="H1414" s="22" t="inlineStr">
        <is>
          <t>SOLD</t>
        </is>
      </c>
      <c r="I1414" s="18" t="n">
        <v>368500</v>
      </c>
      <c r="J1414" s="23" t="inlineStr">
        <is>
          <t>NOTFOUND</t>
        </is>
      </c>
      <c r="K1414" s="20" t="n">
        <v>0</v>
      </c>
      <c r="L1414" s="4" t="inlineStr">
        <is>
          <t>https://www.gucci.com/jp/ja/pr/women/handbags/crossbody-bags-for-women/small-crossbody-bag-with-hook-closure-p-821623AAESU1069</t>
        </is>
      </c>
      <c r="M1414" s="5">
        <f t="array" ref="M1414">_xlfn.IFS(J1414="NOTFOUND",I1414,J1414&gt;=I1414,J1414)</f>
        <v/>
      </c>
    </row>
    <row r="1415" ht="18" customHeight="1" s="16">
      <c r="A1415" s="5" t="n">
        <v>1414</v>
      </c>
      <c r="B1415" s="2" t="inlineStr">
        <is>
          <t>GU-3666</t>
        </is>
      </c>
      <c r="C1415" s="2" t="n"/>
      <c r="D1415" s="2" t="inlineStr">
        <is>
          <t>GGエンブレム スーパーミニバッグ</t>
        </is>
      </c>
      <c r="E1415" s="2" t="inlineStr">
        <is>
          <t>821217 FAED4 1000</t>
        </is>
      </c>
      <c r="F1415" s="2" t="inlineStr">
        <is>
          <t xml:space="preserve">  -</t>
        </is>
      </c>
      <c r="G1415" s="11" t="inlineStr">
        <is>
          <t>SOLD</t>
        </is>
      </c>
      <c r="H1415" s="22" t="inlineStr">
        <is>
          <t>SOLD</t>
        </is>
      </c>
      <c r="I1415" s="18" t="n">
        <v>269500</v>
      </c>
      <c r="J1415" s="23" t="inlineStr">
        <is>
          <t>NOTFOUND</t>
        </is>
      </c>
      <c r="K1415" s="20" t="n">
        <v>0</v>
      </c>
      <c r="L1415" s="4" t="inlineStr">
        <is>
          <t>https://www.gucci.com/jp/ja/pr/men/bags-for-men/small-bags-pouches-for-men/small-bags/gg-emblem-super-mini-bag-p-821217FAED41000</t>
        </is>
      </c>
      <c r="M1415" s="5">
        <f t="array" ref="M1415">_xlfn.IFS(J1415="NOTFOUND",I1415,J1415&gt;=I1415,J1415)</f>
        <v/>
      </c>
    </row>
    <row r="1416" ht="18" customHeight="1" s="16">
      <c r="A1416" s="5" t="n">
        <v>1415</v>
      </c>
      <c r="B1416" s="2" t="inlineStr">
        <is>
          <t>GU-3667</t>
        </is>
      </c>
      <c r="C1416" s="2" t="n"/>
      <c r="D1416" s="2" t="inlineStr">
        <is>
          <t>GGエンブレム エンボス スーパーミニバッグ</t>
        </is>
      </c>
      <c r="E1416" s="2" t="inlineStr">
        <is>
          <t>821216 FAED3 9786</t>
        </is>
      </c>
      <c r="F1416" s="2" t="inlineStr">
        <is>
          <t xml:space="preserve">  -</t>
        </is>
      </c>
      <c r="G1416" s="11" t="inlineStr">
        <is>
          <t>SOLD</t>
        </is>
      </c>
      <c r="H1416" s="22" t="inlineStr">
        <is>
          <t>SOLD</t>
        </is>
      </c>
      <c r="I1416" s="18" t="n">
        <v>209000</v>
      </c>
      <c r="J1416" s="23" t="inlineStr">
        <is>
          <t>NOTFOUND</t>
        </is>
      </c>
      <c r="K1416" s="20" t="n">
        <v>0</v>
      </c>
      <c r="L1416" s="4" t="inlineStr">
        <is>
          <t>https://www.gucci.com/jp/ja/pr/women/handbags/mini-bags-for-women/gg-emblem-embossed-super-mini-bag-p-821216FAED39786</t>
        </is>
      </c>
      <c r="M1416" s="5">
        <f t="array" ref="M1416">_xlfn.IFS(J1416="NOTFOUND",I1416,J1416&gt;=I1416,J1416)</f>
        <v/>
      </c>
    </row>
    <row r="1417" ht="18" customHeight="1" s="16">
      <c r="A1417" s="5" t="n">
        <v>1416</v>
      </c>
      <c r="B1417" s="2" t="inlineStr">
        <is>
          <t>GU-3668</t>
        </is>
      </c>
      <c r="C1417" s="2" t="n"/>
      <c r="D1417" s="2" t="inlineStr">
        <is>
          <t>フック クロージャー付き ラージ トートバッグ</t>
        </is>
      </c>
      <c r="E1417" s="2" t="inlineStr">
        <is>
          <t>796761 AZB5Z 2541</t>
        </is>
      </c>
      <c r="F1417" s="2" t="inlineStr">
        <is>
          <t xml:space="preserve">  -</t>
        </is>
      </c>
      <c r="G1417" s="10" t="inlineStr">
        <is>
          <t>OneSize</t>
        </is>
      </c>
      <c r="H1417" s="22" t="inlineStr">
        <is>
          <t>SOLD</t>
        </is>
      </c>
      <c r="I1417" s="18" t="n">
        <v>1045000</v>
      </c>
      <c r="J1417" s="19" t="n">
        <v>1045000</v>
      </c>
      <c r="K1417" s="20" t="n">
        <v>0</v>
      </c>
      <c r="L1417" s="4" t="inlineStr">
        <is>
          <t>https://www.gucci.com/jp/ja/pr/women/handbags/tote-bags-for-women/large-tote-bag-with-hook-closure-p-796761AZB5Z2541</t>
        </is>
      </c>
      <c r="M1417" s="5">
        <f t="array" ref="M1417">_xlfn.IFS(J1417="NOTFOUND",I1417,J1417&gt;=I1417,J1417)</f>
        <v/>
      </c>
    </row>
    <row r="1418" ht="18" customHeight="1" s="16">
      <c r="A1418" s="5" t="n">
        <v>1417</v>
      </c>
      <c r="B1418" s="2" t="inlineStr">
        <is>
          <t>GU-3669</t>
        </is>
      </c>
      <c r="C1418" s="2" t="n"/>
      <c r="D1418" s="2" t="inlineStr">
        <is>
          <t>プリント トートバッグ</t>
        </is>
      </c>
      <c r="E1418" s="2" t="inlineStr">
        <is>
          <t>772177 FACUL 8451</t>
        </is>
      </c>
      <c r="F1418" s="2" t="inlineStr">
        <is>
          <t>ベージュ キャンバス</t>
        </is>
      </c>
      <c r="G1418" s="10" t="inlineStr">
        <is>
          <t>OneSize</t>
        </is>
      </c>
      <c r="H1418" s="17" t="inlineStr">
        <is>
          <t>OneSize</t>
        </is>
      </c>
      <c r="I1418" s="18" t="n">
        <v>286000</v>
      </c>
      <c r="J1418" s="19" t="n">
        <v>286000</v>
      </c>
      <c r="K1418" s="20" t="n">
        <v>5</v>
      </c>
      <c r="L1418" s="4" t="inlineStr">
        <is>
          <t>https://www.gucci.com/jp/ja/pr/women/handbags/tote-bags-for-women/large-tote-bag-with-gucci-print-p-772177FACUL8451</t>
        </is>
      </c>
      <c r="M1418" s="5">
        <f t="array" ref="M1418">_xlfn.IFS(J1418="NOTFOUND",I1418,J1418&gt;=I1418,J1418)</f>
        <v/>
      </c>
    </row>
    <row r="1419" ht="18" customHeight="1" s="16">
      <c r="A1419" s="5" t="n">
        <v>1418</v>
      </c>
      <c r="B1419" s="2" t="inlineStr">
        <is>
          <t>GU-3670</t>
        </is>
      </c>
      <c r="C1419" s="2" t="n"/>
      <c r="D1419" s="2" t="inlineStr">
        <is>
          <t>プリント トートバッグ</t>
        </is>
      </c>
      <c r="E1419" s="2" t="inlineStr">
        <is>
          <t>772176 FACUL 8451</t>
        </is>
      </c>
      <c r="F1419" s="2" t="inlineStr">
        <is>
          <t>ベージュ キャンバス</t>
        </is>
      </c>
      <c r="G1419" s="10" t="inlineStr">
        <is>
          <t>OneSize</t>
        </is>
      </c>
      <c r="H1419" s="17" t="inlineStr">
        <is>
          <t>OneSize</t>
        </is>
      </c>
      <c r="I1419" s="18" t="n">
        <v>264000</v>
      </c>
      <c r="J1419" s="19" t="n">
        <v>264000</v>
      </c>
      <c r="K1419" s="20" t="n">
        <v>5</v>
      </c>
      <c r="L1419" s="4" t="inlineStr">
        <is>
          <t>https://www.gucci.com/jp/ja/pr/women/handbags/tote-bags-for-women/medium-tote-bag-with-gucci-print-p-772176FACUL8451</t>
        </is>
      </c>
      <c r="M1419" s="5">
        <f t="array" ref="M1419">_xlfn.IFS(J1419="NOTFOUND",I1419,J1419&gt;=I1419,J1419)</f>
        <v/>
      </c>
    </row>
    <row r="1420" ht="18" customHeight="1" s="16">
      <c r="A1420" s="5" t="n">
        <v>1419</v>
      </c>
      <c r="B1420" s="2" t="inlineStr">
        <is>
          <t>GU-3671</t>
        </is>
      </c>
      <c r="C1420" s="2" t="n"/>
      <c r="D1420" s="2" t="inlineStr">
        <is>
          <t>プリント トートバッグ</t>
        </is>
      </c>
      <c r="E1420" s="2" t="inlineStr">
        <is>
          <t>772176 FACVW 8941</t>
        </is>
      </c>
      <c r="F1420" s="2" t="inlineStr">
        <is>
          <t>ベージュ キャンバス</t>
        </is>
      </c>
      <c r="G1420" s="10" t="inlineStr">
        <is>
          <t>OneSize</t>
        </is>
      </c>
      <c r="H1420" s="17" t="inlineStr">
        <is>
          <t>OneSize</t>
        </is>
      </c>
      <c r="I1420" s="18" t="n">
        <v>264000</v>
      </c>
      <c r="J1420" s="19" t="n">
        <v>264000</v>
      </c>
      <c r="K1420" s="20" t="n">
        <v>5</v>
      </c>
      <c r="L1420" s="4" t="inlineStr">
        <is>
          <t>https://www.gucci.com/jp/ja/pr/women/handbags/tote-bags-for-women/tote-bag-with-gucci-print-p-772176FACVW8941</t>
        </is>
      </c>
      <c r="M1420" s="5">
        <f t="array" ref="M1420">_xlfn.IFS(J1420="NOTFOUND",I1420,J1420&gt;=I1420,J1420)</f>
        <v/>
      </c>
    </row>
    <row r="1421" ht="18" customHeight="1" s="16">
      <c r="A1421" s="5" t="n">
        <v>1420</v>
      </c>
      <c r="B1421" s="2" t="inlineStr">
        <is>
          <t>GU-3672</t>
        </is>
      </c>
      <c r="C1421" s="2" t="n"/>
      <c r="D1421" s="2" t="inlineStr">
        <is>
          <t>プリント ミニ トートバッグ</t>
        </is>
      </c>
      <c r="E1421" s="2" t="inlineStr">
        <is>
          <t>772144 FACUL 8451</t>
        </is>
      </c>
      <c r="F1421" s="2" t="inlineStr">
        <is>
          <t>ベージュ キャンバス</t>
        </is>
      </c>
      <c r="G1421" s="10" t="inlineStr">
        <is>
          <t>OneSize</t>
        </is>
      </c>
      <c r="H1421" s="17" t="inlineStr">
        <is>
          <t>OneSize</t>
        </is>
      </c>
      <c r="I1421" s="18" t="n">
        <v>242000</v>
      </c>
      <c r="J1421" s="19" t="n">
        <v>242000</v>
      </c>
      <c r="K1421" s="20" t="n">
        <v>5</v>
      </c>
      <c r="L1421" s="4" t="inlineStr">
        <is>
          <t>https://www.gucci.com/jp/ja/pr/women/handbags/tote-bags-for-women/small-tote-bag-with-gucci-print-p-772144FACUL8451</t>
        </is>
      </c>
      <c r="M1421" s="5">
        <f t="array" ref="M1421">_xlfn.IFS(J1421="NOTFOUND",I1421,J1421&gt;=I1421,J1421)</f>
        <v/>
      </c>
    </row>
    <row r="1422" ht="18" customHeight="1" s="16">
      <c r="A1422" s="5" t="n">
        <v>1421</v>
      </c>
      <c r="B1422" s="2" t="inlineStr">
        <is>
          <t>GU-3673</t>
        </is>
      </c>
      <c r="C1422" s="2" t="n"/>
      <c r="D1422" s="2" t="inlineStr">
        <is>
          <t>プリント ミニ トートバッグ</t>
        </is>
      </c>
      <c r="E1422" s="2" t="inlineStr">
        <is>
          <t>772144 FACVW 8941</t>
        </is>
      </c>
      <c r="F1422" s="2" t="inlineStr">
        <is>
          <t>ベージュ キャンバス</t>
        </is>
      </c>
      <c r="G1422" s="10" t="inlineStr">
        <is>
          <t>OneSize</t>
        </is>
      </c>
      <c r="H1422" s="17" t="inlineStr">
        <is>
          <t>OneSize</t>
        </is>
      </c>
      <c r="I1422" s="18" t="n">
        <v>242000</v>
      </c>
      <c r="J1422" s="19" t="n">
        <v>242000</v>
      </c>
      <c r="K1422" s="20" t="n">
        <v>5</v>
      </c>
      <c r="L1422" s="4" t="inlineStr">
        <is>
          <t>https://www.gucci.com/jp/ja/pr/women/handbags/tote-bags-for-women/small-tote-bag-with-gucci-print-p-772144FACVW8941</t>
        </is>
      </c>
      <c r="M1422" s="5">
        <f t="array" ref="M1422">_xlfn.IFS(J1422="NOTFOUND",I1422,J1422&gt;=I1422,J1422)</f>
        <v/>
      </c>
    </row>
    <row r="1423" ht="18" customHeight="1" s="16">
      <c r="A1423" s="5" t="n">
        <v>1422</v>
      </c>
      <c r="B1423" s="2" t="inlineStr">
        <is>
          <t>GU-3674</t>
        </is>
      </c>
      <c r="C1423" s="2" t="n"/>
      <c r="D1423" s="2" t="inlineStr">
        <is>
          <t>ダイアナ ブリーフケース</t>
        </is>
      </c>
      <c r="E1423" s="2" t="inlineStr">
        <is>
          <t>752584 UAABG 1064</t>
        </is>
      </c>
      <c r="F1423" s="2" t="inlineStr">
        <is>
          <t xml:space="preserve">  -</t>
        </is>
      </c>
      <c r="G1423" s="11" t="inlineStr">
        <is>
          <t>SOLD</t>
        </is>
      </c>
      <c r="H1423" s="22" t="inlineStr">
        <is>
          <t>SOLD</t>
        </is>
      </c>
      <c r="I1423" s="18" t="n">
        <v>495000</v>
      </c>
      <c r="J1423" s="19" t="n">
        <v>495000</v>
      </c>
      <c r="K1423" s="20" t="n">
        <v>0</v>
      </c>
      <c r="L1423" s="4" t="inlineStr">
        <is>
          <t>https://www.gucci.com/jp/ja/pr/men/bags-for-men/briefcases-for-men/gucci-diana-briefcase-p-752584UAABG1064</t>
        </is>
      </c>
      <c r="M1423" s="5">
        <f t="array" ref="M1423">_xlfn.IFS(J1423="NOTFOUND",I1423,J1423&gt;=I1423,J1423)</f>
        <v/>
      </c>
    </row>
    <row r="1424" ht="18" customHeight="1" s="16">
      <c r="A1424" s="5" t="n">
        <v>1423</v>
      </c>
      <c r="B1424" s="8" t="inlineStr">
        <is>
          <t>GU-3675</t>
        </is>
      </c>
      <c r="C1424" s="2" t="n"/>
      <c r="D1424" s="8" t="inlineStr">
        <is>
          <t>GG コインウォレット 財布ブラウン インテリア</t>
        </is>
      </c>
      <c r="E1424" s="8" t="inlineStr">
        <is>
          <t>768244 FACQC 9773</t>
        </is>
      </c>
      <c r="G1424" s="10" t="inlineStr">
        <is>
          <t>OneSize</t>
        </is>
      </c>
      <c r="H1424" s="17" t="inlineStr">
        <is>
          <t>OneSize</t>
        </is>
      </c>
      <c r="I1424" s="18" t="n">
        <v>75900</v>
      </c>
      <c r="J1424" s="19" t="n">
        <v>75900</v>
      </c>
      <c r="K1424" s="20" t="n">
        <v>5</v>
      </c>
      <c r="L1424" s="4" t="inlineStr">
        <is>
          <t>https://www.gucci.com/jp/ja/pr/men/small-leather-goods-for-men/wallets-for-men/folded-wallets-for-men/brown-interior-gg-coin-wallet-p-768244FACQC9773</t>
        </is>
      </c>
      <c r="M1424" s="5">
        <f t="array" ref="M1424">_xlfn.IFS(J1424="NOTFOUND",I1424,J1424&gt;=I1424,J1424)</f>
        <v/>
      </c>
    </row>
    <row r="1425" ht="18" customHeight="1" s="16">
      <c r="A1425" s="5" t="n">
        <v>1424</v>
      </c>
      <c r="B1425" s="8" t="inlineStr">
        <is>
          <t>GU-3676</t>
        </is>
      </c>
      <c r="C1425" s="2" t="n"/>
      <c r="D1425" s="8" t="inlineStr">
        <is>
          <t>GG ディテール付き GG ロング カードケース</t>
        </is>
      </c>
      <c r="E1425" s="8" t="inlineStr">
        <is>
          <t>768249 FACQC 9773</t>
        </is>
      </c>
      <c r="G1425" s="10" t="inlineStr">
        <is>
          <t>OneSize</t>
        </is>
      </c>
      <c r="H1425" s="17" t="inlineStr">
        <is>
          <t>OneSize</t>
        </is>
      </c>
      <c r="I1425" s="18" t="n">
        <v>56100</v>
      </c>
      <c r="J1425" s="19" t="n">
        <v>56100</v>
      </c>
      <c r="K1425" s="20" t="n">
        <v>5</v>
      </c>
      <c r="L1425" s="4" t="inlineStr">
        <is>
          <t>https://www.gucci.com/jp/ja/pr/men/small-leather-goods-for-men/card-holders-coin-cases-for-men/brown-interior-gg-long-card-case-p-768249FACQC9773</t>
        </is>
      </c>
      <c r="M1425" s="5">
        <f t="array" ref="M1425">_xlfn.IFS(J1425="NOTFOUND",I1425,J1425&gt;=I1425,J1425)</f>
        <v/>
      </c>
    </row>
    <row r="1426" ht="18" customHeight="1" s="16">
      <c r="A1426" s="5" t="n">
        <v>1425</v>
      </c>
      <c r="B1426" s="8" t="inlineStr">
        <is>
          <t>GU-3677</t>
        </is>
      </c>
      <c r="C1426" s="2" t="n"/>
      <c r="D1426" s="8" t="inlineStr">
        <is>
          <t>GG コインウォレット 財布ブルー インテリア</t>
        </is>
      </c>
      <c r="E1426" s="8" t="inlineStr">
        <is>
          <t>768244 FACQC 9441</t>
        </is>
      </c>
      <c r="G1426" s="10" t="inlineStr">
        <is>
          <t>OneSize</t>
        </is>
      </c>
      <c r="H1426" s="17" t="inlineStr">
        <is>
          <t>OneSize</t>
        </is>
      </c>
      <c r="I1426" s="18" t="n">
        <v>75900</v>
      </c>
      <c r="J1426" s="19" t="n">
        <v>75900</v>
      </c>
      <c r="K1426" s="20" t="n">
        <v>5</v>
      </c>
      <c r="L1426" s="4" t="inlineStr">
        <is>
          <t>https://www.gucci.com/jp/ja/pr/men/small-leather-goods-for-men/wallets-for-men/folded-wallets-for-men/blue-interior-gg-coin-wallet-p-768244FACQC9441</t>
        </is>
      </c>
      <c r="M1426" s="5">
        <f t="array" ref="M1426">_xlfn.IFS(J1426="NOTFOUND",I1426,J1426&gt;=I1426,J1426)</f>
        <v/>
      </c>
    </row>
    <row r="1427" ht="18" customHeight="1" s="16">
      <c r="A1427" s="5" t="n">
        <v>1426</v>
      </c>
      <c r="B1427" s="8" t="inlineStr">
        <is>
          <t>GU-3678</t>
        </is>
      </c>
      <c r="C1427" s="2" t="n"/>
      <c r="D1427" s="8" t="inlineStr">
        <is>
          <t>バイカラー GG カードケース</t>
        </is>
      </c>
      <c r="E1427" s="8" t="inlineStr">
        <is>
          <t>768248 FACQC 9441</t>
        </is>
      </c>
      <c r="G1427" s="10" t="inlineStr">
        <is>
          <t>OneSize</t>
        </is>
      </c>
      <c r="H1427" s="17" t="inlineStr">
        <is>
          <t>OneSize</t>
        </is>
      </c>
      <c r="I1427" s="18" t="n">
        <v>39600</v>
      </c>
      <c r="J1427" s="19" t="n">
        <v>39600</v>
      </c>
      <c r="K1427" s="20" t="n">
        <v>5</v>
      </c>
      <c r="L1427" s="4" t="inlineStr">
        <is>
          <t>https://www.gucci.com/jp/ja/pr/men/small-leather-goods-for-men/card-holders-coin-cases-for-men/bi-color-gg-card-case-p-768248FACQC9441</t>
        </is>
      </c>
      <c r="M1427" s="5">
        <f t="array" ref="M1427">_xlfn.IFS(J1427="NOTFOUND",I1427,J1427&gt;=I1427,J1427)</f>
        <v/>
      </c>
    </row>
    <row r="1428" ht="18" customHeight="1" s="16">
      <c r="A1428" s="5" t="n">
        <v>1427</v>
      </c>
      <c r="B1428" s="8" t="inlineStr">
        <is>
          <t>GU-3679</t>
        </is>
      </c>
      <c r="C1428" s="2" t="n"/>
      <c r="D1428" s="8" t="inlineStr">
        <is>
          <t>GG コインウォレット 財布オレンジ インテリア</t>
        </is>
      </c>
      <c r="E1428" s="8" t="inlineStr">
        <is>
          <t>768244 FACQC 9743</t>
        </is>
      </c>
      <c r="G1428" s="10" t="inlineStr">
        <is>
          <t>OneSize</t>
        </is>
      </c>
      <c r="H1428" s="17" t="inlineStr">
        <is>
          <t>OneSize</t>
        </is>
      </c>
      <c r="I1428" s="18" t="n">
        <v>75900</v>
      </c>
      <c r="J1428" s="19" t="n">
        <v>75900</v>
      </c>
      <c r="K1428" s="20" t="n">
        <v>5</v>
      </c>
      <c r="L1428" s="4" t="inlineStr">
        <is>
          <t>https://www.gucci.com/jp/ja/pr/men/small-leather-goods-for-men/wallets-for-men/folded-wallets-for-men/orange-interior-gg-coin-wallet-p-768244FACQC9743</t>
        </is>
      </c>
      <c r="M1428" s="5">
        <f t="array" ref="M1428">_xlfn.IFS(J1428="NOTFOUND",I1428,J1428&gt;=I1428,J1428)</f>
        <v/>
      </c>
    </row>
    <row r="1429" ht="18" customHeight="1" s="16">
      <c r="A1429" s="5" t="n">
        <v>1428</v>
      </c>
      <c r="B1429" s="8" t="inlineStr">
        <is>
          <t>GU-3680</t>
        </is>
      </c>
      <c r="C1429" s="2" t="n"/>
      <c r="D1429" s="8" t="inlineStr">
        <is>
          <t>GG ジップカードケース ピンク インテリア</t>
        </is>
      </c>
      <c r="E1429" s="8" t="inlineStr">
        <is>
          <t>795233 FACQC 9860</t>
        </is>
      </c>
      <c r="G1429" s="10" t="inlineStr">
        <is>
          <t>OneSize</t>
        </is>
      </c>
      <c r="H1429" s="22" t="inlineStr">
        <is>
          <t>SOLD</t>
        </is>
      </c>
      <c r="I1429" s="18" t="n">
        <v>59400</v>
      </c>
      <c r="J1429" s="19" t="n">
        <v>59400</v>
      </c>
      <c r="K1429" s="20" t="n">
        <v>0</v>
      </c>
      <c r="L1429" s="4" t="inlineStr">
        <is>
          <t>https://www.gucci.com/jp/ja/pr/men/small-leather-goods-for-men/card-holders-coin-cases-for-men/pink-interior-gg-zip-card-case-p-795233FACQC9860</t>
        </is>
      </c>
      <c r="M1429" s="5">
        <f t="array" ref="M1429">_xlfn.IFS(J1429="NOTFOUND",I1429,J1429&gt;=I1429,J1429)</f>
        <v/>
      </c>
    </row>
    <row r="1430" ht="18" customHeight="1" s="16">
      <c r="A1430" s="5" t="n">
        <v>1429</v>
      </c>
      <c r="B1430" s="8" t="inlineStr">
        <is>
          <t>GU-3681</t>
        </is>
      </c>
      <c r="C1430" s="2" t="n"/>
      <c r="D1430" s="8" t="inlineStr">
        <is>
          <t>バイカラー スモール ポーチ</t>
        </is>
      </c>
      <c r="E1430" s="8" t="inlineStr">
        <is>
          <t>768255 FACQC 1052</t>
        </is>
      </c>
      <c r="G1430" s="10" t="inlineStr">
        <is>
          <t>OneSize</t>
        </is>
      </c>
      <c r="H1430" s="17" t="inlineStr">
        <is>
          <t>OneSize</t>
        </is>
      </c>
      <c r="I1430" s="18" t="n">
        <v>139700</v>
      </c>
      <c r="J1430" s="19" t="n">
        <v>139700</v>
      </c>
      <c r="K1430" s="20" t="n">
        <v>5</v>
      </c>
      <c r="L1430" s="4" t="inlineStr">
        <is>
          <t>https://www.gucci.com/jp/ja/pr/men/small-leather-goods-for-men/mini-bags-pouches/pouches-for-men/bi-color-small-pouch-p-768255FACQC1052</t>
        </is>
      </c>
      <c r="M1430" s="5">
        <f t="array" ref="M1430">_xlfn.IFS(J1430="NOTFOUND",I1430,J1430&gt;=I1430,J1430)</f>
        <v/>
      </c>
    </row>
    <row r="1431" ht="18" customHeight="1" s="16">
      <c r="A1431" s="5" t="n">
        <v>1430</v>
      </c>
      <c r="B1431" s="8" t="inlineStr">
        <is>
          <t>GU-3682</t>
        </is>
      </c>
      <c r="C1431" s="2" t="n"/>
      <c r="D1431" s="8" t="inlineStr">
        <is>
          <t>GG コインウォレット 財布ブルー インテリア</t>
        </is>
      </c>
      <c r="E1431" s="8" t="inlineStr">
        <is>
          <t>768244 FACQC 1052</t>
        </is>
      </c>
      <c r="G1431" s="10" t="inlineStr">
        <is>
          <t>OneSize</t>
        </is>
      </c>
      <c r="H1431" s="17" t="inlineStr">
        <is>
          <t>OneSize</t>
        </is>
      </c>
      <c r="I1431" s="18" t="n">
        <v>75900</v>
      </c>
      <c r="J1431" s="19" t="n">
        <v>75900</v>
      </c>
      <c r="K1431" s="20" t="n">
        <v>5</v>
      </c>
      <c r="L1431" s="4" t="inlineStr">
        <is>
          <t>https://www.gucci.com/jp/ja/pr/men/small-leather-goods-for-men/wallets-for-men/folded-wallets-for-men/blue-interior-gg-coin-wallet-p-768244FACQC1052</t>
        </is>
      </c>
      <c r="M1431" s="5">
        <f t="array" ref="M1431">_xlfn.IFS(J1431="NOTFOUND",I1431,J1431&gt;=I1431,J1431)</f>
        <v/>
      </c>
    </row>
    <row r="1432" ht="18" customHeight="1" s="16">
      <c r="A1432" s="5" t="n">
        <v>1431</v>
      </c>
      <c r="B1432" s="8" t="inlineStr">
        <is>
          <t>GU-3683</t>
        </is>
      </c>
      <c r="C1432" s="2" t="n"/>
      <c r="D1432" s="8" t="inlineStr">
        <is>
          <t>GG二つ折りウォレット 財布グレー インテリア</t>
        </is>
      </c>
      <c r="E1432" s="8" t="inlineStr">
        <is>
          <t>768243 FACQC 1048</t>
        </is>
      </c>
      <c r="G1432" s="10" t="inlineStr">
        <is>
          <t>OneSize</t>
        </is>
      </c>
      <c r="H1432" s="17" t="inlineStr">
        <is>
          <t>OneSize</t>
        </is>
      </c>
      <c r="I1432" s="18" t="n">
        <v>67100</v>
      </c>
      <c r="J1432" s="19" t="n">
        <v>67100</v>
      </c>
      <c r="K1432" s="20" t="n">
        <v>5</v>
      </c>
      <c r="L1432" s="4" t="inlineStr">
        <is>
          <t>https://www.gucci.com/jp/ja/pr/men/small-leather-goods-for-men/wallets-for-men/folded-wallets-for-men/grey-interior-gg-bi-fold-wallet-p-768243FACQC1048</t>
        </is>
      </c>
      <c r="M1432" s="5">
        <f t="array" ref="M1432">_xlfn.IFS(J1432="NOTFOUND",I1432,J1432&gt;=I1432,J1432)</f>
        <v/>
      </c>
    </row>
    <row r="1433" ht="18" customHeight="1" s="16">
      <c r="A1433" s="5" t="n">
        <v>1432</v>
      </c>
      <c r="B1433" s="8" t="inlineStr">
        <is>
          <t>GU-3684</t>
        </is>
      </c>
      <c r="C1433" s="2" t="n"/>
      <c r="D1433" s="8" t="inlineStr">
        <is>
          <t>バイカラー GG カードケース</t>
        </is>
      </c>
      <c r="E1433" s="8" t="inlineStr">
        <is>
          <t>768248 FACQC 1048</t>
        </is>
      </c>
      <c r="G1433" s="10" t="inlineStr">
        <is>
          <t>OneSize</t>
        </is>
      </c>
      <c r="H1433" s="17" t="inlineStr">
        <is>
          <t>OneSize</t>
        </is>
      </c>
      <c r="I1433" s="18" t="n">
        <v>39600</v>
      </c>
      <c r="J1433" s="19" t="n">
        <v>39600</v>
      </c>
      <c r="K1433" s="20" t="n">
        <v>5</v>
      </c>
      <c r="L1433" s="4" t="inlineStr">
        <is>
          <t>https://www.gucci.com/jp/ja/pr/men/small-leather-goods-for-men/card-holders-coin-cases-for-men/bi-color-gg-card-case-p-768248FACQC1048</t>
        </is>
      </c>
      <c r="M1433" s="5">
        <f t="array" ref="M1433">_xlfn.IFS(J1433="NOTFOUND",I1433,J1433&gt;=I1433,J1433)</f>
        <v/>
      </c>
    </row>
    <row r="1434" ht="18" customHeight="1" s="16">
      <c r="A1434" s="5" t="n">
        <v>1433</v>
      </c>
      <c r="B1434" s="8" t="inlineStr">
        <is>
          <t>GU-3685</t>
        </is>
      </c>
      <c r="C1434" s="2" t="n"/>
      <c r="D1434" s="8" t="inlineStr">
        <is>
          <t>グラデーション カードケース</t>
        </is>
      </c>
      <c r="E1434" s="8" t="inlineStr">
        <is>
          <t>835701 FAERI 8473</t>
        </is>
      </c>
      <c r="G1434" s="11" t="inlineStr">
        <is>
          <t>SOLD</t>
        </is>
      </c>
      <c r="H1434" s="22" t="inlineStr">
        <is>
          <t>SOLD</t>
        </is>
      </c>
      <c r="I1434" s="18" t="n">
        <v>54450</v>
      </c>
      <c r="J1434" s="23" t="inlineStr">
        <is>
          <t>NOTFOUND</t>
        </is>
      </c>
      <c r="K1434" s="20" t="n">
        <v>0</v>
      </c>
      <c r="L1434" s="4" t="inlineStr">
        <is>
          <t>https://www.gucci.com/jp/ja/pr/men/small-leather-goods-for-men/card-holders-coin-cases-for-men/gucci-chroma-card-case-p-835701FAERI8473</t>
        </is>
      </c>
      <c r="M1434" s="5">
        <f t="array" ref="M1434">_xlfn.IFS(J1434="NOTFOUND",I1434,J1434&gt;=I1434,J1434)</f>
        <v/>
      </c>
    </row>
    <row r="1435" ht="18" customHeight="1" s="16">
      <c r="A1435" s="5" t="n">
        <v>1434</v>
      </c>
      <c r="B1435" s="8" t="inlineStr">
        <is>
          <t>GU-3686</t>
        </is>
      </c>
      <c r="C1435" s="2" t="n"/>
      <c r="D1435" s="8" t="inlineStr">
        <is>
          <t>グラデーション コインウォレット 財布</t>
        </is>
      </c>
      <c r="E1435" s="8" t="inlineStr">
        <is>
          <t>838587 FAERI 8473</t>
        </is>
      </c>
      <c r="G1435" s="11" t="inlineStr">
        <is>
          <t>SOLD</t>
        </is>
      </c>
      <c r="H1435" s="22" t="inlineStr">
        <is>
          <t>SOLD</t>
        </is>
      </c>
      <c r="I1435" s="18" t="n">
        <v>90200</v>
      </c>
      <c r="J1435" s="23" t="inlineStr">
        <is>
          <t>NOTFOUND</t>
        </is>
      </c>
      <c r="K1435" s="20" t="n">
        <v>0</v>
      </c>
      <c r="L1435" s="4" t="inlineStr">
        <is>
          <t>https://www.gucci.com/jp/ja/pr/men/small-leather-goods-for-men/wallets-for-men/zip-around-long-wallets-for-men/gucci-chroma-coin-wallet-p-838587FAERI8473</t>
        </is>
      </c>
      <c r="M1435" s="5">
        <f t="array" ref="M1435">_xlfn.IFS(J1435="NOTFOUND",I1435,J1435&gt;=I1435,J1435)</f>
        <v/>
      </c>
    </row>
    <row r="1436" ht="18" customHeight="1" s="16">
      <c r="A1436" s="5" t="n">
        <v>1435</v>
      </c>
      <c r="B1436" s="8" t="inlineStr">
        <is>
          <t>GU-3687</t>
        </is>
      </c>
      <c r="C1436" s="2" t="n"/>
      <c r="D1436" s="8" t="inlineStr">
        <is>
          <t>グラデーション キーケース</t>
        </is>
      </c>
      <c r="E1436" s="8" t="inlineStr">
        <is>
          <t>835703 FAERI 8473</t>
        </is>
      </c>
      <c r="G1436" s="11" t="inlineStr">
        <is>
          <t>SOLD</t>
        </is>
      </c>
      <c r="H1436" s="22" t="inlineStr">
        <is>
          <t>SOLD</t>
        </is>
      </c>
      <c r="I1436" s="18" t="n">
        <v>54450</v>
      </c>
      <c r="J1436" s="23" t="inlineStr">
        <is>
          <t>NOTFOUND</t>
        </is>
      </c>
      <c r="K1436" s="20" t="n">
        <v>0</v>
      </c>
      <c r="L1436" s="4" t="inlineStr">
        <is>
          <t>https://www.gucci.com/jp/ja/pr/men/small-leather-goods-for-men/card-holders-coin-cases-for-men/gucci-chroma-key-case-p-835703FAERI8473</t>
        </is>
      </c>
      <c r="M1436" s="5">
        <f t="array" ref="M1436">_xlfn.IFS(J1436="NOTFOUND",I1436,J1436&gt;=I1436,J1436)</f>
        <v/>
      </c>
    </row>
    <row r="1437" ht="18" customHeight="1" s="16">
      <c r="A1437" s="5" t="n">
        <v>1436</v>
      </c>
      <c r="B1437" s="8" t="inlineStr">
        <is>
          <t>GU-3688</t>
        </is>
      </c>
      <c r="C1437" s="2" t="n"/>
      <c r="D1437" s="8" t="inlineStr">
        <is>
          <t>オフィディアスモール ショルダーバッグ</t>
        </is>
      </c>
      <c r="E1437" s="8" t="inlineStr">
        <is>
          <t>795467 96IWT 8745</t>
        </is>
      </c>
      <c r="G1437" s="10" t="inlineStr">
        <is>
          <t>OneSize</t>
        </is>
      </c>
      <c r="H1437" s="17" t="inlineStr">
        <is>
          <t>OneSize</t>
        </is>
      </c>
      <c r="I1437" s="18" t="n">
        <v>227700</v>
      </c>
      <c r="J1437" s="19" t="n">
        <v>227700</v>
      </c>
      <c r="K1437" s="20" t="n">
        <v>5</v>
      </c>
      <c r="L1437" s="4" t="inlineStr">
        <is>
          <t>https://www.gucci.com/jp/ja/pr/women/handbags/mini-bags-for-women/ophidia-small-shoulder-bag-p-79546796IWT8745</t>
        </is>
      </c>
      <c r="M1437" s="5">
        <f t="array" ref="M1437">_xlfn.IFS(J1437="NOTFOUND",I1437,J1437&gt;=I1437,J1437)</f>
        <v/>
      </c>
    </row>
    <row r="1438" ht="18" customHeight="1" s="16">
      <c r="A1438" s="5" t="n">
        <v>1437</v>
      </c>
      <c r="B1438" s="8" t="inlineStr">
        <is>
          <t>GU-3689</t>
        </is>
      </c>
      <c r="C1438" s="2" t="n"/>
      <c r="D1438" s="8" t="inlineStr">
        <is>
          <t>オフィディアGGコイン ウォレット 財布</t>
        </is>
      </c>
      <c r="E1438" s="8" t="inlineStr">
        <is>
          <t>597609 96IWT 8745</t>
        </is>
      </c>
      <c r="G1438" s="10" t="inlineStr">
        <is>
          <t>OneSize</t>
        </is>
      </c>
      <c r="H1438" s="17" t="inlineStr">
        <is>
          <t>OneSize</t>
        </is>
      </c>
      <c r="I1438" s="18" t="n">
        <v>79200</v>
      </c>
      <c r="J1438" s="19" t="n">
        <v>79200</v>
      </c>
      <c r="K1438" s="20" t="n">
        <v>5</v>
      </c>
      <c r="L1438" s="4" t="inlineStr">
        <is>
          <t>https://www.gucci.com/jp/ja/pr/men/small-leather-goods-for-men/wallets-for-men/folded-wallets-for-men/ophidia-coin-wallet-p-59760996IWT8745</t>
        </is>
      </c>
      <c r="M1438" s="5">
        <f t="array" ref="M1438">_xlfn.IFS(J1438="NOTFOUND",I1438,J1438&gt;=I1438,J1438)</f>
        <v/>
      </c>
    </row>
    <row r="1439" ht="18" customHeight="1" s="16">
      <c r="A1439" s="5" t="n">
        <v>1438</v>
      </c>
      <c r="B1439" s="8" t="inlineStr">
        <is>
          <t>GU-3690</t>
        </is>
      </c>
      <c r="C1439" s="2" t="n"/>
      <c r="D1439" s="8" t="inlineStr">
        <is>
          <t>オフィディアミニバッグ</t>
        </is>
      </c>
      <c r="E1439" s="8" t="inlineStr">
        <is>
          <t>795466 FABIA 9741</t>
        </is>
      </c>
      <c r="G1439" s="10" t="inlineStr">
        <is>
          <t>OneSize</t>
        </is>
      </c>
      <c r="H1439" s="17" t="inlineStr">
        <is>
          <t>OneSize</t>
        </is>
      </c>
      <c r="I1439" s="18" t="n">
        <v>214500</v>
      </c>
      <c r="J1439" s="19" t="n">
        <v>214500</v>
      </c>
      <c r="K1439" s="20" t="n">
        <v>5</v>
      </c>
      <c r="L1439" s="4" t="inlineStr">
        <is>
          <t>https://www.gucci.com/jp/ja/pr/women/small-leather-goods-for-women/strap-chain-wallets/ophidia-mini-bag-p-795466FABIA9741</t>
        </is>
      </c>
      <c r="M1439" s="5">
        <f t="array" ref="M1439">_xlfn.IFS(J1439="NOTFOUND",I1439,J1439&gt;=I1439,J1439)</f>
        <v/>
      </c>
    </row>
    <row r="1440" ht="18" customHeight="1" s="16">
      <c r="A1440" s="5" t="n">
        <v>1439</v>
      </c>
      <c r="B1440" s="8" t="inlineStr">
        <is>
          <t>GU-3691</t>
        </is>
      </c>
      <c r="C1440" s="2" t="n"/>
      <c r="D1440" s="8" t="inlineStr">
        <is>
          <t>オフィディアフック クロージャー付き キーチェーン</t>
        </is>
      </c>
      <c r="E1440" s="8" t="inlineStr">
        <is>
          <t>817017 JAAH4 8766</t>
        </is>
      </c>
      <c r="G1440" s="10" t="inlineStr">
        <is>
          <t>OneSize</t>
        </is>
      </c>
      <c r="H1440" s="17" t="inlineStr">
        <is>
          <t>OneSize</t>
        </is>
      </c>
      <c r="I1440" s="18" t="n">
        <v>52800</v>
      </c>
      <c r="J1440" s="19" t="n">
        <v>52800</v>
      </c>
      <c r="K1440" s="20" t="n">
        <v>5</v>
      </c>
      <c r="L1440" s="4" t="inlineStr">
        <is>
          <t>https://www.gucci.com/jp/ja/pr/men/small-leather-goods-for-men/key-rings-key-cases-for-men/ophidia-keychain-with-hook-closure-p-817017JAAH48766</t>
        </is>
      </c>
      <c r="M1440" s="5">
        <f t="array" ref="M1440">_xlfn.IFS(J1440="NOTFOUND",I1440,J1440&gt;=I1440,J1440)</f>
        <v/>
      </c>
    </row>
    <row r="1441" ht="18" customHeight="1" s="16">
      <c r="A1441" s="5" t="n">
        <v>1440</v>
      </c>
      <c r="B1441" s="8" t="inlineStr">
        <is>
          <t>GU-3692</t>
        </is>
      </c>
      <c r="C1441" s="2" t="n"/>
      <c r="D1441" s="8" t="inlineStr">
        <is>
          <t>GGマーモントコイン ウォレット 財布</t>
        </is>
      </c>
      <c r="E1441" s="8" t="inlineStr">
        <is>
          <t>428725 DJ20T 1000</t>
        </is>
      </c>
      <c r="G1441" s="10" t="inlineStr">
        <is>
          <t>OneSize</t>
        </is>
      </c>
      <c r="H1441" s="17" t="inlineStr">
        <is>
          <t>OneSize</t>
        </is>
      </c>
      <c r="I1441" s="18" t="n">
        <v>84700</v>
      </c>
      <c r="J1441" s="19" t="n">
        <v>84700</v>
      </c>
      <c r="K1441" s="20" t="n">
        <v>5</v>
      </c>
      <c r="L1441" s="4" t="inlineStr">
        <is>
          <t>https://www.gucci.com/jp/ja/pr/men/small-leather-goods-for-men/wallets-for-men/folded-wallets-for-men/gg-marmont-coin-wallet-p-428725DJ20T1000</t>
        </is>
      </c>
      <c r="M1441" s="5">
        <f t="array" ref="M1441">_xlfn.IFS(J1441="NOTFOUND",I1441,J1441&gt;=I1441,J1441)</f>
        <v/>
      </c>
    </row>
    <row r="1442" ht="18" customHeight="1" s="16">
      <c r="A1442" s="5" t="n">
        <v>1441</v>
      </c>
      <c r="B1442" s="8" t="inlineStr">
        <is>
          <t>GU-3693</t>
        </is>
      </c>
      <c r="C1442" s="2" t="n"/>
      <c r="D1442" s="8" t="inlineStr">
        <is>
          <t>ダブルG カードケース</t>
        </is>
      </c>
      <c r="E1442" s="8" t="inlineStr">
        <is>
          <t>428737 DJ20T 1000</t>
        </is>
      </c>
      <c r="G1442" s="10" t="inlineStr">
        <is>
          <t>OneSize</t>
        </is>
      </c>
      <c r="H1442" s="17" t="inlineStr">
        <is>
          <t>OneSize</t>
        </is>
      </c>
      <c r="I1442" s="18" t="n">
        <v>57200</v>
      </c>
      <c r="J1442" s="19" t="n">
        <v>57200</v>
      </c>
      <c r="K1442" s="20" t="n">
        <v>5</v>
      </c>
      <c r="L1442" s="4" t="inlineStr">
        <is>
          <t>https://www.gucci.com/jp/ja/pr/men/small-leather-goods-for-men/card-holders-coin-cases-for-men/gg-marmont-card-case-p-428737DJ20T1000</t>
        </is>
      </c>
      <c r="M1442" s="5">
        <f t="array" ref="M1442">_xlfn.IFS(J1442="NOTFOUND",I1442,J1442&gt;=I1442,J1442)</f>
        <v/>
      </c>
    </row>
    <row r="1443" ht="18" customHeight="1" s="16">
      <c r="A1443" s="5" t="n">
        <v>1442</v>
      </c>
      <c r="B1443" s="8" t="inlineStr">
        <is>
          <t>GU-3694</t>
        </is>
      </c>
      <c r="C1443" s="2" t="n"/>
      <c r="D1443" s="8" t="inlineStr">
        <is>
          <t>GGマーモントレザー ジップアラウンドウォレット 財布</t>
        </is>
      </c>
      <c r="E1443" s="8" t="inlineStr">
        <is>
          <t>428736 0YK0N 1000</t>
        </is>
      </c>
      <c r="G1443" s="11" t="inlineStr">
        <is>
          <t>SOLD</t>
        </is>
      </c>
      <c r="H1443" s="22" t="inlineStr">
        <is>
          <t>SOLD</t>
        </is>
      </c>
      <c r="I1443" s="18" t="n">
        <v>117700</v>
      </c>
      <c r="J1443" s="23" t="inlineStr">
        <is>
          <t>NOTFOUND</t>
        </is>
      </c>
      <c r="K1443" s="20" t="n">
        <v>0</v>
      </c>
      <c r="L1443" s="4" t="inlineStr">
        <is>
          <t>https://www.gucci.com/jp/ja/pr/men/small-leather-goods-for-men/wallets-for-men/zip-around-long-wallets-for-men/gg-marmont-leather-zip-around-wallet-p-4287360YK0N1000</t>
        </is>
      </c>
      <c r="M1443" s="5">
        <f t="array" ref="M1443">_xlfn.IFS(J1443="NOTFOUND",I1443,J1443&gt;=I1443,J1443)</f>
        <v/>
      </c>
    </row>
    <row r="1444" ht="18" customHeight="1" s="16">
      <c r="A1444" s="5" t="n">
        <v>1443</v>
      </c>
      <c r="B1444" s="8" t="inlineStr">
        <is>
          <t>GU-3695</t>
        </is>
      </c>
      <c r="C1444" s="2" t="n"/>
      <c r="D1444" s="8" t="inlineStr">
        <is>
          <t>ダブルG ロング ウォレット 財布</t>
        </is>
      </c>
      <c r="E1444" s="8" t="inlineStr">
        <is>
          <t>835054 AAE07 1000</t>
        </is>
      </c>
      <c r="G1444" s="10" t="inlineStr">
        <is>
          <t>OneSize</t>
        </is>
      </c>
      <c r="H1444" s="17" t="inlineStr">
        <is>
          <t>OneSize</t>
        </is>
      </c>
      <c r="I1444" s="18" t="n">
        <v>114400</v>
      </c>
      <c r="J1444" s="19" t="n">
        <v>114400</v>
      </c>
      <c r="K1444" s="20" t="n">
        <v>5</v>
      </c>
      <c r="L1444" s="4" t="inlineStr">
        <is>
          <t>https://www.gucci.com/jp/ja/pr/men/small-leather-goods-for-men/wallets-for-men/zip-around-long-wallets-for-men/gg-marmont-long-wallet-p-835054AAE071000</t>
        </is>
      </c>
      <c r="M1444" s="5">
        <f t="array" ref="M1444">_xlfn.IFS(J1444="NOTFOUND",I1444,J1444&gt;=I1444,J1444)</f>
        <v/>
      </c>
    </row>
    <row r="1445" ht="18" customHeight="1" s="16">
      <c r="A1445" s="5" t="n">
        <v>1444</v>
      </c>
      <c r="B1445" s="8" t="inlineStr">
        <is>
          <t>GU-3696</t>
        </is>
      </c>
      <c r="C1445" s="2" t="n"/>
      <c r="D1445" s="8" t="inlineStr">
        <is>
          <t>ダブルG コイン ウォレット 財布</t>
        </is>
      </c>
      <c r="E1445" s="8" t="inlineStr">
        <is>
          <t>835048 AAE1V 1060</t>
        </is>
      </c>
      <c r="G1445" s="10" t="inlineStr">
        <is>
          <t>OneSize</t>
        </is>
      </c>
      <c r="H1445" s="17" t="inlineStr">
        <is>
          <t>OneSize</t>
        </is>
      </c>
      <c r="I1445" s="18" t="n">
        <v>84700</v>
      </c>
      <c r="J1445" s="19" t="n">
        <v>84700</v>
      </c>
      <c r="K1445" s="20" t="n">
        <v>5</v>
      </c>
      <c r="L1445" s="4" t="inlineStr">
        <is>
          <t>https://www.gucci.com/jp/ja/pr/men/small-leather-goods-for-men/wallets-for-men/folded-wallets-for-men/gg-marmont-coin-wallet-p-835048AAE1V1060</t>
        </is>
      </c>
      <c r="M1445" s="5">
        <f t="array" ref="M1445">_xlfn.IFS(J1445="NOTFOUND",I1445,J1445&gt;=I1445,J1445)</f>
        <v/>
      </c>
    </row>
    <row r="1446" ht="18" customHeight="1" s="16">
      <c r="A1446" s="5" t="n">
        <v>1445</v>
      </c>
      <c r="B1446" s="8" t="inlineStr">
        <is>
          <t>GU-3697</t>
        </is>
      </c>
      <c r="C1446" s="2" t="n"/>
      <c r="D1446" s="8" t="inlineStr">
        <is>
          <t>GGマーモントコイン ウォレット 財布</t>
        </is>
      </c>
      <c r="E1446" s="8" t="inlineStr">
        <is>
          <t>835048 AAE1V 1059</t>
        </is>
      </c>
      <c r="G1446" s="10" t="inlineStr">
        <is>
          <t>OneSize</t>
        </is>
      </c>
      <c r="H1446" s="17" t="inlineStr">
        <is>
          <t>OneSize</t>
        </is>
      </c>
      <c r="I1446" s="18" t="n">
        <v>84700</v>
      </c>
      <c r="J1446" s="19" t="n">
        <v>84700</v>
      </c>
      <c r="K1446" s="20" t="n">
        <v>5</v>
      </c>
      <c r="L1446" s="4" t="inlineStr">
        <is>
          <t>https://www.gucci.com/jp/ja/pr/men/small-leather-goods-for-men/wallets-for-men/folded-wallets-for-men/gg-marmont-coin-wallet-p-835048AAE1V1059</t>
        </is>
      </c>
      <c r="M1446" s="5">
        <f t="array" ref="M1446">_xlfn.IFS(J1446="NOTFOUND",I1446,J1446&gt;=I1446,J1446)</f>
        <v/>
      </c>
    </row>
    <row r="1447" ht="18" customHeight="1" s="16">
      <c r="A1447" s="5" t="n">
        <v>1446</v>
      </c>
      <c r="B1447" s="8" t="inlineStr">
        <is>
          <t>GU-3698</t>
        </is>
      </c>
      <c r="C1447" s="2" t="n"/>
      <c r="D1447" s="8" t="inlineStr">
        <is>
          <t>GGエンブレム二つ折りウォレット 財布</t>
        </is>
      </c>
      <c r="E1447" s="8" t="inlineStr">
        <is>
          <t>821206 FAD6M 1000</t>
        </is>
      </c>
      <c r="G1447" s="10" t="inlineStr">
        <is>
          <t>OneSize</t>
        </is>
      </c>
      <c r="H1447" s="17" t="inlineStr">
        <is>
          <t>OneSize</t>
        </is>
      </c>
      <c r="I1447" s="18" t="n">
        <v>63800</v>
      </c>
      <c r="J1447" s="19" t="n">
        <v>63800</v>
      </c>
      <c r="K1447" s="20" t="n">
        <v>5</v>
      </c>
      <c r="L1447" s="4" t="inlineStr">
        <is>
          <t>https://www.gucci.com/jp/ja/pr/men/small-leather-goods-for-men/wallets-for-men/folded-wallets-for-men/gg-emblem-bi-fold-wallet-p-821206FAD6M1000</t>
        </is>
      </c>
      <c r="M1447" s="5">
        <f t="array" ref="M1447">_xlfn.IFS(J1447="NOTFOUND",I1447,J1447&gt;=I1447,J1447)</f>
        <v/>
      </c>
    </row>
    <row r="1448" ht="18" customHeight="1" s="16">
      <c r="A1448" s="5" t="n">
        <v>1447</v>
      </c>
      <c r="B1448" s="8" t="inlineStr">
        <is>
          <t>GU-3699</t>
        </is>
      </c>
      <c r="C1448" s="2" t="n"/>
      <c r="D1448" s="8" t="inlineStr">
        <is>
          <t>GGエンブレム二つ折りカードケース</t>
        </is>
      </c>
      <c r="E1448" s="8" t="inlineStr">
        <is>
          <t>821209 FAD6M 1000</t>
        </is>
      </c>
      <c r="G1448" s="10" t="inlineStr">
        <is>
          <t>OneSize</t>
        </is>
      </c>
      <c r="H1448" s="17" t="inlineStr">
        <is>
          <t>OneSize</t>
        </is>
      </c>
      <c r="I1448" s="18" t="n">
        <v>58300</v>
      </c>
      <c r="J1448" s="19" t="n">
        <v>58300</v>
      </c>
      <c r="K1448" s="20" t="n">
        <v>5</v>
      </c>
      <c r="L1448" s="4" t="inlineStr">
        <is>
          <t>https://www.gucci.com/jp/ja/pr/men/small-leather-goods-for-men/card-holders-coin-cases-for-men/gg-emblem-bi-fold-card-case-p-821209FAD6M1000</t>
        </is>
      </c>
      <c r="M1448" s="5">
        <f t="array" ref="M1448">_xlfn.IFS(J1448="NOTFOUND",I1448,J1448&gt;=I1448,J1448)</f>
        <v/>
      </c>
    </row>
    <row r="1449" ht="18" customHeight="1" s="16">
      <c r="A1449" s="5" t="n">
        <v>1448</v>
      </c>
      <c r="B1449" s="8" t="inlineStr">
        <is>
          <t>GU-3700</t>
        </is>
      </c>
      <c r="C1449" s="2" t="n"/>
      <c r="D1449" s="8" t="inlineStr">
        <is>
          <t>GGエンブレムジップアラウンドウォレット 財布</t>
        </is>
      </c>
      <c r="E1449" s="8" t="inlineStr">
        <is>
          <t>821207 FAD6M 1000</t>
        </is>
      </c>
      <c r="G1449" s="10" t="inlineStr">
        <is>
          <t>OneSize</t>
        </is>
      </c>
      <c r="H1449" s="17" t="inlineStr">
        <is>
          <t>OneSize</t>
        </is>
      </c>
      <c r="I1449" s="18" t="n">
        <v>108900</v>
      </c>
      <c r="J1449" s="19" t="n">
        <v>108900</v>
      </c>
      <c r="K1449" s="20" t="n">
        <v>5</v>
      </c>
      <c r="L1449" s="4" t="inlineStr">
        <is>
          <t>https://www.gucci.com/jp/ja/pr/men/small-leather-goods-for-men/wallets-for-men/zip-around-long-wallets-for-men/gg-emblem-zip-around-wallet-p-821207FAD6M1000</t>
        </is>
      </c>
      <c r="M1449" s="5">
        <f t="array" ref="M1449">_xlfn.IFS(J1449="NOTFOUND",I1449,J1449&gt;=I1449,J1449)</f>
        <v/>
      </c>
    </row>
    <row r="1450" ht="18" customHeight="1" s="16">
      <c r="A1450" s="5" t="n">
        <v>1449</v>
      </c>
      <c r="B1450" s="8" t="inlineStr">
        <is>
          <t>GU-3701</t>
        </is>
      </c>
      <c r="C1450" s="2" t="n"/>
      <c r="D1450" s="8" t="inlineStr">
        <is>
          <t>GGエンブレムミニ クロスボディバッグ</t>
        </is>
      </c>
      <c r="E1450" s="8" t="inlineStr">
        <is>
          <t>821217 FAED4 1000</t>
        </is>
      </c>
      <c r="G1450" s="11" t="inlineStr">
        <is>
          <t>SOLD</t>
        </is>
      </c>
      <c r="H1450" s="22" t="inlineStr">
        <is>
          <t>SOLD</t>
        </is>
      </c>
      <c r="I1450" s="18" t="n">
        <v>269500</v>
      </c>
      <c r="J1450" s="23" t="inlineStr">
        <is>
          <t>NOTFOUND</t>
        </is>
      </c>
      <c r="K1450" s="20" t="n">
        <v>0</v>
      </c>
      <c r="L1450" s="4" t="inlineStr">
        <is>
          <t>https://www.gucci.com/jp/ja/pr/men/bags-for-men/small-bags-pouches-for-men/small-bags/gg-emblem-mini-crossbody-bag-p-821217FAED41000</t>
        </is>
      </c>
      <c r="M1450" s="5">
        <f t="array" ref="M1450">_xlfn.IFS(J1450="NOTFOUND",I1450,J1450&gt;=I1450,J1450)</f>
        <v/>
      </c>
    </row>
    <row r="1451" ht="18" customHeight="1" s="16">
      <c r="A1451" s="5" t="n">
        <v>1450</v>
      </c>
      <c r="B1451" s="8" t="inlineStr">
        <is>
          <t>GU-3702</t>
        </is>
      </c>
      <c r="C1451" s="2" t="n"/>
      <c r="D1451" s="8" t="inlineStr">
        <is>
          <t>ロゴ コインウォレット 財布</t>
        </is>
      </c>
      <c r="E1451" s="8" t="inlineStr">
        <is>
          <t>795292 AABXM 1000</t>
        </is>
      </c>
      <c r="G1451" s="10" t="inlineStr">
        <is>
          <t>OneSize</t>
        </is>
      </c>
      <c r="H1451" s="17" t="inlineStr">
        <is>
          <t>OneSize</t>
        </is>
      </c>
      <c r="I1451" s="18" t="n">
        <v>90200</v>
      </c>
      <c r="J1451" s="19" t="n">
        <v>90200</v>
      </c>
      <c r="K1451" s="20" t="n">
        <v>5</v>
      </c>
      <c r="L1451" s="4" t="inlineStr">
        <is>
          <t>https://www.gucci.com/jp/ja/pr/men/small-leather-goods-for-men/wallets-for-men/folded-wallets-for-men/coin-wallet-with-gucci-logo-p-795292AABXM1000</t>
        </is>
      </c>
      <c r="M1451" s="5">
        <f t="array" ref="M1451">_xlfn.IFS(J1451="NOTFOUND",I1451,J1451&gt;=I1451,J1451)</f>
        <v/>
      </c>
    </row>
    <row r="1452" ht="18" customHeight="1" s="16">
      <c r="A1452" s="5" t="n">
        <v>1451</v>
      </c>
      <c r="B1452" s="8" t="inlineStr">
        <is>
          <t>GU-3703</t>
        </is>
      </c>
      <c r="C1452" s="2" t="n"/>
      <c r="D1452" s="8" t="inlineStr">
        <is>
          <t>ロゴ カードケース</t>
        </is>
      </c>
      <c r="E1452" s="8" t="inlineStr">
        <is>
          <t>795285 AABXM 1000</t>
        </is>
      </c>
      <c r="G1452" s="10" t="inlineStr">
        <is>
          <t>OneSize</t>
        </is>
      </c>
      <c r="H1452" s="17" t="inlineStr">
        <is>
          <t>OneSize</t>
        </is>
      </c>
      <c r="I1452" s="18" t="n">
        <v>52800</v>
      </c>
      <c r="J1452" s="19" t="n">
        <v>52800</v>
      </c>
      <c r="K1452" s="20" t="n">
        <v>5</v>
      </c>
      <c r="L1452" s="4" t="inlineStr">
        <is>
          <t>https://www.gucci.com/jp/ja/pr/men/small-leather-goods-for-men/card-holders-coin-cases-for-men/card-case-with-gucci-logo-p-795285AABXM1000</t>
        </is>
      </c>
      <c r="M1452" s="5">
        <f t="array" ref="M1452">_xlfn.IFS(J1452="NOTFOUND",I1452,J1452&gt;=I1452,J1452)</f>
        <v/>
      </c>
    </row>
    <row r="1453" ht="18" customHeight="1" s="16">
      <c r="A1453" s="5" t="n">
        <v>1452</v>
      </c>
      <c r="B1453" s="8" t="inlineStr">
        <is>
          <t>GU-3704</t>
        </is>
      </c>
      <c r="C1453" s="2" t="n"/>
      <c r="D1453" s="8" t="inlineStr">
        <is>
          <t>ロゴ コインウォレット 財布</t>
        </is>
      </c>
      <c r="E1453" s="8" t="inlineStr">
        <is>
          <t>795286 AABXM 1000</t>
        </is>
      </c>
      <c r="G1453" s="11" t="inlineStr">
        <is>
          <t>SOLD</t>
        </is>
      </c>
      <c r="H1453" s="22" t="inlineStr">
        <is>
          <t>SOLD</t>
        </is>
      </c>
      <c r="I1453" s="18" t="n">
        <v>75900</v>
      </c>
      <c r="J1453" s="19" t="n">
        <v>75900</v>
      </c>
      <c r="K1453" s="20" t="n">
        <v>0</v>
      </c>
      <c r="L1453" s="4" t="inlineStr">
        <is>
          <t>https://www.gucci.com/jp/ja/pr/men/small-leather-goods-for-men/card-holders-coin-cases-for-men/coin-wallet-with-gucci-logo-p-795286AABXM1000</t>
        </is>
      </c>
      <c r="M1453" s="5">
        <f t="array" ref="M1453">_xlfn.IFS(J1453="NOTFOUND",I1453,J1453&gt;=I1453,J1453)</f>
        <v/>
      </c>
    </row>
    <row r="1454" ht="18" customHeight="1" s="16">
      <c r="A1454" s="5" t="n">
        <v>1453</v>
      </c>
      <c r="B1454" s="8" t="inlineStr">
        <is>
          <t>GU-3705</t>
        </is>
      </c>
      <c r="C1454" s="2" t="n"/>
      <c r="D1454" s="8" t="inlineStr">
        <is>
          <t>ロングウォレット 財布グリーン インテリア</t>
        </is>
      </c>
      <c r="E1454" s="8" t="inlineStr">
        <is>
          <t>795296 AAEBR 1043</t>
        </is>
      </c>
      <c r="G1454" s="11" t="inlineStr">
        <is>
          <t>SOLD</t>
        </is>
      </c>
      <c r="H1454" s="22" t="inlineStr">
        <is>
          <t>SOLD</t>
        </is>
      </c>
      <c r="I1454" s="18" t="n">
        <v>115500</v>
      </c>
      <c r="J1454" s="23" t="inlineStr">
        <is>
          <t>NOTFOUND</t>
        </is>
      </c>
      <c r="K1454" s="20" t="n">
        <v>0</v>
      </c>
      <c r="L1454" s="4" t="inlineStr">
        <is>
          <t>https://www.gucci.com/jp/ja/pr/men/small-leather-goods-for-men/wallets-for-men/zip-around-long-wallets-for-men/green-interior-long-wallet-p-795296AAEBR1043</t>
        </is>
      </c>
      <c r="M1454" s="5">
        <f t="array" ref="M1454">_xlfn.IFS(J1454="NOTFOUND",I1454,J1454&gt;=I1454,J1454)</f>
        <v/>
      </c>
    </row>
    <row r="1455" ht="18" customHeight="1" s="16">
      <c r="A1455" s="5" t="n">
        <v>1454</v>
      </c>
      <c r="B1455" s="8" t="inlineStr">
        <is>
          <t>GU-3706</t>
        </is>
      </c>
      <c r="C1455" s="2" t="n"/>
      <c r="D1455" s="8" t="inlineStr">
        <is>
          <t>ロゴ コインウォレット 財布</t>
        </is>
      </c>
      <c r="E1455" s="8" t="inlineStr">
        <is>
          <t>835076 AAE1X 3352</t>
        </is>
      </c>
      <c r="G1455" s="10" t="inlineStr">
        <is>
          <t>OneSize</t>
        </is>
      </c>
      <c r="H1455" s="17" t="inlineStr">
        <is>
          <t>OneSize</t>
        </is>
      </c>
      <c r="I1455" s="18" t="n">
        <v>96800</v>
      </c>
      <c r="J1455" s="19" t="n">
        <v>96800</v>
      </c>
      <c r="K1455" s="20" t="n">
        <v>5</v>
      </c>
      <c r="L1455" s="4" t="inlineStr">
        <is>
          <t>https://www.gucci.com/jp/ja/pr/men/small-leather-goods-for-men/card-holders-coin-cases-for-men/coin-wallet-with-logo-p-835076AAE1X3352</t>
        </is>
      </c>
      <c r="M1455" s="5">
        <f t="array" ref="M1455">_xlfn.IFS(J1455="NOTFOUND",I1455,J1455&gt;=I1455,J1455)</f>
        <v/>
      </c>
    </row>
    <row r="1456" ht="18" customHeight="1" s="16">
      <c r="A1456" s="5" t="n">
        <v>1455</v>
      </c>
      <c r="B1456" s="8" t="inlineStr">
        <is>
          <t>GU-3707</t>
        </is>
      </c>
      <c r="C1456" s="2" t="n"/>
      <c r="D1456" s="8" t="inlineStr">
        <is>
          <t>ロゴ ジップアラウンドウォレット 財布</t>
        </is>
      </c>
      <c r="E1456" s="8" t="inlineStr">
        <is>
          <t>835120 AAE1X 3352</t>
        </is>
      </c>
      <c r="G1456" s="10" t="inlineStr">
        <is>
          <t>OneSize</t>
        </is>
      </c>
      <c r="H1456" s="17" t="inlineStr">
        <is>
          <t>OneSize</t>
        </is>
      </c>
      <c r="I1456" s="18" t="n">
        <v>121000</v>
      </c>
      <c r="J1456" s="19" t="n">
        <v>121000</v>
      </c>
      <c r="K1456" s="20" t="n">
        <v>5</v>
      </c>
      <c r="L1456" s="4" t="inlineStr">
        <is>
          <t>https://www.gucci.com/jp/ja/pr/men/small-leather-goods-for-men/wallets-for-men/zip-around-long-wallets-for-men/zip-around-wallet-with-logo-p-835120AAE1X3352</t>
        </is>
      </c>
      <c r="M1456" s="5">
        <f t="array" ref="M1456">_xlfn.IFS(J1456="NOTFOUND",I1456,J1456&gt;=I1456,J1456)</f>
        <v/>
      </c>
    </row>
    <row r="1457" ht="18" customHeight="1" s="16">
      <c r="A1457" s="5" t="n">
        <v>1456</v>
      </c>
      <c r="B1457" s="8" t="inlineStr">
        <is>
          <t>GU-3708</t>
        </is>
      </c>
      <c r="C1457" s="2" t="n"/>
      <c r="D1457" s="8" t="inlineStr">
        <is>
          <t>ロゴ コインウォレット 財布</t>
        </is>
      </c>
      <c r="E1457" s="8" t="inlineStr">
        <is>
          <t>835098 AAE1X 3352</t>
        </is>
      </c>
      <c r="G1457" s="10" t="inlineStr">
        <is>
          <t>OneSize</t>
        </is>
      </c>
      <c r="H1457" s="17" t="inlineStr">
        <is>
          <t>OneSize</t>
        </is>
      </c>
      <c r="I1457" s="18" t="n">
        <v>89100</v>
      </c>
      <c r="J1457" s="19" t="n">
        <v>89100</v>
      </c>
      <c r="K1457" s="20" t="n">
        <v>5</v>
      </c>
      <c r="L1457" s="4" t="inlineStr">
        <is>
          <t>https://www.gucci.com/jp/ja/pr/men/small-leather-goods-for-men/card-holders-coin-cases-for-men/coin-wallet-with-logo-p-835098AAE1X3352</t>
        </is>
      </c>
      <c r="M1457" s="5">
        <f t="array" ref="M1457">_xlfn.IFS(J1457="NOTFOUND",I1457,J1457&gt;=I1457,J1457)</f>
        <v/>
      </c>
    </row>
    <row r="1458" ht="18" customHeight="1" s="16">
      <c r="A1458" s="5" t="n">
        <v>1457</v>
      </c>
      <c r="B1458" s="8" t="inlineStr">
        <is>
          <t>GU-3709</t>
        </is>
      </c>
      <c r="C1458" s="2" t="n"/>
      <c r="D1458" s="8" t="inlineStr">
        <is>
          <t>ロゴ コインウォレット 財布</t>
        </is>
      </c>
      <c r="E1458" s="8" t="inlineStr">
        <is>
          <t>835073 AAE1X 3352</t>
        </is>
      </c>
      <c r="G1458" s="10" t="inlineStr">
        <is>
          <t>OneSize</t>
        </is>
      </c>
      <c r="H1458" s="17" t="inlineStr">
        <is>
          <t>OneSize</t>
        </is>
      </c>
      <c r="I1458" s="18" t="n">
        <v>85800</v>
      </c>
      <c r="J1458" s="19" t="n">
        <v>85800</v>
      </c>
      <c r="K1458" s="20" t="n">
        <v>5</v>
      </c>
      <c r="L1458" s="4" t="inlineStr">
        <is>
          <t>https://www.gucci.com/jp/ja/pr/men/small-leather-goods-for-men/card-holders-coin-cases-for-men/coin-wallet-with-logo-p-835073AAE1X3352</t>
        </is>
      </c>
      <c r="M1458" s="5">
        <f t="array" ref="M1458">_xlfn.IFS(J1458="NOTFOUND",I1458,J1458&gt;=I1458,J1458)</f>
        <v/>
      </c>
    </row>
    <row r="1459" ht="18" customHeight="1" s="16">
      <c r="A1459" s="5" t="n">
        <v>1458</v>
      </c>
      <c r="B1459" s="8" t="inlineStr">
        <is>
          <t>GU-3710</t>
        </is>
      </c>
      <c r="C1459" s="2" t="n"/>
      <c r="D1459" s="8" t="inlineStr">
        <is>
          <t>ロゴ コインウォレット 財布</t>
        </is>
      </c>
      <c r="E1459" s="8" t="inlineStr">
        <is>
          <t>835076 AAE1W 1000</t>
        </is>
      </c>
      <c r="G1459" s="10" t="inlineStr">
        <is>
          <t>OneSize</t>
        </is>
      </c>
      <c r="H1459" s="17" t="inlineStr">
        <is>
          <t>OneSize</t>
        </is>
      </c>
      <c r="I1459" s="18" t="n">
        <v>96800</v>
      </c>
      <c r="J1459" s="19" t="n">
        <v>96800</v>
      </c>
      <c r="K1459" s="20" t="n">
        <v>5</v>
      </c>
      <c r="L1459" s="4" t="inlineStr">
        <is>
          <t>https://www.gucci.com/jp/ja/pr/men/small-leather-goods-for-men/card-holders-coin-cases-for-men/coin-wallet-with-logo-p-835076AAE1W1000</t>
        </is>
      </c>
      <c r="M1459" s="5">
        <f t="array" ref="M1459">_xlfn.IFS(J1459="NOTFOUND",I1459,J1459&gt;=I1459,J1459)</f>
        <v/>
      </c>
    </row>
    <row r="1460" ht="18" customHeight="1" s="16">
      <c r="A1460" s="5" t="n">
        <v>1459</v>
      </c>
      <c r="B1460" s="8" t="inlineStr">
        <is>
          <t>GU-3711</t>
        </is>
      </c>
      <c r="C1460" s="2" t="n"/>
      <c r="D1460" s="8" t="inlineStr">
        <is>
          <t>ロゴ コインウォレット 財布</t>
        </is>
      </c>
      <c r="E1460" s="8" t="inlineStr">
        <is>
          <t>835073 AAE1W 1000</t>
        </is>
      </c>
      <c r="G1460" s="10" t="inlineStr">
        <is>
          <t>OneSize</t>
        </is>
      </c>
      <c r="H1460" s="17" t="inlineStr">
        <is>
          <t>OneSize</t>
        </is>
      </c>
      <c r="I1460" s="18" t="n">
        <v>85800</v>
      </c>
      <c r="J1460" s="19" t="n">
        <v>85800</v>
      </c>
      <c r="K1460" s="20" t="n">
        <v>5</v>
      </c>
      <c r="L1460" s="4" t="inlineStr">
        <is>
          <t>https://www.gucci.com/jp/ja/pr/men/small-leather-goods-for-men/card-holders-coin-cases-for-men/coin-wallet-with-logo-p-835073AAE1W1000</t>
        </is>
      </c>
      <c r="M1460" s="5">
        <f t="array" ref="M1460">_xlfn.IFS(J1460="NOTFOUND",I1460,J1460&gt;=I1460,J1460)</f>
        <v/>
      </c>
    </row>
    <row r="1461" ht="18" customHeight="1" s="16">
      <c r="A1461" s="5" t="n">
        <v>1460</v>
      </c>
      <c r="B1461" s="8" t="inlineStr">
        <is>
          <t>GU-3712</t>
        </is>
      </c>
      <c r="C1461" s="2" t="n"/>
      <c r="D1461" s="8" t="inlineStr">
        <is>
          <t>ロゴ コインウォレット 財布</t>
        </is>
      </c>
      <c r="E1461" s="8" t="inlineStr">
        <is>
          <t>835098 AAE1W 1000</t>
        </is>
      </c>
      <c r="G1461" s="10" t="inlineStr">
        <is>
          <t>OneSize</t>
        </is>
      </c>
      <c r="H1461" s="17" t="inlineStr">
        <is>
          <t>OneSize</t>
        </is>
      </c>
      <c r="I1461" s="18" t="n">
        <v>89100</v>
      </c>
      <c r="J1461" s="19" t="n">
        <v>89100</v>
      </c>
      <c r="K1461" s="20" t="n">
        <v>5</v>
      </c>
      <c r="L1461" s="4" t="inlineStr">
        <is>
          <t>https://www.gucci.com/jp/ja/pr/men/small-leather-goods-for-men/card-holders-coin-cases-for-men/coin-wallet-with-logo-p-835098AAE1W1000</t>
        </is>
      </c>
      <c r="M1461" s="5">
        <f t="array" ref="M1461">_xlfn.IFS(J1461="NOTFOUND",I1461,J1461&gt;=I1461,J1461)</f>
        <v/>
      </c>
    </row>
    <row r="1462" ht="18" customHeight="1" s="16">
      <c r="A1462" s="5" t="n">
        <v>1461</v>
      </c>
      <c r="B1462" s="8" t="inlineStr">
        <is>
          <t>GU-3713</t>
        </is>
      </c>
      <c r="C1462" s="2" t="n"/>
      <c r="D1462" s="8" t="inlineStr">
        <is>
          <t>ロゴ ジップアラウンドウォレット 財布</t>
        </is>
      </c>
      <c r="E1462" s="8" t="inlineStr">
        <is>
          <t>835120 AAE1W 1000</t>
        </is>
      </c>
      <c r="G1462" s="10" t="inlineStr">
        <is>
          <t>OneSize</t>
        </is>
      </c>
      <c r="H1462" s="17" t="inlineStr">
        <is>
          <t>OneSize</t>
        </is>
      </c>
      <c r="I1462" s="18" t="n">
        <v>121000</v>
      </c>
      <c r="J1462" s="19" t="n">
        <v>121000</v>
      </c>
      <c r="K1462" s="20" t="n">
        <v>5</v>
      </c>
      <c r="L1462" s="4" t="inlineStr">
        <is>
          <t>https://www.gucci.com/jp/ja/pr/men/small-leather-goods-for-men/wallets-for-men/zip-around-long-wallets-for-men/zip-around-wallet-with-logo-p-835120AAE1W1000</t>
        </is>
      </c>
      <c r="M1462" s="5">
        <f t="array" ref="M1462">_xlfn.IFS(J1462="NOTFOUND",I1462,J1462&gt;=I1462,J1462)</f>
        <v/>
      </c>
    </row>
    <row r="1463" ht="18" customHeight="1" s="16">
      <c r="A1463" s="5" t="n">
        <v>1462</v>
      </c>
      <c r="B1463" s="8" t="inlineStr">
        <is>
          <t>GU-3714</t>
        </is>
      </c>
      <c r="C1463" s="2" t="n"/>
      <c r="D1463" s="8" t="inlineStr">
        <is>
          <t>ジップアラウンドウォレット 財布ブルー インテリア</t>
        </is>
      </c>
      <c r="E1463" s="8" t="inlineStr">
        <is>
          <t>822051 FACQC 1052</t>
        </is>
      </c>
      <c r="G1463" s="10" t="inlineStr">
        <is>
          <t>OneSize</t>
        </is>
      </c>
      <c r="H1463" s="17" t="inlineStr">
        <is>
          <t>OneSize</t>
        </is>
      </c>
      <c r="I1463" s="18" t="n">
        <v>112200</v>
      </c>
      <c r="J1463" s="19" t="n">
        <v>112200</v>
      </c>
      <c r="K1463" s="20" t="n">
        <v>5</v>
      </c>
      <c r="L1463" s="4" t="inlineStr">
        <is>
          <t>https://www.gucci.com/jp/ja/pr/men/small-leather-goods-for-men/wallets-for-men/zip-around-long-wallets-for-men/blue-interior-zip-around-wallet-p-822051FACQC1052</t>
        </is>
      </c>
      <c r="M1463" s="5">
        <f t="array" ref="M1463">_xlfn.IFS(J1463="NOTFOUND",I1463,J1463&gt;=I1463,J1463)</f>
        <v/>
      </c>
    </row>
    <row r="1464" ht="18" customHeight="1" s="16">
      <c r="A1464" s="5" t="n">
        <v>1463</v>
      </c>
      <c r="B1464" s="8" t="inlineStr">
        <is>
          <t>GU-3715</t>
        </is>
      </c>
      <c r="C1464" s="2" t="n"/>
      <c r="D1464" s="8" t="inlineStr">
        <is>
          <t>ジップアラウンドウォレット 財布ブルー インテリア</t>
        </is>
      </c>
      <c r="E1464" s="8" t="inlineStr">
        <is>
          <t>822051 FACQC 9441</t>
        </is>
      </c>
      <c r="G1464" s="10" t="inlineStr">
        <is>
          <t>OneSize</t>
        </is>
      </c>
      <c r="H1464" s="17" t="inlineStr">
        <is>
          <t>OneSize</t>
        </is>
      </c>
      <c r="I1464" s="18" t="n">
        <v>112200</v>
      </c>
      <c r="J1464" s="19" t="n">
        <v>112200</v>
      </c>
      <c r="K1464" s="20" t="n">
        <v>5</v>
      </c>
      <c r="L1464" s="4" t="inlineStr">
        <is>
          <t>https://www.gucci.com/jp/ja/pr/men/small-leather-goods-for-men/wallets-for-men/zip-around-long-wallets-for-men/blue-interior-zip-around-wallet-p-822051FACQC9441</t>
        </is>
      </c>
      <c r="M1464" s="5">
        <f t="array" ref="M1464">_xlfn.IFS(J1464="NOTFOUND",I1464,J1464&gt;=I1464,J1464)</f>
        <v/>
      </c>
    </row>
    <row r="1465" ht="18" customHeight="1" s="16">
      <c r="A1465" s="5" t="n">
        <v>1464</v>
      </c>
      <c r="B1465" s="8" t="inlineStr">
        <is>
          <t>GU-3716</t>
        </is>
      </c>
      <c r="C1465" s="2" t="n"/>
      <c r="D1465" s="8" t="inlineStr">
        <is>
          <t>ジップアラウンドウォレット 財布オレンジ インテリア</t>
        </is>
      </c>
      <c r="E1465" s="8" t="inlineStr">
        <is>
          <t>822051 FACQC 9743</t>
        </is>
      </c>
      <c r="G1465" s="10" t="inlineStr">
        <is>
          <t>OneSize</t>
        </is>
      </c>
      <c r="H1465" s="17" t="inlineStr">
        <is>
          <t>OneSize</t>
        </is>
      </c>
      <c r="I1465" s="18" t="n">
        <v>112200</v>
      </c>
      <c r="J1465" s="19" t="n">
        <v>112200</v>
      </c>
      <c r="K1465" s="20" t="n">
        <v>5</v>
      </c>
      <c r="L1465" s="4" t="inlineStr">
        <is>
          <t>https://www.gucci.com/jp/ja/pr/men/small-leather-goods-for-men/wallets-for-men/zip-around-long-wallets-for-men/orange-interior-zip-around-wallet-p-822051FACQC9743</t>
        </is>
      </c>
      <c r="M1465" s="5">
        <f t="array" ref="M1465">_xlfn.IFS(J1465="NOTFOUND",I1465,J1465&gt;=I1465,J1465)</f>
        <v/>
      </c>
    </row>
    <row r="1466" ht="18" customHeight="1" s="16">
      <c r="A1466" s="5" t="n">
        <v>1465</v>
      </c>
      <c r="B1466" s="8" t="inlineStr">
        <is>
          <t>GU-3717</t>
        </is>
      </c>
      <c r="C1466" s="2" t="n"/>
      <c r="D1466" s="8" t="inlineStr">
        <is>
          <t>バイカラー マグネット カードケース</t>
        </is>
      </c>
      <c r="E1466" s="8" t="inlineStr">
        <is>
          <t>817197 FACQC 9860</t>
        </is>
      </c>
      <c r="G1466" s="10" t="inlineStr">
        <is>
          <t>OneSize</t>
        </is>
      </c>
      <c r="H1466" s="17" t="inlineStr">
        <is>
          <t>OneSize</t>
        </is>
      </c>
      <c r="I1466" s="18" t="n">
        <v>57200</v>
      </c>
      <c r="J1466" s="19" t="n">
        <v>57200</v>
      </c>
      <c r="K1466" s="20" t="n">
        <v>5</v>
      </c>
      <c r="L1466" s="4" t="inlineStr">
        <is>
          <t>https://www.gucci.com/jp/ja/pr/men/small-leather-goods-for-men/card-holders-coin-cases-for-men/bi-color-magnetic-card-case-p-817197FACQC9860</t>
        </is>
      </c>
      <c r="M1466" s="5">
        <f t="array" ref="M1466">_xlfn.IFS(J1466="NOTFOUND",I1466,J1466&gt;=I1466,J1466)</f>
        <v/>
      </c>
    </row>
    <row r="1467" ht="18" customHeight="1" s="16">
      <c r="A1467" s="5" t="n">
        <v>1466</v>
      </c>
      <c r="B1467" s="8" t="inlineStr">
        <is>
          <t>GU-3718</t>
        </is>
      </c>
      <c r="C1467" s="2" t="n"/>
      <c r="D1467" s="8" t="inlineStr">
        <is>
          <t>バイカラー マグネット カードケース</t>
        </is>
      </c>
      <c r="E1467" s="8" t="inlineStr">
        <is>
          <t>817197 FACQC 1052</t>
        </is>
      </c>
      <c r="G1467" s="10" t="inlineStr">
        <is>
          <t>OneSize</t>
        </is>
      </c>
      <c r="H1467" s="17" t="inlineStr">
        <is>
          <t>OneSize</t>
        </is>
      </c>
      <c r="I1467" s="18" t="n">
        <v>57200</v>
      </c>
      <c r="J1467" s="19" t="n">
        <v>57200</v>
      </c>
      <c r="K1467" s="20" t="n">
        <v>5</v>
      </c>
      <c r="L1467" s="4" t="inlineStr">
        <is>
          <t>https://www.gucci.com/jp/ja/pr/men/small-leather-goods-for-men/card-holders-coin-cases-for-men/bi-color-magnetic-card-case-p-817197FACQC1052</t>
        </is>
      </c>
      <c r="M1467" s="5">
        <f t="array" ref="M1467">_xlfn.IFS(J1467="NOTFOUND",I1467,J1467&gt;=I1467,J1467)</f>
        <v/>
      </c>
    </row>
    <row r="1468" ht="18" customHeight="1" s="16">
      <c r="A1468" s="5" t="n">
        <v>1467</v>
      </c>
      <c r="B1468" s="8" t="inlineStr">
        <is>
          <t>GU-3719</t>
        </is>
      </c>
      <c r="C1468" s="2" t="n"/>
      <c r="D1468" s="8" t="inlineStr">
        <is>
          <t>GG ディテール付き GG パスポートケース</t>
        </is>
      </c>
      <c r="E1468" s="8" t="inlineStr">
        <is>
          <t>795229 FACQC 9773</t>
        </is>
      </c>
      <c r="G1468" s="10" t="inlineStr">
        <is>
          <t>OneSize</t>
        </is>
      </c>
      <c r="H1468" s="17" t="inlineStr">
        <is>
          <t>OneSize</t>
        </is>
      </c>
      <c r="I1468" s="18" t="n">
        <v>53900</v>
      </c>
      <c r="J1468" s="19" t="n">
        <v>53900</v>
      </c>
      <c r="K1468" s="20" t="n">
        <v>5</v>
      </c>
      <c r="L1468" s="4" t="inlineStr">
        <is>
          <t>https://www.gucci.com/jp/ja/pr/men/small-leather-goods-for-men/wallets-for-men/folded-wallets-for-men/brown-interior-gg-passport-case-p-795229FACQC9773</t>
        </is>
      </c>
      <c r="M1468" s="5">
        <f t="array" ref="M1468">_xlfn.IFS(J1468="NOTFOUND",I1468,J1468&gt;=I1468,J1468)</f>
        <v/>
      </c>
    </row>
    <row r="1469" ht="18" customHeight="1" s="16">
      <c r="A1469" s="5" t="n">
        <v>1468</v>
      </c>
      <c r="B1469" s="8" t="inlineStr">
        <is>
          <t>GU-3720</t>
        </is>
      </c>
      <c r="C1469" s="2" t="n"/>
      <c r="D1469" s="8" t="inlineStr">
        <is>
          <t>GG 三つ折りウォレット 財布アイボリー インテリア</t>
        </is>
      </c>
      <c r="E1469" s="8" t="inlineStr">
        <is>
          <t>769225 FACQC 9856</t>
        </is>
      </c>
      <c r="G1469" s="11" t="inlineStr">
        <is>
          <t>SOLD</t>
        </is>
      </c>
      <c r="H1469" s="22" t="inlineStr">
        <is>
          <t>SOLD</t>
        </is>
      </c>
      <c r="I1469" s="18" t="n">
        <v>85800</v>
      </c>
      <c r="J1469" s="23" t="inlineStr">
        <is>
          <t>NOTFOUND</t>
        </is>
      </c>
      <c r="K1469" s="20" t="n">
        <v>0</v>
      </c>
      <c r="L1469" s="4" t="inlineStr">
        <is>
          <t>https://www.gucci.com/jp/ja/pr/men/small-leather-goods-for-men/wallets-for-men/folded-wallets-for-men/ivory-interior-gg-tri-fold-wallet-p-769225FACQC9856</t>
        </is>
      </c>
      <c r="M1469" s="5">
        <f t="array" ref="M1469">_xlfn.IFS(J1469="NOTFOUND",I1469,J1469&gt;=I1469,J1469)</f>
        <v/>
      </c>
    </row>
    <row r="1470" ht="18" customHeight="1" s="16">
      <c r="A1470" s="5" t="n">
        <v>1469</v>
      </c>
      <c r="B1470" s="8" t="inlineStr">
        <is>
          <t>GU-3721</t>
        </is>
      </c>
      <c r="C1470" s="2" t="n"/>
      <c r="D1470" s="8" t="inlineStr">
        <is>
          <t>バイカラー GG カードケース</t>
        </is>
      </c>
      <c r="E1470" s="8" t="inlineStr">
        <is>
          <t>768248 FACQC 9743</t>
        </is>
      </c>
      <c r="G1470" s="10" t="inlineStr">
        <is>
          <t>OneSize</t>
        </is>
      </c>
      <c r="H1470" s="17" t="inlineStr">
        <is>
          <t>OneSize</t>
        </is>
      </c>
      <c r="I1470" s="18" t="n">
        <v>39600</v>
      </c>
      <c r="J1470" s="19" t="n">
        <v>39600</v>
      </c>
      <c r="K1470" s="20" t="n">
        <v>5</v>
      </c>
      <c r="L1470" s="4" t="inlineStr">
        <is>
          <t>https://www.gucci.com/jp/ja/pr/men/small-leather-goods-for-men/card-holders-coin-cases-for-men/bi-color-gg-card-case-p-768248FACQC9743</t>
        </is>
      </c>
      <c r="M1470" s="5">
        <f t="array" ref="M1470">_xlfn.IFS(J1470="NOTFOUND",I1470,J1470&gt;=I1470,J1470)</f>
        <v/>
      </c>
    </row>
    <row r="1471" ht="18" customHeight="1" s="16">
      <c r="A1471" s="5" t="n">
        <v>1470</v>
      </c>
      <c r="B1471" s="8" t="inlineStr">
        <is>
          <t>GU-3722</t>
        </is>
      </c>
      <c r="C1471" s="2" t="n"/>
      <c r="D1471" s="8" t="inlineStr">
        <is>
          <t>GG ディテール付き バイカラー カードケース</t>
        </is>
      </c>
      <c r="E1471" s="8" t="inlineStr">
        <is>
          <t>768248 FACQC 9856</t>
        </is>
      </c>
      <c r="G1471" s="11" t="inlineStr">
        <is>
          <t>SOLD</t>
        </is>
      </c>
      <c r="H1471" s="22" t="inlineStr">
        <is>
          <t>SOLD</t>
        </is>
      </c>
      <c r="I1471" s="18" t="n">
        <v>39600</v>
      </c>
      <c r="J1471" s="23" t="inlineStr">
        <is>
          <t>NOTFOUND</t>
        </is>
      </c>
      <c r="K1471" s="20" t="n">
        <v>0</v>
      </c>
      <c r="L1471" s="4" t="inlineStr">
        <is>
          <t>https://www.gucci.com/jp/ja/pr/men/small-leather-goods-for-men/card-holders-coin-cases-for-men/bi-color-gg-card-case-p-768248FACQC9856</t>
        </is>
      </c>
      <c r="M1471" s="5">
        <f t="array" ref="M1471">_xlfn.IFS(J1471="NOTFOUND",I1471,J1471&gt;=I1471,J1471)</f>
        <v/>
      </c>
    </row>
    <row r="1472" ht="18" customHeight="1" s="16">
      <c r="A1472" s="5" t="n">
        <v>1471</v>
      </c>
      <c r="B1472" s="8" t="inlineStr">
        <is>
          <t>GU-3723</t>
        </is>
      </c>
      <c r="C1472" s="2" t="n"/>
      <c r="D1472" s="8" t="inlineStr">
        <is>
          <t>バイカラー GG カードケース</t>
        </is>
      </c>
      <c r="E1472" s="8" t="inlineStr">
        <is>
          <t>768248 FACQC 9773</t>
        </is>
      </c>
      <c r="G1472" s="10" t="inlineStr">
        <is>
          <t>OneSize</t>
        </is>
      </c>
      <c r="H1472" s="17" t="inlineStr">
        <is>
          <t>OneSize</t>
        </is>
      </c>
      <c r="I1472" s="18" t="n">
        <v>39600</v>
      </c>
      <c r="J1472" s="19" t="n">
        <v>39600</v>
      </c>
      <c r="K1472" s="20" t="n">
        <v>5</v>
      </c>
      <c r="L1472" s="4" t="inlineStr">
        <is>
          <t>https://www.gucci.com/jp/ja/pr/men/small-leather-goods-for-men/card-holders-coin-cases-for-men/bi-color-gg-card-case-p-768248FACQC9773</t>
        </is>
      </c>
      <c r="M1472" s="5">
        <f t="array" ref="M1472">_xlfn.IFS(J1472="NOTFOUND",I1472,J1472&gt;=I1472,J1472)</f>
        <v/>
      </c>
    </row>
    <row r="1473" ht="18" customHeight="1" s="16">
      <c r="A1473" s="5" t="n">
        <v>1472</v>
      </c>
      <c r="B1473" s="8" t="inlineStr">
        <is>
          <t>GU-3724</t>
        </is>
      </c>
      <c r="C1473" s="2" t="n"/>
      <c r="D1473" s="8" t="inlineStr">
        <is>
          <t>バイカラー GG カードケース</t>
        </is>
      </c>
      <c r="E1473" s="8" t="inlineStr">
        <is>
          <t>768248 FACQC 1052</t>
        </is>
      </c>
      <c r="G1473" s="10" t="inlineStr">
        <is>
          <t>OneSize</t>
        </is>
      </c>
      <c r="H1473" s="17" t="inlineStr">
        <is>
          <t>OneSize</t>
        </is>
      </c>
      <c r="I1473" s="18" t="n">
        <v>39600</v>
      </c>
      <c r="J1473" s="19" t="n">
        <v>39600</v>
      </c>
      <c r="K1473" s="20" t="n">
        <v>5</v>
      </c>
      <c r="L1473" s="4" t="inlineStr">
        <is>
          <t>https://www.gucci.com/jp/ja/pr/men/small-leather-goods-for-men/card-holders-coin-cases-for-men/bi-color-gg-card-case-p-768248FACQC1052</t>
        </is>
      </c>
      <c r="M1473" s="5">
        <f t="array" ref="M1473">_xlfn.IFS(J1473="NOTFOUND",I1473,J1473&gt;=I1473,J1473)</f>
        <v/>
      </c>
    </row>
    <row r="1474" ht="18" customHeight="1" s="16">
      <c r="A1474" s="5" t="n">
        <v>1473</v>
      </c>
      <c r="B1474" s="8" t="inlineStr">
        <is>
          <t>GU-3725</t>
        </is>
      </c>
      <c r="C1474" s="2" t="n"/>
      <c r="D1474" s="8" t="inlineStr">
        <is>
          <t>GG ディテール付き GG ジップカードケース</t>
        </is>
      </c>
      <c r="E1474" s="8" t="inlineStr">
        <is>
          <t>795233 FACQC 1048</t>
        </is>
      </c>
      <c r="G1474" s="11" t="inlineStr">
        <is>
          <t>SOLD</t>
        </is>
      </c>
      <c r="H1474" s="22" t="inlineStr">
        <is>
          <t>SOLD</t>
        </is>
      </c>
      <c r="I1474" s="18" t="n">
        <v>59400</v>
      </c>
      <c r="J1474" s="19" t="n">
        <v>59400</v>
      </c>
      <c r="K1474" s="20" t="n">
        <v>0</v>
      </c>
      <c r="L1474" s="4" t="inlineStr">
        <is>
          <t>https://www.gucci.com/jp/ja/pr/men/small-leather-goods-for-men/card-holders-coin-cases-for-men/gg-zip-card-case-with-gg-detail-p-795233FACQC1048</t>
        </is>
      </c>
      <c r="M1474" s="5">
        <f t="array" ref="M1474">_xlfn.IFS(J1474="NOTFOUND",I1474,J1474&gt;=I1474,J1474)</f>
        <v/>
      </c>
    </row>
    <row r="1475" ht="18" customHeight="1" s="16">
      <c r="A1475" s="5" t="n">
        <v>1474</v>
      </c>
      <c r="B1475" s="8" t="inlineStr">
        <is>
          <t>GU-3726</t>
        </is>
      </c>
      <c r="C1475" s="2" t="n"/>
      <c r="D1475" s="8" t="inlineStr">
        <is>
          <t>グレー インテリア付き GG パスポートケース</t>
        </is>
      </c>
      <c r="E1475" s="8" t="inlineStr">
        <is>
          <t>795229 FACQC 1048</t>
        </is>
      </c>
      <c r="G1475" s="10" t="inlineStr">
        <is>
          <t>OneSize</t>
        </is>
      </c>
      <c r="H1475" s="17" t="inlineStr">
        <is>
          <t>OneSize</t>
        </is>
      </c>
      <c r="I1475" s="18" t="n">
        <v>53900</v>
      </c>
      <c r="J1475" s="19" t="n">
        <v>53900</v>
      </c>
      <c r="K1475" s="20" t="n">
        <v>5</v>
      </c>
      <c r="L1475" s="4" t="inlineStr">
        <is>
          <t>https://www.gucci.com/jp/ja/pr/men/small-leather-goods-for-men/wallets-for-men/folded-wallets-for-men/gg-passport-case-with-grey-interior-p-795229FACQC1048</t>
        </is>
      </c>
      <c r="M1475" s="5">
        <f t="array" ref="M1475">_xlfn.IFS(J1475="NOTFOUND",I1475,J1475&gt;=I1475,J1475)</f>
        <v/>
      </c>
    </row>
    <row r="1476" ht="18" customHeight="1" s="16">
      <c r="A1476" s="5" t="n">
        <v>1475</v>
      </c>
      <c r="B1476" s="8" t="inlineStr">
        <is>
          <t>GU-3727</t>
        </is>
      </c>
      <c r="C1476" s="2" t="n"/>
      <c r="D1476" s="8" t="inlineStr">
        <is>
          <t>ボルドー インテリア付き GG パスポートケース</t>
        </is>
      </c>
      <c r="E1476" s="8" t="inlineStr">
        <is>
          <t>795229 FADMR 1050</t>
        </is>
      </c>
      <c r="G1476" s="10" t="inlineStr">
        <is>
          <t>OneSize</t>
        </is>
      </c>
      <c r="H1476" s="17" t="inlineStr">
        <is>
          <t>OneSize</t>
        </is>
      </c>
      <c r="I1476" s="18" t="n">
        <v>53900</v>
      </c>
      <c r="J1476" s="19" t="n">
        <v>53900</v>
      </c>
      <c r="K1476" s="20" t="n">
        <v>5</v>
      </c>
      <c r="L1476" s="4" t="inlineStr">
        <is>
          <t>https://www.gucci.com/jp/ja/pr/men/small-leather-goods-for-men/wallets-for-men/folded-wallets-for-men/gg-passport-case-with-bordeaux-interior-p-795229FADMR1050</t>
        </is>
      </c>
      <c r="M1476" s="5">
        <f t="array" ref="M1476">_xlfn.IFS(J1476="NOTFOUND",I1476,J1476&gt;=I1476,J1476)</f>
        <v/>
      </c>
    </row>
    <row r="1477" ht="18" customHeight="1" s="16">
      <c r="A1477" s="5" t="n">
        <v>1476</v>
      </c>
      <c r="B1477" s="8" t="inlineStr">
        <is>
          <t>GU-3728</t>
        </is>
      </c>
      <c r="C1477" s="2" t="n"/>
      <c r="D1477" s="8" t="inlineStr">
        <is>
          <t>バイカラー スモール ポーチ</t>
        </is>
      </c>
      <c r="E1477" s="8" t="inlineStr">
        <is>
          <t>768255 FACQC 1048</t>
        </is>
      </c>
      <c r="G1477" s="10" t="inlineStr">
        <is>
          <t>OneSize</t>
        </is>
      </c>
      <c r="H1477" s="17" t="inlineStr">
        <is>
          <t>OneSize</t>
        </is>
      </c>
      <c r="I1477" s="18" t="n">
        <v>139700</v>
      </c>
      <c r="J1477" s="19" t="n">
        <v>139700</v>
      </c>
      <c r="K1477" s="20" t="n">
        <v>5</v>
      </c>
      <c r="L1477" s="4" t="inlineStr">
        <is>
          <t>https://www.gucci.com/jp/ja/pr/men/small-leather-goods-for-men/mini-bags-pouches/pouches-for-men/bi-color-small-pouch-p-768255FACQC1048</t>
        </is>
      </c>
      <c r="M1477" s="5">
        <f t="array" ref="M1477">_xlfn.IFS(J1477="NOTFOUND",I1477,J1477&gt;=I1477,J1477)</f>
        <v/>
      </c>
    </row>
    <row r="1478" ht="18" customHeight="1" s="16">
      <c r="A1478" s="5" t="n">
        <v>1477</v>
      </c>
      <c r="B1478" s="8" t="inlineStr">
        <is>
          <t>GU-3729</t>
        </is>
      </c>
      <c r="C1478" s="2" t="n"/>
      <c r="D1478" s="8" t="inlineStr">
        <is>
          <t>バイカラー GG カードケース</t>
        </is>
      </c>
      <c r="E1478" s="8" t="inlineStr">
        <is>
          <t>768248 FADMR 1050</t>
        </is>
      </c>
      <c r="G1478" s="10" t="inlineStr">
        <is>
          <t>OneSize</t>
        </is>
      </c>
      <c r="H1478" s="17" t="inlineStr">
        <is>
          <t>OneSize</t>
        </is>
      </c>
      <c r="I1478" s="18" t="n">
        <v>39600</v>
      </c>
      <c r="J1478" s="19" t="n">
        <v>39600</v>
      </c>
      <c r="K1478" s="20" t="n">
        <v>5</v>
      </c>
      <c r="L1478" s="4" t="inlineStr">
        <is>
          <t>https://www.gucci.com/jp/ja/pr/men/small-leather-goods-for-men/card-holders-coin-cases-for-men/bi-color-gg-card-case-p-768248FADMR1050</t>
        </is>
      </c>
      <c r="M1478" s="5">
        <f t="array" ref="M1478">_xlfn.IFS(J1478="NOTFOUND",I1478,J1478&gt;=I1478,J1478)</f>
        <v/>
      </c>
    </row>
    <row r="1479" ht="18" customHeight="1" s="16">
      <c r="A1479" s="5" t="n">
        <v>1478</v>
      </c>
      <c r="B1479" s="8" t="inlineStr">
        <is>
          <t>GU-3730</t>
        </is>
      </c>
      <c r="C1479" s="2" t="n"/>
      <c r="D1479" s="8" t="inlineStr">
        <is>
          <t>GG コインウォレット 財布グレー インテリア</t>
        </is>
      </c>
      <c r="E1479" s="8" t="inlineStr">
        <is>
          <t>768244 FACQC 1048</t>
        </is>
      </c>
      <c r="G1479" s="10" t="inlineStr">
        <is>
          <t>OneSize</t>
        </is>
      </c>
      <c r="H1479" s="17" t="inlineStr">
        <is>
          <t>OneSize</t>
        </is>
      </c>
      <c r="I1479" s="18" t="n">
        <v>75900</v>
      </c>
      <c r="J1479" s="19" t="n">
        <v>75900</v>
      </c>
      <c r="K1479" s="20" t="n">
        <v>5</v>
      </c>
      <c r="L1479" s="4" t="inlineStr">
        <is>
          <t>https://www.gucci.com/jp/ja/pr/men/small-leather-goods-for-men/wallets-for-men/folded-wallets-for-men/grey-interior-gg-coin-wallet-p-768244FACQC1048</t>
        </is>
      </c>
      <c r="M1479" s="5">
        <f t="array" ref="M1479">_xlfn.IFS(J1479="NOTFOUND",I1479,J1479&gt;=I1479,J1479)</f>
        <v/>
      </c>
    </row>
    <row r="1480" ht="18" customHeight="1" s="16">
      <c r="A1480" s="5" t="n">
        <v>1479</v>
      </c>
      <c r="B1480" s="8" t="inlineStr">
        <is>
          <t>GU-3731</t>
        </is>
      </c>
      <c r="C1480" s="2" t="n"/>
      <c r="D1480" s="8" t="inlineStr">
        <is>
          <t>オフィディアパスポートケース</t>
        </is>
      </c>
      <c r="E1480" s="8" t="inlineStr">
        <is>
          <t>795158 96IWG 8745</t>
        </is>
      </c>
      <c r="G1480" s="10" t="inlineStr">
        <is>
          <t>OneSize</t>
        </is>
      </c>
      <c r="H1480" s="17" t="inlineStr">
        <is>
          <t>OneSize</t>
        </is>
      </c>
      <c r="I1480" s="18" t="n">
        <v>62700</v>
      </c>
      <c r="J1480" s="19" t="n">
        <v>62700</v>
      </c>
      <c r="K1480" s="20" t="n">
        <v>5</v>
      </c>
      <c r="L1480" s="4" t="inlineStr">
        <is>
          <t>https://www.gucci.com/jp/ja/pr/women/small-leather-goods-for-women/card-coin-cases-for-women/ophidia-passport-case-p-79515896IWG8745</t>
        </is>
      </c>
      <c r="M1480" s="5">
        <f t="array" ref="M1480">_xlfn.IFS(J1480="NOTFOUND",I1480,J1480&gt;=I1480,J1480)</f>
        <v/>
      </c>
    </row>
    <row r="1481" ht="18" customHeight="1" s="16">
      <c r="A1481" s="5" t="n">
        <v>1480</v>
      </c>
      <c r="B1481" s="8" t="inlineStr">
        <is>
          <t>GU-3732</t>
        </is>
      </c>
      <c r="C1481" s="2" t="n"/>
      <c r="D1481" s="8" t="inlineStr">
        <is>
          <t>オフィディアスモール ポーチ</t>
        </is>
      </c>
      <c r="E1481" s="8" t="inlineStr">
        <is>
          <t>760243 96IWT 8745</t>
        </is>
      </c>
      <c r="G1481" s="11" t="inlineStr">
        <is>
          <t>SOLD</t>
        </is>
      </c>
      <c r="H1481" s="17" t="inlineStr">
        <is>
          <t>OneSize</t>
        </is>
      </c>
      <c r="I1481" s="18" t="n">
        <v>147400</v>
      </c>
      <c r="J1481" s="19" t="n">
        <v>147400</v>
      </c>
      <c r="K1481" s="20" t="n">
        <v>5</v>
      </c>
      <c r="L1481" s="4" t="inlineStr">
        <is>
          <t>https://www.gucci.com/jp/ja/pr/men/small-leather-goods-for-men/mini-bags-pouches/pouches-for-men/ophidia-small-pouch-p-76024396IWT8745</t>
        </is>
      </c>
      <c r="M1481" s="5">
        <f t="array" ref="M1481">_xlfn.IFS(J1481="NOTFOUND",I1481,J1481&gt;=I1481,J1481)</f>
        <v/>
      </c>
    </row>
    <row r="1482" ht="18" customHeight="1" s="16">
      <c r="A1482" s="5" t="n">
        <v>1481</v>
      </c>
      <c r="B1482" s="8" t="inlineStr">
        <is>
          <t>GU-3733</t>
        </is>
      </c>
      <c r="C1482" s="2" t="n"/>
      <c r="D1482" s="8" t="inlineStr">
        <is>
          <t>オフィディアGG トラベルケース</t>
        </is>
      </c>
      <c r="E1482" s="8" t="inlineStr">
        <is>
          <t>751610 96IWT 8745</t>
        </is>
      </c>
      <c r="G1482" s="10" t="inlineStr">
        <is>
          <t>OneSize</t>
        </is>
      </c>
      <c r="H1482" s="17" t="inlineStr">
        <is>
          <t>OneSize</t>
        </is>
      </c>
      <c r="I1482" s="18" t="n">
        <v>214500</v>
      </c>
      <c r="J1482" s="19" t="n">
        <v>214500</v>
      </c>
      <c r="K1482" s="20" t="n">
        <v>5</v>
      </c>
      <c r="L1482" s="4" t="inlineStr">
        <is>
          <t>https://www.gucci.com/jp/ja/pr/men/small-leather-goods-for-men/mini-bags-pouches/pouches-for-men/ophidia-travel-case-p-75161096IWT8745</t>
        </is>
      </c>
      <c r="M1482" s="5">
        <f t="array" ref="M1482">_xlfn.IFS(J1482="NOTFOUND",I1482,J1482&gt;=I1482,J1482)</f>
        <v/>
      </c>
    </row>
    <row r="1483" ht="18" customHeight="1" s="16">
      <c r="A1483" s="5" t="n">
        <v>1482</v>
      </c>
      <c r="B1483" s="8" t="inlineStr">
        <is>
          <t>GU-3734</t>
        </is>
      </c>
      <c r="C1483" s="2" t="n"/>
      <c r="D1483" s="8" t="inlineStr">
        <is>
          <t>オフィディアGGキーケース</t>
        </is>
      </c>
      <c r="E1483" s="8" t="inlineStr">
        <is>
          <t>603732 96IWT 8745</t>
        </is>
      </c>
      <c r="G1483" s="10" t="inlineStr">
        <is>
          <t>OneSize</t>
        </is>
      </c>
      <c r="H1483" s="17" t="inlineStr">
        <is>
          <t>OneSize</t>
        </is>
      </c>
      <c r="I1483" s="18" t="n">
        <v>46750</v>
      </c>
      <c r="J1483" s="19" t="n">
        <v>46750</v>
      </c>
      <c r="K1483" s="20" t="n">
        <v>5</v>
      </c>
      <c r="L1483" s="4" t="inlineStr">
        <is>
          <t>https://www.gucci.com/jp/ja/pr/men/small-leather-goods-for-men/key-rings-key-cases-for-men/ophidia-key-case-p-60373296IWT8745</t>
        </is>
      </c>
      <c r="M1483" s="5">
        <f t="array" ref="M1483">_xlfn.IFS(J1483="NOTFOUND",I1483,J1483&gt;=I1483,J1483)</f>
        <v/>
      </c>
    </row>
    <row r="1484" ht="18" customHeight="1" s="16">
      <c r="A1484" s="5" t="n">
        <v>1483</v>
      </c>
      <c r="B1484" s="8" t="inlineStr">
        <is>
          <t>GU-3735</t>
        </is>
      </c>
      <c r="C1484" s="2" t="n"/>
      <c r="D1484" s="8" t="inlineStr">
        <is>
          <t>オフィディアミディアム ポーチ</t>
        </is>
      </c>
      <c r="E1484" s="8" t="inlineStr">
        <is>
          <t>598234 96IWT 8745</t>
        </is>
      </c>
      <c r="G1484" s="10" t="inlineStr">
        <is>
          <t>OneSize</t>
        </is>
      </c>
      <c r="H1484" s="17" t="inlineStr">
        <is>
          <t>OneSize</t>
        </is>
      </c>
      <c r="I1484" s="18" t="n">
        <v>127600</v>
      </c>
      <c r="J1484" s="19" t="n">
        <v>127600</v>
      </c>
      <c r="K1484" s="20" t="n">
        <v>5</v>
      </c>
      <c r="L1484" s="4" t="inlineStr">
        <is>
          <t>https://www.gucci.com/jp/ja/pr/men/bags-for-men/clutches-for-men/ophidia-medium-pouch-p-59823496IWT8745</t>
        </is>
      </c>
      <c r="M1484" s="5">
        <f t="array" ref="M1484">_xlfn.IFS(J1484="NOTFOUND",I1484,J1484&gt;=I1484,J1484)</f>
        <v/>
      </c>
    </row>
    <row r="1485" ht="18" customHeight="1" s="16">
      <c r="A1485" s="5" t="n">
        <v>1484</v>
      </c>
      <c r="B1485" s="8" t="inlineStr">
        <is>
          <t>GU-3736</t>
        </is>
      </c>
      <c r="C1485" s="2" t="n"/>
      <c r="D1485" s="8" t="inlineStr">
        <is>
          <t>オフィディアGG ジップアラウンドウォレット 財布</t>
        </is>
      </c>
      <c r="E1485" s="8" t="inlineStr">
        <is>
          <t>523154 96IWG 8745</t>
        </is>
      </c>
      <c r="G1485" s="10" t="inlineStr">
        <is>
          <t>OneSize</t>
        </is>
      </c>
      <c r="H1485" s="17" t="inlineStr">
        <is>
          <t>OneSize</t>
        </is>
      </c>
      <c r="I1485" s="18" t="n">
        <v>101200</v>
      </c>
      <c r="J1485" s="19" t="n">
        <v>101200</v>
      </c>
      <c r="K1485" s="20" t="n">
        <v>5</v>
      </c>
      <c r="L1485" s="4" t="inlineStr">
        <is>
          <t>https://www.gucci.com/jp/ja/pr/women/small-leather-goods-for-women/zip-around-wallets-for-women/ophidia-zip-around-wallet-p-52315496IWG8745</t>
        </is>
      </c>
      <c r="M1485" s="5">
        <f t="array" ref="M1485">_xlfn.IFS(J1485="NOTFOUND",I1485,J1485&gt;=I1485,J1485)</f>
        <v/>
      </c>
    </row>
    <row r="1486" ht="18" customHeight="1" s="16">
      <c r="A1486" s="5" t="n">
        <v>1485</v>
      </c>
      <c r="B1486" s="8" t="inlineStr">
        <is>
          <t>GU-3737</t>
        </is>
      </c>
      <c r="C1486" s="2" t="n"/>
      <c r="D1486" s="8" t="inlineStr">
        <is>
          <t>オフィディアIPHONE 15 PRO ケース</t>
        </is>
      </c>
      <c r="E1486" s="8" t="inlineStr">
        <is>
          <t>763801 K5I0G 9742</t>
        </is>
      </c>
      <c r="G1486" s="11" t="inlineStr">
        <is>
          <t>SOLD</t>
        </is>
      </c>
      <c r="H1486" s="22" t="inlineStr">
        <is>
          <t>SOLD</t>
        </is>
      </c>
      <c r="I1486" s="18" t="n">
        <v>46200</v>
      </c>
      <c r="J1486" s="19" t="n">
        <v>46200</v>
      </c>
      <c r="K1486" s="20" t="n">
        <v>0</v>
      </c>
      <c r="L1486" s="4" t="inlineStr">
        <is>
          <t>https://www.gucci.com/jp/ja/pr/men/small-leather-goods-for-men/tech-accessories-for-men/ophidia-case-for-iphone-15-pro-p-763801K5I0G9742</t>
        </is>
      </c>
      <c r="M1486" s="5">
        <f t="array" ref="M1486">_xlfn.IFS(J1486="NOTFOUND",I1486,J1486&gt;=I1486,J1486)</f>
        <v/>
      </c>
    </row>
    <row r="1487" ht="18" customHeight="1" s="16">
      <c r="A1487" s="5" t="n">
        <v>1486</v>
      </c>
      <c r="B1487" s="8" t="inlineStr">
        <is>
          <t>GU-3738</t>
        </is>
      </c>
      <c r="C1487" s="2" t="n"/>
      <c r="D1487" s="8" t="inlineStr">
        <is>
          <t>オフィディアIPHONE 15 ケース</t>
        </is>
      </c>
      <c r="E1487" s="8" t="inlineStr">
        <is>
          <t>763787 K5I0G 9742</t>
        </is>
      </c>
      <c r="G1487" s="11" t="inlineStr">
        <is>
          <t>SOLD</t>
        </is>
      </c>
      <c r="H1487" s="22" t="inlineStr">
        <is>
          <t>SOLD</t>
        </is>
      </c>
      <c r="I1487" s="18" t="n">
        <v>46200</v>
      </c>
      <c r="J1487" s="23" t="inlineStr">
        <is>
          <t>NOTFOUND</t>
        </is>
      </c>
      <c r="K1487" s="20" t="n">
        <v>0</v>
      </c>
      <c r="L1487" s="4" t="inlineStr">
        <is>
          <t>https://www.gucci.com/jp/ja/pr/men/small-leather-goods-for-men/tech-accessories-for-men/ophidia-case-for-iphone-15-p-763787K5I0G9742</t>
        </is>
      </c>
      <c r="M1487" s="5">
        <f t="array" ref="M1487">_xlfn.IFS(J1487="NOTFOUND",I1487,J1487&gt;=I1487,J1487)</f>
        <v/>
      </c>
    </row>
    <row r="1488" ht="18" customHeight="1" s="16">
      <c r="A1488" s="5" t="n">
        <v>1487</v>
      </c>
      <c r="B1488" s="8" t="inlineStr">
        <is>
          <t>GU-3739</t>
        </is>
      </c>
      <c r="C1488" s="2" t="n"/>
      <c r="D1488" s="8" t="inlineStr">
        <is>
          <t>オフィディアスモール ポーチ</t>
        </is>
      </c>
      <c r="E1488" s="8" t="inlineStr">
        <is>
          <t>760243 UULBN 4055</t>
        </is>
      </c>
      <c r="G1488" s="11" t="inlineStr">
        <is>
          <t>SOLD</t>
        </is>
      </c>
      <c r="H1488" s="22" t="inlineStr">
        <is>
          <t>SOLD</t>
        </is>
      </c>
      <c r="I1488" s="18" t="n">
        <v>147400</v>
      </c>
      <c r="J1488" s="23" t="inlineStr">
        <is>
          <t>NOTFOUND</t>
        </is>
      </c>
      <c r="K1488" s="20" t="n">
        <v>0</v>
      </c>
      <c r="L1488" s="4" t="inlineStr">
        <is>
          <t>https://www.gucci.com/jp/ja/pr/men/small-leather-goods-for-men/mini-bags-pouches/pouches-for-men/ophidia-small-pouch-p-760243UULBN4055</t>
        </is>
      </c>
      <c r="M1488" s="5">
        <f t="array" ref="M1488">_xlfn.IFS(J1488="NOTFOUND",I1488,J1488&gt;=I1488,J1488)</f>
        <v/>
      </c>
    </row>
    <row r="1489" ht="18" customHeight="1" s="16">
      <c r="A1489" s="5" t="n">
        <v>1488</v>
      </c>
      <c r="B1489" s="8" t="inlineStr">
        <is>
          <t>GU-3740</t>
        </is>
      </c>
      <c r="C1489" s="2" t="n"/>
      <c r="D1489" s="8" t="inlineStr">
        <is>
          <t>オフィディアGG カードケース</t>
        </is>
      </c>
      <c r="E1489" s="8" t="inlineStr">
        <is>
          <t>732018 UULBN 4055</t>
        </is>
      </c>
      <c r="G1489" s="11" t="inlineStr">
        <is>
          <t>SOLD</t>
        </is>
      </c>
      <c r="H1489" s="22" t="inlineStr">
        <is>
          <t>SOLD</t>
        </is>
      </c>
      <c r="I1489" s="18" t="n">
        <v>58300</v>
      </c>
      <c r="J1489" s="23" t="inlineStr">
        <is>
          <t>NOTFOUND</t>
        </is>
      </c>
      <c r="K1489" s="20" t="n">
        <v>0</v>
      </c>
      <c r="L1489" s="4" t="inlineStr">
        <is>
          <t>https://www.gucci.com/jp/ja/pr/men/small-leather-goods-for-men/card-holders-coin-cases-for-men/ophidia-card-case-p-732018UULBN4055</t>
        </is>
      </c>
      <c r="M1489" s="5">
        <f t="array" ref="M1489">_xlfn.IFS(J1489="NOTFOUND",I1489,J1489&gt;=I1489,J1489)</f>
        <v/>
      </c>
    </row>
    <row r="1490" ht="18" customHeight="1" s="16">
      <c r="A1490" s="5" t="n">
        <v>1489</v>
      </c>
      <c r="B1490" s="8" t="inlineStr">
        <is>
          <t>GU-3741</t>
        </is>
      </c>
      <c r="C1490" s="2" t="n"/>
      <c r="D1490" s="8" t="inlineStr">
        <is>
          <t>オフィディア二つ折り ウォレット 財布</t>
        </is>
      </c>
      <c r="E1490" s="8" t="inlineStr">
        <is>
          <t>732016 UULBN 4055</t>
        </is>
      </c>
      <c r="G1490" s="11" t="inlineStr">
        <is>
          <t>SOLD</t>
        </is>
      </c>
      <c r="H1490" s="22" t="inlineStr">
        <is>
          <t>SOLD</t>
        </is>
      </c>
      <c r="I1490" s="18" t="n">
        <v>63800</v>
      </c>
      <c r="J1490" s="23" t="inlineStr">
        <is>
          <t>NOTFOUND</t>
        </is>
      </c>
      <c r="K1490" s="20" t="n">
        <v>0</v>
      </c>
      <c r="L1490" s="4" t="inlineStr">
        <is>
          <t>https://www.gucci.com/jp/ja/pr/men/small-leather-goods-for-men/wallets-for-men/folded-wallets-for-men/ophidia-bi-fold-wallet-p-732016UULBN4055</t>
        </is>
      </c>
      <c r="M1490" s="5">
        <f t="array" ref="M1490">_xlfn.IFS(J1490="NOTFOUND",I1490,J1490&gt;=I1490,J1490)</f>
        <v/>
      </c>
    </row>
    <row r="1491" ht="18" customHeight="1" s="16">
      <c r="A1491" s="5" t="n">
        <v>1490</v>
      </c>
      <c r="B1491" s="8" t="inlineStr">
        <is>
          <t>GU-3742</t>
        </is>
      </c>
      <c r="C1491" s="2" t="n"/>
      <c r="D1491" s="8" t="inlineStr">
        <is>
          <t>オフィディアGG トラベルケース</t>
        </is>
      </c>
      <c r="E1491" s="8" t="inlineStr">
        <is>
          <t>751610 UULBN 1244</t>
        </is>
      </c>
      <c r="G1491" s="11" t="inlineStr">
        <is>
          <t>SOLD</t>
        </is>
      </c>
      <c r="H1491" s="22" t="inlineStr">
        <is>
          <t>SOLD</t>
        </is>
      </c>
      <c r="I1491" s="18" t="n">
        <v>214500</v>
      </c>
      <c r="J1491" s="19" t="n">
        <v>214500</v>
      </c>
      <c r="K1491" s="20" t="n">
        <v>0</v>
      </c>
      <c r="L1491" s="4" t="inlineStr">
        <is>
          <t>https://www.gucci.com/jp/ja/pr/men/small-leather-goods-for-men/mini-bags-pouches/pouches-for-men/ophidia-travel-case-p-751610UULBN1244</t>
        </is>
      </c>
      <c r="M1491" s="5">
        <f t="array" ref="M1491">_xlfn.IFS(J1491="NOTFOUND",I1491,J1491&gt;=I1491,J1491)</f>
        <v/>
      </c>
    </row>
    <row r="1492" ht="18" customHeight="1" s="16">
      <c r="A1492" s="5" t="n">
        <v>1491</v>
      </c>
      <c r="B1492" s="8" t="inlineStr">
        <is>
          <t>GU-3743</t>
        </is>
      </c>
      <c r="C1492" s="2" t="n"/>
      <c r="D1492" s="8" t="inlineStr">
        <is>
          <t>オフィディアカードケース</t>
        </is>
      </c>
      <c r="E1492" s="8" t="inlineStr">
        <is>
          <t>732018 UULBN 1244</t>
        </is>
      </c>
      <c r="G1492" s="10" t="inlineStr">
        <is>
          <t>OneSize</t>
        </is>
      </c>
      <c r="H1492" s="17" t="inlineStr">
        <is>
          <t>OneSize</t>
        </is>
      </c>
      <c r="I1492" s="18" t="n">
        <v>58300</v>
      </c>
      <c r="J1492" s="19" t="n">
        <v>58300</v>
      </c>
      <c r="K1492" s="20" t="n">
        <v>5</v>
      </c>
      <c r="L1492" s="4" t="inlineStr">
        <is>
          <t>https://www.gucci.com/jp/ja/pr/men/small-leather-goods-for-men/card-holders-coin-cases-for-men/ophidia-card-case-p-732018UULBN1244</t>
        </is>
      </c>
      <c r="M1492" s="5">
        <f t="array" ref="M1492">_xlfn.IFS(J1492="NOTFOUND",I1492,J1492&gt;=I1492,J1492)</f>
        <v/>
      </c>
    </row>
    <row r="1493" ht="18" customHeight="1" s="16">
      <c r="A1493" s="5" t="n">
        <v>1492</v>
      </c>
      <c r="B1493" s="8" t="inlineStr">
        <is>
          <t>GU-3744</t>
        </is>
      </c>
      <c r="C1493" s="2" t="n"/>
      <c r="D1493" s="8" t="inlineStr">
        <is>
          <t>オフィディア二つ折り ウォレット 財布</t>
        </is>
      </c>
      <c r="E1493" s="8" t="inlineStr">
        <is>
          <t>732016 UULBN 1244</t>
        </is>
      </c>
      <c r="G1493" s="10" t="inlineStr">
        <is>
          <t>OneSize</t>
        </is>
      </c>
      <c r="H1493" s="17" t="inlineStr">
        <is>
          <t>OneSize</t>
        </is>
      </c>
      <c r="I1493" s="18" t="n">
        <v>63800</v>
      </c>
      <c r="J1493" s="19" t="n">
        <v>63800</v>
      </c>
      <c r="K1493" s="20" t="n">
        <v>5</v>
      </c>
      <c r="L1493" s="4" t="inlineStr">
        <is>
          <t>https://www.gucci.com/jp/ja/pr/men/small-leather-goods-for-men/wallets-for-men/folded-wallets-for-men/ophidia-bi-fold-wallet-p-732016UULBN1244</t>
        </is>
      </c>
      <c r="M1493" s="5">
        <f t="array" ref="M1493">_xlfn.IFS(J1493="NOTFOUND",I1493,J1493&gt;=I1493,J1493)</f>
        <v/>
      </c>
    </row>
    <row r="1494" ht="18" customHeight="1" s="16">
      <c r="A1494" s="5" t="n">
        <v>1493</v>
      </c>
      <c r="B1494" s="8" t="inlineStr">
        <is>
          <t>GU-3745</t>
        </is>
      </c>
      <c r="C1494" s="2" t="n"/>
      <c r="D1494" s="8" t="inlineStr">
        <is>
          <t>オフィディアジップアラウンドウォレット 財布</t>
        </is>
      </c>
      <c r="E1494" s="8" t="inlineStr">
        <is>
          <t>706844 UULBN 1244</t>
        </is>
      </c>
      <c r="G1494" s="10" t="inlineStr">
        <is>
          <t>OneSize</t>
        </is>
      </c>
      <c r="H1494" s="17" t="inlineStr">
        <is>
          <t>OneSize</t>
        </is>
      </c>
      <c r="I1494" s="18" t="n">
        <v>105600</v>
      </c>
      <c r="J1494" s="19" t="n">
        <v>105600</v>
      </c>
      <c r="K1494" s="20" t="n">
        <v>5</v>
      </c>
      <c r="L1494" s="4" t="inlineStr">
        <is>
          <t>https://www.gucci.com/jp/ja/pr/men/small-leather-goods-for-men/wallets-for-men/zip-around-long-wallets-for-men/ophidia-zip-around-wallet-p-706844UULBN1244</t>
        </is>
      </c>
      <c r="M1494" s="5">
        <f t="array" ref="M1494">_xlfn.IFS(J1494="NOTFOUND",I1494,J1494&gt;=I1494,J1494)</f>
        <v/>
      </c>
    </row>
    <row r="1495" ht="18" customHeight="1" s="16">
      <c r="A1495" s="5" t="n">
        <v>1494</v>
      </c>
      <c r="B1495" s="8" t="inlineStr">
        <is>
          <t>GU-3746</t>
        </is>
      </c>
      <c r="C1495" s="2" t="n"/>
      <c r="D1495" s="8" t="inlineStr">
        <is>
          <t>オフィディアGG コインウォレット 財布</t>
        </is>
      </c>
      <c r="E1495" s="8" t="inlineStr">
        <is>
          <t>597609 UULBN 1244</t>
        </is>
      </c>
      <c r="G1495" s="10" t="inlineStr">
        <is>
          <t>OneSize</t>
        </is>
      </c>
      <c r="H1495" s="17" t="inlineStr">
        <is>
          <t>OneSize</t>
        </is>
      </c>
      <c r="I1495" s="18" t="n">
        <v>79200</v>
      </c>
      <c r="J1495" s="19" t="n">
        <v>79200</v>
      </c>
      <c r="K1495" s="20" t="n">
        <v>5</v>
      </c>
      <c r="L1495" s="4" t="inlineStr">
        <is>
          <t>https://www.gucci.com/jp/ja/pr/men/small-leather-goods-for-men/wallets-for-men/folded-wallets-for-men/ophidia-coin-wallet-p-597609UULBN1244</t>
        </is>
      </c>
      <c r="M1495" s="5">
        <f t="array" ref="M1495">_xlfn.IFS(J1495="NOTFOUND",I1495,J1495&gt;=I1495,J1495)</f>
        <v/>
      </c>
    </row>
    <row r="1496" ht="18" customHeight="1" s="16">
      <c r="A1496" s="5" t="n">
        <v>1495</v>
      </c>
      <c r="B1496" s="8" t="inlineStr">
        <is>
          <t>GU-3747</t>
        </is>
      </c>
      <c r="C1496" s="2" t="n"/>
      <c r="D1496" s="8" t="inlineStr">
        <is>
          <t>オフィディアロングウォレット 財布</t>
        </is>
      </c>
      <c r="E1496" s="8" t="inlineStr">
        <is>
          <t>791746 UULBN 1244</t>
        </is>
      </c>
      <c r="G1496" s="10" t="inlineStr">
        <is>
          <t>OneSize</t>
        </is>
      </c>
      <c r="H1496" s="17" t="inlineStr">
        <is>
          <t>OneSize</t>
        </is>
      </c>
      <c r="I1496" s="18" t="n">
        <v>96800</v>
      </c>
      <c r="J1496" s="19" t="n">
        <v>96800</v>
      </c>
      <c r="K1496" s="20" t="n">
        <v>5</v>
      </c>
      <c r="L1496" s="4" t="inlineStr">
        <is>
          <t>https://www.gucci.com/jp/ja/pr/men/small-leather-goods-for-men/ophidia-long-wallet-p-791746UULBN1244</t>
        </is>
      </c>
      <c r="M1496" s="5">
        <f t="array" ref="M1496">_xlfn.IFS(J1496="NOTFOUND",I1496,J1496&gt;=I1496,J1496)</f>
        <v/>
      </c>
    </row>
    <row r="1497" ht="18" customHeight="1" s="16">
      <c r="A1497" s="5" t="n">
        <v>1496</v>
      </c>
      <c r="B1497" s="8" t="inlineStr">
        <is>
          <t>GU-3748</t>
        </is>
      </c>
      <c r="C1497" s="2" t="n"/>
      <c r="D1497" s="8" t="inlineStr">
        <is>
          <t>オフィディアスモール ショルダーバッグ</t>
        </is>
      </c>
      <c r="E1497" s="8" t="inlineStr">
        <is>
          <t>771174 2ZGMN 1244</t>
        </is>
      </c>
      <c r="G1497" s="10" t="inlineStr">
        <is>
          <t>OneSize</t>
        </is>
      </c>
      <c r="H1497" s="17" t="inlineStr">
        <is>
          <t>OneSize</t>
        </is>
      </c>
      <c r="I1497" s="18" t="n">
        <v>209000</v>
      </c>
      <c r="J1497" s="19" t="n">
        <v>209000</v>
      </c>
      <c r="K1497" s="20" t="n">
        <v>5</v>
      </c>
      <c r="L1497" s="4" t="inlineStr">
        <is>
          <t>https://www.gucci.com/jp/ja/pr/men/small-leather-goods-for-men/mini-bags-pouches/mini-bags-for-men/ophidia-small-shoulder-bag-p-7711742ZGMN1244</t>
        </is>
      </c>
      <c r="M1497" s="5">
        <f t="array" ref="M1497">_xlfn.IFS(J1497="NOTFOUND",I1497,J1497&gt;=I1497,J1497)</f>
        <v/>
      </c>
    </row>
    <row r="1498" ht="18" customHeight="1" s="16">
      <c r="A1498" s="5" t="n">
        <v>1497</v>
      </c>
      <c r="B1498" s="8" t="inlineStr">
        <is>
          <t>GU-3749</t>
        </is>
      </c>
      <c r="C1498" s="2" t="n"/>
      <c r="D1498" s="8" t="inlineStr">
        <is>
          <t>ダブルG ロング ウォレット 財布</t>
        </is>
      </c>
      <c r="E1498" s="8" t="inlineStr">
        <is>
          <t>795166 DJ20T 1000</t>
        </is>
      </c>
      <c r="G1498" s="10" t="inlineStr">
        <is>
          <t>OneSize</t>
        </is>
      </c>
      <c r="H1498" s="17" t="inlineStr">
        <is>
          <t>OneSize</t>
        </is>
      </c>
      <c r="I1498" s="18" t="n">
        <v>114400</v>
      </c>
      <c r="J1498" s="19" t="n">
        <v>114400</v>
      </c>
      <c r="K1498" s="20" t="n">
        <v>5</v>
      </c>
      <c r="L1498" s="4" t="inlineStr">
        <is>
          <t>https://www.gucci.com/jp/ja/pr/men/small-leather-goods-for-men/wallets-for-men/zip-around-long-wallets-for-men/gg-marmont-long-wallet-p-795166DJ20T1000</t>
        </is>
      </c>
      <c r="M1498" s="5">
        <f t="array" ref="M1498">_xlfn.IFS(J1498="NOTFOUND",I1498,J1498&gt;=I1498,J1498)</f>
        <v/>
      </c>
    </row>
    <row r="1499" ht="18" customHeight="1" s="16">
      <c r="A1499" s="5" t="n">
        <v>1498</v>
      </c>
      <c r="B1499" s="8" t="inlineStr">
        <is>
          <t>GU-3750</t>
        </is>
      </c>
      <c r="C1499" s="2" t="n"/>
      <c r="D1499" s="8" t="inlineStr">
        <is>
          <t>ダブルG パスケース</t>
        </is>
      </c>
      <c r="E1499" s="8" t="inlineStr">
        <is>
          <t>657588 DJ20T 1000</t>
        </is>
      </c>
      <c r="G1499" s="10" t="inlineStr">
        <is>
          <t>OneSize</t>
        </is>
      </c>
      <c r="H1499" s="17" t="inlineStr">
        <is>
          <t>OneSize</t>
        </is>
      </c>
      <c r="I1499" s="18" t="n">
        <v>45100</v>
      </c>
      <c r="J1499" s="19" t="n">
        <v>45100</v>
      </c>
      <c r="K1499" s="20" t="n">
        <v>5</v>
      </c>
      <c r="L1499" s="4" t="inlineStr">
        <is>
          <t>https://www.gucci.com/jp/ja/pr/men/small-leather-goods-for-men/card-holders-coin-cases-for-men/gg-marmont-card-case-p-657588DJ20T1000</t>
        </is>
      </c>
      <c r="M1499" s="5">
        <f t="array" ref="M1499">_xlfn.IFS(J1499="NOTFOUND",I1499,J1499&gt;=I1499,J1499)</f>
        <v/>
      </c>
    </row>
    <row r="1500" ht="18" customHeight="1" s="16">
      <c r="A1500" s="5" t="n">
        <v>1499</v>
      </c>
      <c r="B1500" s="8" t="inlineStr">
        <is>
          <t>GU-3751</t>
        </is>
      </c>
      <c r="C1500" s="2" t="n"/>
      <c r="D1500" s="8" t="inlineStr">
        <is>
          <t>ダブルG 二つ折り カードケース ウォレット 財布</t>
        </is>
      </c>
      <c r="E1500" s="8" t="inlineStr">
        <is>
          <t>428726 DJ20T 1000</t>
        </is>
      </c>
      <c r="G1500" s="10" t="inlineStr">
        <is>
          <t>OneSize</t>
        </is>
      </c>
      <c r="H1500" s="17" t="inlineStr">
        <is>
          <t>OneSize</t>
        </is>
      </c>
      <c r="I1500" s="18" t="n">
        <v>81400</v>
      </c>
      <c r="J1500" s="19" t="n">
        <v>81400</v>
      </c>
      <c r="K1500" s="20" t="n">
        <v>5</v>
      </c>
      <c r="L1500" s="4" t="inlineStr">
        <is>
          <t>https://www.gucci.com/jp/ja/pr/men/small-leather-goods-for-men/wallets-for-men/folded-wallets-for-men/gg-marmont-bi-fold-card-case-wallet-p-428726DJ20T1000</t>
        </is>
      </c>
      <c r="M1500" s="5">
        <f t="array" ref="M1500">_xlfn.IFS(J1500="NOTFOUND",I1500,J1500&gt;=I1500,J1500)</f>
        <v/>
      </c>
    </row>
    <row r="1501" ht="18" customHeight="1" s="16">
      <c r="A1501" s="5" t="n">
        <v>1500</v>
      </c>
      <c r="B1501" s="8" t="inlineStr">
        <is>
          <t>GU-3752</t>
        </is>
      </c>
      <c r="C1501" s="2" t="n"/>
      <c r="D1501" s="8" t="inlineStr">
        <is>
          <t>GGエンブレム二つ折りカードケース</t>
        </is>
      </c>
      <c r="E1501" s="8" t="inlineStr">
        <is>
          <t>821214 FAD6M 1000</t>
        </is>
      </c>
      <c r="G1501" s="10" t="inlineStr">
        <is>
          <t>OneSize</t>
        </is>
      </c>
      <c r="H1501" s="17" t="inlineStr">
        <is>
          <t>OneSize</t>
        </is>
      </c>
      <c r="I1501" s="18" t="n">
        <v>45100</v>
      </c>
      <c r="J1501" s="19" t="n">
        <v>45100</v>
      </c>
      <c r="K1501" s="20" t="n">
        <v>5</v>
      </c>
      <c r="L1501" s="4" t="inlineStr">
        <is>
          <t>https://www.gucci.com/jp/ja/pr/men/small-leather-goods-for-men/card-holders-coin-cases-for-men/gg-emblem-bi-fold-card-case-p-821214FAD6M1000</t>
        </is>
      </c>
      <c r="M1501" s="5">
        <f t="array" ref="M1501">_xlfn.IFS(J1501="NOTFOUND",I1501,J1501&gt;=I1501,J1501)</f>
        <v/>
      </c>
    </row>
    <row r="1502" ht="18" customHeight="1" s="16">
      <c r="A1502" s="5" t="n">
        <v>1501</v>
      </c>
      <c r="B1502" s="8" t="inlineStr">
        <is>
          <t>GU-3753</t>
        </is>
      </c>
      <c r="C1502" s="2" t="n"/>
      <c r="D1502" s="8" t="inlineStr">
        <is>
          <t>GGエンブレムロングウォレット 財布</t>
        </is>
      </c>
      <c r="E1502" s="8" t="inlineStr">
        <is>
          <t>821213 FAD6M 1000</t>
        </is>
      </c>
      <c r="G1502" s="10" t="inlineStr">
        <is>
          <t>OneSize</t>
        </is>
      </c>
      <c r="H1502" s="17" t="inlineStr">
        <is>
          <t>OneSize</t>
        </is>
      </c>
      <c r="I1502" s="18" t="n">
        <v>96800</v>
      </c>
      <c r="J1502" s="19" t="n">
        <v>96800</v>
      </c>
      <c r="K1502" s="20" t="n">
        <v>5</v>
      </c>
      <c r="L1502" s="4" t="inlineStr">
        <is>
          <t>https://www.gucci.com/jp/ja/pr/men/small-leather-goods-for-men/wallets-for-men/zip-around-long-wallets-for-men/gg-emblem-long-wallet-p-821213FAD6M1000</t>
        </is>
      </c>
      <c r="M1502" s="5">
        <f t="array" ref="M1502">_xlfn.IFS(J1502="NOTFOUND",I1502,J1502&gt;=I1502,J1502)</f>
        <v/>
      </c>
    </row>
    <row r="1503" ht="18" customHeight="1" s="16">
      <c r="A1503" s="5" t="n">
        <v>1502</v>
      </c>
      <c r="B1503" s="8" t="inlineStr">
        <is>
          <t>GU-3754</t>
        </is>
      </c>
      <c r="C1503" s="2" t="n"/>
      <c r="D1503" s="8" t="inlineStr">
        <is>
          <t>GGエンブレムカードケース</t>
        </is>
      </c>
      <c r="E1503" s="8" t="inlineStr">
        <is>
          <t>821208 FAD6M 1000</t>
        </is>
      </c>
      <c r="G1503" s="10" t="inlineStr">
        <is>
          <t>OneSize</t>
        </is>
      </c>
      <c r="H1503" s="17" t="inlineStr">
        <is>
          <t>OneSize</t>
        </is>
      </c>
      <c r="I1503" s="18" t="n">
        <v>58300</v>
      </c>
      <c r="J1503" s="19" t="n">
        <v>58300</v>
      </c>
      <c r="K1503" s="20" t="n">
        <v>5</v>
      </c>
      <c r="L1503" s="4" t="inlineStr">
        <is>
          <t>https://www.gucci.com/jp/ja/pr/men/small-leather-goods-for-men/card-holders-coin-cases-for-men/gg-emblem-card-case-p-821208FAD6M1000</t>
        </is>
      </c>
      <c r="M1503" s="5">
        <f t="array" ref="M1503">_xlfn.IFS(J1503="NOTFOUND",I1503,J1503&gt;=I1503,J1503)</f>
        <v/>
      </c>
    </row>
    <row r="1504" ht="18" customHeight="1" s="16">
      <c r="A1504" s="5" t="n">
        <v>1503</v>
      </c>
      <c r="B1504" s="8" t="inlineStr">
        <is>
          <t>GU-3755</t>
        </is>
      </c>
      <c r="C1504" s="2" t="n"/>
      <c r="D1504" s="8" t="inlineStr">
        <is>
          <t>GGエンブレムエンボス カードケース</t>
        </is>
      </c>
      <c r="E1504" s="8" t="inlineStr">
        <is>
          <t>818956 AAEQ8 1000</t>
        </is>
      </c>
      <c r="G1504" s="10" t="inlineStr">
        <is>
          <t>OneSize</t>
        </is>
      </c>
      <c r="H1504" s="17" t="inlineStr">
        <is>
          <t>OneSize</t>
        </is>
      </c>
      <c r="I1504" s="18" t="n">
        <v>57200</v>
      </c>
      <c r="J1504" s="19" t="n">
        <v>57200</v>
      </c>
      <c r="K1504" s="20" t="n">
        <v>5</v>
      </c>
      <c r="L1504" s="4" t="inlineStr">
        <is>
          <t>https://www.gucci.com/jp/ja/pr/men/small-leather-goods-for-men/card-holders-coin-cases-for-men/gg-emblem-embossed-card-case-p-818956AAEQ81000</t>
        </is>
      </c>
      <c r="M1504" s="5">
        <f t="array" ref="M1504">_xlfn.IFS(J1504="NOTFOUND",I1504,J1504&gt;=I1504,J1504)</f>
        <v/>
      </c>
    </row>
    <row r="1505" ht="18" customHeight="1" s="16">
      <c r="A1505" s="5" t="n">
        <v>1504</v>
      </c>
      <c r="B1505" s="8" t="inlineStr">
        <is>
          <t>GU-3756</t>
        </is>
      </c>
      <c r="C1505" s="2" t="n"/>
      <c r="D1505" s="8" t="inlineStr">
        <is>
          <t>GGエンブレムエンボス ロングウォレット 財布</t>
        </is>
      </c>
      <c r="E1505" s="8" t="inlineStr">
        <is>
          <t>818955 AAEQ8 1000</t>
        </is>
      </c>
      <c r="G1505" s="10" t="inlineStr">
        <is>
          <t>OneSize</t>
        </is>
      </c>
      <c r="H1505" s="17" t="inlineStr">
        <is>
          <t>OneSize</t>
        </is>
      </c>
      <c r="I1505" s="18" t="n">
        <v>118800</v>
      </c>
      <c r="J1505" s="19" t="n">
        <v>118800</v>
      </c>
      <c r="K1505" s="20" t="n">
        <v>5</v>
      </c>
      <c r="L1505" s="4" t="inlineStr">
        <is>
          <t>https://www.gucci.com/jp/ja/pr/men/small-leather-goods-for-men/wallets-for-men/zip-around-long-wallets-for-men/gg-emblem-long-embossed-wallet-p-818955AAEQ81000</t>
        </is>
      </c>
      <c r="M1505" s="5">
        <f t="array" ref="M1505">_xlfn.IFS(J1505="NOTFOUND",I1505,J1505&gt;=I1505,J1505)</f>
        <v/>
      </c>
    </row>
    <row r="1506" ht="18" customHeight="1" s="16">
      <c r="A1506" s="5" t="n">
        <v>1505</v>
      </c>
      <c r="B1506" s="8" t="inlineStr">
        <is>
          <t>GU-3757</t>
        </is>
      </c>
      <c r="C1506" s="2" t="n"/>
      <c r="D1506" s="8" t="inlineStr">
        <is>
          <t>GGエンブレムエンボス 二つ折りウォレット 財布</t>
        </is>
      </c>
      <c r="E1506" s="8" t="inlineStr">
        <is>
          <t>818946 AAEQ8 1000</t>
        </is>
      </c>
      <c r="G1506" s="10" t="inlineStr">
        <is>
          <t>OneSize</t>
        </is>
      </c>
      <c r="H1506" s="17" t="inlineStr">
        <is>
          <t>OneSize</t>
        </is>
      </c>
      <c r="I1506" s="18" t="n">
        <v>82500</v>
      </c>
      <c r="J1506" s="19" t="n">
        <v>82500</v>
      </c>
      <c r="K1506" s="20" t="n">
        <v>5</v>
      </c>
      <c r="L1506" s="4" t="inlineStr">
        <is>
          <t>https://www.gucci.com/jp/ja/pr/men/small-leather-goods-for-men/wallets-for-men/folded-wallets-for-men/gg-emblem-bi-fold-embossed-wallet-p-818946AAEQ81000</t>
        </is>
      </c>
      <c r="M1506" s="5">
        <f t="array" ref="M1506">_xlfn.IFS(J1506="NOTFOUND",I1506,J1506&gt;=I1506,J1506)</f>
        <v/>
      </c>
    </row>
    <row r="1507" ht="18" customHeight="1" s="16">
      <c r="A1507" s="5" t="n">
        <v>1506</v>
      </c>
      <c r="B1507" s="8" t="inlineStr">
        <is>
          <t>GU-3758</t>
        </is>
      </c>
      <c r="C1507" s="2" t="n"/>
      <c r="D1507" s="8" t="inlineStr">
        <is>
          <t>ロゴ ジップアラウンドウォレット 財布</t>
        </is>
      </c>
      <c r="E1507" s="8" t="inlineStr">
        <is>
          <t>822043 AABXM 1000</t>
        </is>
      </c>
      <c r="G1507" s="11" t="inlineStr">
        <is>
          <t>SOLD</t>
        </is>
      </c>
      <c r="H1507" s="22" t="inlineStr">
        <is>
          <t>SOLD</t>
        </is>
      </c>
      <c r="I1507" s="18" t="n">
        <v>124300</v>
      </c>
      <c r="J1507" s="23" t="inlineStr">
        <is>
          <t>NOTFOUND</t>
        </is>
      </c>
      <c r="K1507" s="20" t="n">
        <v>0</v>
      </c>
      <c r="L1507" s="4" t="inlineStr">
        <is>
          <t>https://www.gucci.com/jp/ja/pr/men/small-leather-goods-for-men/wallets-for-men/zip-around-long-wallets-for-men/zip-around-wallet-with-gucci-logo-p-822043AABXM1000</t>
        </is>
      </c>
      <c r="M1507" s="5">
        <f t="array" ref="M1507">_xlfn.IFS(J1507="NOTFOUND",I1507,J1507&gt;=I1507,J1507)</f>
        <v/>
      </c>
    </row>
    <row r="1508" ht="18" customHeight="1" s="16">
      <c r="A1508" s="5" t="n">
        <v>1507</v>
      </c>
      <c r="B1508" s="8" t="inlineStr">
        <is>
          <t>GU-3759</t>
        </is>
      </c>
      <c r="C1508" s="2" t="n"/>
      <c r="D1508" s="8" t="inlineStr">
        <is>
          <t>ロゴ パスポートケース</t>
        </is>
      </c>
      <c r="E1508" s="8" t="inlineStr">
        <is>
          <t>795288 AABXM 1000</t>
        </is>
      </c>
      <c r="G1508" s="10" t="inlineStr">
        <is>
          <t>OneSize</t>
        </is>
      </c>
      <c r="H1508" s="17" t="inlineStr">
        <is>
          <t>OneSize</t>
        </is>
      </c>
      <c r="I1508" s="18" t="n">
        <v>58300</v>
      </c>
      <c r="J1508" s="19" t="n">
        <v>58300</v>
      </c>
      <c r="K1508" s="20" t="n">
        <v>5</v>
      </c>
      <c r="L1508" s="4" t="inlineStr">
        <is>
          <t>https://www.gucci.com/jp/ja/pr/men/small-leather-goods-for-men/wallets-for-men/folded-wallets-for-men/passport-case-with-gucci-logo-p-795288AABXM1000</t>
        </is>
      </c>
      <c r="M1508" s="5">
        <f t="array" ref="M1508">_xlfn.IFS(J1508="NOTFOUND",I1508,J1508&gt;=I1508,J1508)</f>
        <v/>
      </c>
    </row>
    <row r="1509" ht="18" customHeight="1" s="16">
      <c r="A1509" s="5" t="n">
        <v>1508</v>
      </c>
      <c r="B1509" s="8" t="inlineStr">
        <is>
          <t>GU-3760</t>
        </is>
      </c>
      <c r="C1509" s="2" t="n"/>
      <c r="D1509" s="8" t="inlineStr">
        <is>
          <t>コインウォレット 財布ホワイト インテリア</t>
        </is>
      </c>
      <c r="E1509" s="8" t="inlineStr">
        <is>
          <t>795286 AAEBR 7541</t>
        </is>
      </c>
      <c r="G1509" s="10" t="inlineStr">
        <is>
          <t>OneSize</t>
        </is>
      </c>
      <c r="H1509" s="17" t="inlineStr">
        <is>
          <t>OneSize</t>
        </is>
      </c>
      <c r="I1509" s="18" t="n">
        <v>79200</v>
      </c>
      <c r="J1509" s="19" t="n">
        <v>79200</v>
      </c>
      <c r="K1509" s="20" t="n">
        <v>5</v>
      </c>
      <c r="L1509" s="4" t="inlineStr">
        <is>
          <t>https://www.gucci.com/jp/ja/pr/men/small-leather-goods-for-men/card-holders-coin-cases-for-men/white-interior-coin-wallet-p-795286AAEBR7541</t>
        </is>
      </c>
      <c r="M1509" s="5">
        <f t="array" ref="M1509">_xlfn.IFS(J1509="NOTFOUND",I1509,J1509&gt;=I1509,J1509)</f>
        <v/>
      </c>
    </row>
    <row r="1510" ht="18" customHeight="1" s="16">
      <c r="A1510" s="5" t="n">
        <v>1509</v>
      </c>
      <c r="B1510" s="8" t="inlineStr">
        <is>
          <t>GU-3761</t>
        </is>
      </c>
      <c r="C1510" s="2" t="n"/>
      <c r="D1510" s="8" t="inlineStr">
        <is>
          <t>スクリプト ジップ キーケース</t>
        </is>
      </c>
      <c r="E1510" s="8" t="inlineStr">
        <is>
          <t>790102 0OP0N 1000</t>
        </is>
      </c>
      <c r="G1510" s="11" t="inlineStr">
        <is>
          <t>SOLD</t>
        </is>
      </c>
      <c r="H1510" s="22" t="inlineStr">
        <is>
          <t>SOLD</t>
        </is>
      </c>
      <c r="I1510" s="18" t="n">
        <v>58300</v>
      </c>
      <c r="J1510" s="23" t="inlineStr">
        <is>
          <t>NOTFOUND</t>
        </is>
      </c>
      <c r="K1510" s="20" t="n">
        <v>0</v>
      </c>
      <c r="L1510" s="4" t="inlineStr">
        <is>
          <t>https://www.gucci.com/jp/ja/pr/women/small-leather-goods-for-women/gucci-reccomendation/zip-key-case-with-gucci-script-p-7901020OP0N1000</t>
        </is>
      </c>
      <c r="M1510" s="5">
        <f t="array" ref="M1510">_xlfn.IFS(J1510="NOTFOUND",I1510,J1510&gt;=I1510,J1510)</f>
        <v/>
      </c>
    </row>
    <row r="1511" ht="18" customHeight="1" s="16">
      <c r="A1511" s="5" t="n">
        <v>1510</v>
      </c>
      <c r="B1511" s="8" t="inlineStr">
        <is>
          <t>GU-3762</t>
        </is>
      </c>
      <c r="C1511" s="2" t="n"/>
      <c r="D1511" s="8" t="inlineStr">
        <is>
          <t>スクリプト カードケース</t>
        </is>
      </c>
      <c r="E1511" s="8" t="inlineStr">
        <is>
          <t>790101 0OP0N 1000</t>
        </is>
      </c>
      <c r="G1511" s="11" t="inlineStr">
        <is>
          <t>SOLD</t>
        </is>
      </c>
      <c r="H1511" s="22" t="inlineStr">
        <is>
          <t>SOLD</t>
        </is>
      </c>
      <c r="I1511" s="18" t="n">
        <v>53900</v>
      </c>
      <c r="J1511" s="23" t="inlineStr">
        <is>
          <t>NOTFOUND</t>
        </is>
      </c>
      <c r="K1511" s="20" t="n">
        <v>0</v>
      </c>
      <c r="L1511" s="4" t="inlineStr">
        <is>
          <t>https://www.gucci.com/jp/ja/pr/women/small-leather-goods-for-women/card-coin-cases-for-women/card-case-with-gucci-script-p-7901010OP0N1000</t>
        </is>
      </c>
      <c r="M1511" s="5">
        <f t="array" ref="M1511">_xlfn.IFS(J1511="NOTFOUND",I1511,J1511&gt;=I1511,J1511)</f>
        <v/>
      </c>
    </row>
    <row r="1512" ht="18" customHeight="1" s="16">
      <c r="A1512" s="5" t="n">
        <v>1511</v>
      </c>
      <c r="B1512" s="8" t="inlineStr">
        <is>
          <t>GU-3763</t>
        </is>
      </c>
      <c r="C1512" s="2" t="n"/>
      <c r="D1512" s="8" t="inlineStr">
        <is>
          <t>ロゴ カードケース</t>
        </is>
      </c>
      <c r="E1512" s="8" t="inlineStr">
        <is>
          <t>771157 AABXM 1000</t>
        </is>
      </c>
      <c r="G1512" s="10" t="inlineStr">
        <is>
          <t>OneSize</t>
        </is>
      </c>
      <c r="H1512" s="17" t="inlineStr">
        <is>
          <t>OneSize</t>
        </is>
      </c>
      <c r="I1512" s="18" t="n">
        <v>45100</v>
      </c>
      <c r="J1512" s="19" t="n">
        <v>45100</v>
      </c>
      <c r="K1512" s="20" t="n">
        <v>5</v>
      </c>
      <c r="L1512" s="4" t="inlineStr">
        <is>
          <t>https://www.gucci.com/jp/ja/pr/men/small-leather-goods-for-men/card-holders-coin-cases-for-men/card-case-with-gucci-logo-p-771157AABXM1000</t>
        </is>
      </c>
      <c r="M1512" s="5">
        <f t="array" ref="M1512">_xlfn.IFS(J1512="NOTFOUND",I1512,J1512&gt;=I1512,J1512)</f>
        <v/>
      </c>
    </row>
    <row r="1513" ht="18" customHeight="1" s="16">
      <c r="A1513" s="5" t="n">
        <v>1512</v>
      </c>
      <c r="B1513" s="8" t="inlineStr">
        <is>
          <t>GU-3764</t>
        </is>
      </c>
      <c r="C1513" s="2" t="n"/>
      <c r="D1513" s="8" t="inlineStr">
        <is>
          <t>ロゴ キーホルダー</t>
        </is>
      </c>
      <c r="E1513" s="8" t="inlineStr">
        <is>
          <t>771156 AABXM 1000</t>
        </is>
      </c>
      <c r="G1513" s="11" t="inlineStr">
        <is>
          <t>SOLD</t>
        </is>
      </c>
      <c r="H1513" s="17" t="inlineStr">
        <is>
          <t>OneSize</t>
        </is>
      </c>
      <c r="I1513" s="18" t="n">
        <v>56100</v>
      </c>
      <c r="J1513" s="19" t="n">
        <v>56100</v>
      </c>
      <c r="K1513" s="20" t="n">
        <v>5</v>
      </c>
      <c r="L1513" s="4" t="inlineStr">
        <is>
          <t>https://www.gucci.com/jp/ja/pr/men/small-leather-goods-for-men/key-rings-key-cases-for-men/keyholder-with-gucci-logo-p-771156AABXM1000</t>
        </is>
      </c>
      <c r="M1513" s="5">
        <f t="array" ref="M1513">_xlfn.IFS(J1513="NOTFOUND",I1513,J1513&gt;=I1513,J1513)</f>
        <v/>
      </c>
    </row>
    <row r="1514" ht="18" customHeight="1" s="16">
      <c r="A1514" s="5" t="n">
        <v>1513</v>
      </c>
      <c r="B1514" s="8" t="inlineStr">
        <is>
          <t>GU-3765</t>
        </is>
      </c>
      <c r="C1514" s="2" t="n"/>
      <c r="D1514" s="8" t="inlineStr">
        <is>
          <t>ロゴ スモール ポーチ</t>
        </is>
      </c>
      <c r="E1514" s="8" t="inlineStr">
        <is>
          <t>771155 AABXM 1000</t>
        </is>
      </c>
      <c r="G1514" s="10" t="inlineStr">
        <is>
          <t>OneSize</t>
        </is>
      </c>
      <c r="H1514" s="17" t="inlineStr">
        <is>
          <t>OneSize</t>
        </is>
      </c>
      <c r="I1514" s="18" t="n">
        <v>168300</v>
      </c>
      <c r="J1514" s="19" t="n">
        <v>168300</v>
      </c>
      <c r="K1514" s="20" t="n">
        <v>5</v>
      </c>
      <c r="L1514" s="4" t="inlineStr">
        <is>
          <t>https://www.gucci.com/jp/ja/pr/men/small-leather-goods-for-men/mini-bags-pouches/pouches-for-men/small-pouch-with-gucci-logo-p-771155AABXM1000</t>
        </is>
      </c>
      <c r="M1514" s="5">
        <f t="array" ref="M1514">_xlfn.IFS(J1514="NOTFOUND",I1514,J1514&gt;=I1514,J1514)</f>
        <v/>
      </c>
    </row>
    <row r="1515" ht="18" customHeight="1" s="16">
      <c r="A1515" s="5" t="n">
        <v>1514</v>
      </c>
      <c r="B1515" s="8" t="inlineStr">
        <is>
          <t>GU-3766</t>
        </is>
      </c>
      <c r="C1515" s="2" t="n"/>
      <c r="D1515" s="8" t="inlineStr">
        <is>
          <t>ロゴ ジップアラウンドウォレット 財布</t>
        </is>
      </c>
      <c r="E1515" s="8" t="inlineStr">
        <is>
          <t>771154 AABXM 1000</t>
        </is>
      </c>
      <c r="G1515" s="10" t="inlineStr">
        <is>
          <t>OneSize</t>
        </is>
      </c>
      <c r="H1515" s="17" t="inlineStr">
        <is>
          <t>OneSize</t>
        </is>
      </c>
      <c r="I1515" s="18" t="n">
        <v>124300</v>
      </c>
      <c r="J1515" s="19" t="n">
        <v>124300</v>
      </c>
      <c r="K1515" s="20" t="n">
        <v>5</v>
      </c>
      <c r="L1515" s="4" t="inlineStr">
        <is>
          <t>https://www.gucci.com/jp/ja/pr/men/small-leather-goods-for-men/wallets-for-men/zip-around-long-wallets-for-men/zip-around-wallet-with-gucci-logo-p-771154AABXM1000</t>
        </is>
      </c>
      <c r="M1515" s="5">
        <f t="array" ref="M1515">_xlfn.IFS(J1515="NOTFOUND",I1515,J1515&gt;=I1515,J1515)</f>
        <v/>
      </c>
    </row>
    <row r="1516" ht="18" customHeight="1" s="16">
      <c r="A1516" s="5" t="n">
        <v>1515</v>
      </c>
      <c r="B1516" s="8" t="inlineStr">
        <is>
          <t>GU-3767</t>
        </is>
      </c>
      <c r="C1516" s="2" t="n"/>
      <c r="D1516" s="8" t="inlineStr">
        <is>
          <t>ロゴ ジップアラウンドウォレット 財布</t>
        </is>
      </c>
      <c r="E1516" s="8" t="inlineStr">
        <is>
          <t>771154 AADD8 7227</t>
        </is>
      </c>
      <c r="G1516" s="10" t="inlineStr">
        <is>
          <t>OneSize</t>
        </is>
      </c>
      <c r="H1516" s="17" t="inlineStr">
        <is>
          <t>OneSize</t>
        </is>
      </c>
      <c r="I1516" s="18" t="n">
        <v>124300</v>
      </c>
      <c r="J1516" s="19" t="n">
        <v>124300</v>
      </c>
      <c r="K1516" s="20" t="n">
        <v>5</v>
      </c>
      <c r="L1516" s="4" t="inlineStr">
        <is>
          <t>https://www.gucci.com/jp/ja/pr/men/small-leather-goods-for-men/wallets-for-men/zip-around-long-wallets-for-men/zip-around-wallet-with-gucci-logo-p-771154AADD87227</t>
        </is>
      </c>
      <c r="M1516" s="5">
        <f t="array" ref="M1516">_xlfn.IFS(J1516="NOTFOUND",I1516,J1516&gt;=I1516,J1516)</f>
        <v/>
      </c>
    </row>
    <row r="1517" ht="18" customHeight="1" s="16">
      <c r="A1517" s="5" t="n">
        <v>1516</v>
      </c>
      <c r="B1517" s="8" t="inlineStr">
        <is>
          <t>GU-3768</t>
        </is>
      </c>
      <c r="C1517" s="2" t="n"/>
      <c r="D1517" s="8" t="inlineStr">
        <is>
          <t>ロゴ ジップアラウンドウォレット 財布</t>
        </is>
      </c>
      <c r="E1517" s="8" t="inlineStr">
        <is>
          <t>771154 AADD8 4913</t>
        </is>
      </c>
      <c r="G1517" s="10" t="inlineStr">
        <is>
          <t>OneSize</t>
        </is>
      </c>
      <c r="H1517" s="17" t="inlineStr">
        <is>
          <t>OneSize</t>
        </is>
      </c>
      <c r="I1517" s="18" t="n">
        <v>124300</v>
      </c>
      <c r="J1517" s="19" t="n">
        <v>124300</v>
      </c>
      <c r="K1517" s="20" t="n">
        <v>5</v>
      </c>
      <c r="L1517" s="4" t="inlineStr">
        <is>
          <t>https://www.gucci.com/jp/ja/pr/men/small-leather-goods-for-men/wallets-for-men/zip-around-long-wallets-for-men/zip-around-wallet-with-gucci-logo-p-771154AADD84913</t>
        </is>
      </c>
      <c r="M1517" s="5">
        <f t="array" ref="M1517">_xlfn.IFS(J1517="NOTFOUND",I1517,J1517&gt;=I1517,J1517)</f>
        <v/>
      </c>
    </row>
    <row r="1518" ht="18" customHeight="1" s="16">
      <c r="A1518" s="5" t="n">
        <v>1517</v>
      </c>
      <c r="B1518" s="8" t="inlineStr">
        <is>
          <t>GU-3769</t>
        </is>
      </c>
      <c r="C1518" s="2" t="n"/>
      <c r="D1518" s="8" t="inlineStr">
        <is>
          <t>ジップアラウンドウォレット 財布ホワイト インテリア</t>
        </is>
      </c>
      <c r="E1518" s="8" t="inlineStr">
        <is>
          <t>771154 AAEBR 7541</t>
        </is>
      </c>
      <c r="G1518" s="10" t="inlineStr">
        <is>
          <t>OneSize</t>
        </is>
      </c>
      <c r="H1518" s="17" t="inlineStr">
        <is>
          <t>OneSize</t>
        </is>
      </c>
      <c r="I1518" s="18" t="n">
        <v>124300</v>
      </c>
      <c r="J1518" s="19" t="n">
        <v>124300</v>
      </c>
      <c r="K1518" s="20" t="n">
        <v>5</v>
      </c>
      <c r="L1518" s="4" t="inlineStr">
        <is>
          <t>https://www.gucci.com/jp/ja/pr/men/small-leather-goods-for-men/wallets-for-men/zip-around-long-wallets-for-men/white-interior-zip-around-wallet-p-771154AAEBR7541</t>
        </is>
      </c>
      <c r="M1518" s="5">
        <f t="array" ref="M1518">_xlfn.IFS(J1518="NOTFOUND",I1518,J1518&gt;=I1518,J1518)</f>
        <v/>
      </c>
    </row>
    <row r="1519" ht="18" customHeight="1" s="16">
      <c r="A1519" s="5" t="n">
        <v>1518</v>
      </c>
      <c r="B1519" s="8" t="inlineStr">
        <is>
          <t>GU-3770</t>
        </is>
      </c>
      <c r="C1519" s="2" t="n"/>
      <c r="D1519" s="8" t="inlineStr">
        <is>
          <t>ロゴ 二つ折りウォレット 財布</t>
        </is>
      </c>
      <c r="E1519" s="8" t="inlineStr">
        <is>
          <t>771153 AABXM 1000</t>
        </is>
      </c>
      <c r="G1519" s="10" t="inlineStr">
        <is>
          <t>OneSize</t>
        </is>
      </c>
      <c r="H1519" s="17" t="inlineStr">
        <is>
          <t>OneSize</t>
        </is>
      </c>
      <c r="I1519" s="18" t="n">
        <v>84700</v>
      </c>
      <c r="J1519" s="19" t="n">
        <v>84700</v>
      </c>
      <c r="K1519" s="20" t="n">
        <v>5</v>
      </c>
      <c r="L1519" s="4" t="inlineStr">
        <is>
          <t>https://www.gucci.com/jp/ja/pr/men/small-leather-goods-for-men/wallets-for-men/folded-wallets-for-men/bi-fold-wallet-with-gucci-logo-p-771153AABXM1000</t>
        </is>
      </c>
      <c r="M1519" s="5">
        <f t="array" ref="M1519">_xlfn.IFS(J1519="NOTFOUND",I1519,J1519&gt;=I1519,J1519)</f>
        <v/>
      </c>
    </row>
    <row r="1520" ht="18" customHeight="1" s="16">
      <c r="A1520" s="5" t="n">
        <v>1519</v>
      </c>
      <c r="B1520" s="8" t="inlineStr">
        <is>
          <t>GU-3771</t>
        </is>
      </c>
      <c r="C1520" s="2" t="n"/>
      <c r="D1520" s="8" t="inlineStr">
        <is>
          <t>ロゴ カードケース</t>
        </is>
      </c>
      <c r="E1520" s="8" t="inlineStr">
        <is>
          <t>771152 AABXM 1000</t>
        </is>
      </c>
      <c r="G1520" s="10" t="inlineStr">
        <is>
          <t>OneSize</t>
        </is>
      </c>
      <c r="H1520" s="17" t="inlineStr">
        <is>
          <t>OneSize</t>
        </is>
      </c>
      <c r="I1520" s="18" t="n">
        <v>56100</v>
      </c>
      <c r="J1520" s="19" t="n">
        <v>56100</v>
      </c>
      <c r="K1520" s="20" t="n">
        <v>5</v>
      </c>
      <c r="L1520" s="4" t="inlineStr">
        <is>
          <t>https://www.gucci.com/jp/ja/pr/men/small-leather-goods-for-men/card-holders-coin-cases-for-men/long-card-case-wallet-with-gucci-logo-p-771152AABXM1000</t>
        </is>
      </c>
      <c r="M1520" s="5">
        <f t="array" ref="M1520">_xlfn.IFS(J1520="NOTFOUND",I1520,J1520&gt;=I1520,J1520)</f>
        <v/>
      </c>
    </row>
    <row r="1521" ht="18" customHeight="1" s="16">
      <c r="A1521" s="5" t="n">
        <v>1520</v>
      </c>
      <c r="B1521" s="8" t="inlineStr">
        <is>
          <t>GU-3772</t>
        </is>
      </c>
      <c r="C1521" s="2" t="n"/>
      <c r="D1521" s="8" t="inlineStr">
        <is>
          <t>ロゴ ロング コインウォレット 財布</t>
        </is>
      </c>
      <c r="E1521" s="8" t="inlineStr">
        <is>
          <t>771151 AABXM 1000</t>
        </is>
      </c>
      <c r="G1521" s="10" t="inlineStr">
        <is>
          <t>OneSize</t>
        </is>
      </c>
      <c r="H1521" s="17" t="inlineStr">
        <is>
          <t>OneSize</t>
        </is>
      </c>
      <c r="I1521" s="18" t="n">
        <v>101200</v>
      </c>
      <c r="J1521" s="19" t="n">
        <v>101200</v>
      </c>
      <c r="K1521" s="20" t="n">
        <v>5</v>
      </c>
      <c r="L1521" s="4" t="inlineStr">
        <is>
          <t>https://www.gucci.com/jp/ja/pr/men/small-leather-goods-for-men/long-coin-wallet-with-gucci-logo-p-771151AABXM1000</t>
        </is>
      </c>
      <c r="M1521" s="5">
        <f t="array" ref="M1521">_xlfn.IFS(J1521="NOTFOUND",I1521,J1521&gt;=I1521,J1521)</f>
        <v/>
      </c>
    </row>
    <row r="1522" ht="18" customHeight="1" s="16">
      <c r="A1522" s="5" t="n">
        <v>1521</v>
      </c>
      <c r="B1522" s="8" t="inlineStr">
        <is>
          <t>GU-3773</t>
        </is>
      </c>
      <c r="C1522" s="2" t="n"/>
      <c r="D1522" s="8" t="inlineStr">
        <is>
          <t>ロゴ 二つ折りウォレット 財布</t>
        </is>
      </c>
      <c r="E1522" s="8" t="inlineStr">
        <is>
          <t>771148 AABXM 1000</t>
        </is>
      </c>
      <c r="G1522" s="10" t="inlineStr">
        <is>
          <t>OneSize</t>
        </is>
      </c>
      <c r="H1522" s="17" t="inlineStr">
        <is>
          <t>OneSize</t>
        </is>
      </c>
      <c r="I1522" s="18" t="n">
        <v>79200</v>
      </c>
      <c r="J1522" s="19" t="n">
        <v>79200</v>
      </c>
      <c r="K1522" s="20" t="n">
        <v>5</v>
      </c>
      <c r="L1522" s="4" t="inlineStr">
        <is>
          <t>https://www.gucci.com/jp/ja/pr/men/small-leather-goods-for-men/wallets-for-men/folded-wallets-for-men/bi-fold-wallet-with-gucci-logo-p-771148AABXM1000</t>
        </is>
      </c>
      <c r="M1522" s="5">
        <f t="array" ref="M1522">_xlfn.IFS(J1522="NOTFOUND",I1522,J1522&gt;=I1522,J1522)</f>
        <v/>
      </c>
    </row>
    <row r="1523" ht="18" customHeight="1" s="16">
      <c r="A1523" s="5" t="n">
        <v>1522</v>
      </c>
      <c r="B1523" s="8" t="inlineStr">
        <is>
          <t>GU-3774</t>
        </is>
      </c>
      <c r="C1523" s="2" t="n"/>
      <c r="D1523" s="8" t="inlineStr">
        <is>
          <t>ジップアラウンドウォレット 財布グレー インテリア</t>
        </is>
      </c>
      <c r="E1523" s="8" t="inlineStr">
        <is>
          <t>817044 AAEGG 3743</t>
        </is>
      </c>
      <c r="G1523" s="11" t="inlineStr">
        <is>
          <t>SOLD</t>
        </is>
      </c>
      <c r="H1523" s="22" t="inlineStr">
        <is>
          <t>SOLD</t>
        </is>
      </c>
      <c r="I1523" s="18" t="n">
        <v>124300</v>
      </c>
      <c r="J1523" s="23" t="inlineStr">
        <is>
          <t>NOTFOUND</t>
        </is>
      </c>
      <c r="K1523" s="20" t="n">
        <v>0</v>
      </c>
      <c r="L1523" s="4" t="inlineStr">
        <is>
          <t>https://www.gucci.com/jp/ja/pr/men/small-leather-goods-for-men/wallets-for-men/zip-around-long-wallets-for-men/grey-interior-zip-around-wallet-p-817044AAEGG3743</t>
        </is>
      </c>
      <c r="M1523" s="5">
        <f t="array" ref="M1523">_xlfn.IFS(J1523="NOTFOUND",I1523,J1523&gt;=I1523,J1523)</f>
        <v/>
      </c>
    </row>
    <row r="1524" ht="18" customHeight="1" s="16">
      <c r="A1524" s="5" t="n">
        <v>1523</v>
      </c>
      <c r="B1524" s="8" t="inlineStr">
        <is>
          <t>GU-3775</t>
        </is>
      </c>
      <c r="C1524" s="2" t="n"/>
      <c r="D1524" s="8" t="inlineStr">
        <is>
          <t>ジップアラウンドウォレット 財布オートミール インテリア</t>
        </is>
      </c>
      <c r="E1524" s="8" t="inlineStr">
        <is>
          <t>817044 AAEGG 4043</t>
        </is>
      </c>
      <c r="G1524" s="11" t="inlineStr">
        <is>
          <t>SOLD</t>
        </is>
      </c>
      <c r="H1524" s="22" t="inlineStr">
        <is>
          <t>SOLD</t>
        </is>
      </c>
      <c r="I1524" s="18" t="n">
        <v>124300</v>
      </c>
      <c r="J1524" s="23" t="inlineStr">
        <is>
          <t>NOTFOUND</t>
        </is>
      </c>
      <c r="K1524" s="20" t="n">
        <v>0</v>
      </c>
      <c r="L1524" s="4" t="inlineStr">
        <is>
          <t>https://www.gucci.com/jp/ja/pr/men/small-leather-goods-for-men/wallets-for-men/zip-around-long-wallets-for-men/oatmeal-interior-zip-around-wallet-p-817044AAEGG4043</t>
        </is>
      </c>
      <c r="M1524" s="5">
        <f t="array" ref="M1524">_xlfn.IFS(J1524="NOTFOUND",I1524,J1524&gt;=I1524,J1524)</f>
        <v/>
      </c>
    </row>
    <row r="1525" ht="18" customHeight="1" s="16">
      <c r="A1525" s="5" t="n">
        <v>1524</v>
      </c>
      <c r="B1525" s="8" t="inlineStr">
        <is>
          <t>GU-3776</t>
        </is>
      </c>
      <c r="C1525" s="2" t="n"/>
      <c r="D1525" s="8" t="inlineStr">
        <is>
          <t>コインウォレット 財布グレー インテリア</t>
        </is>
      </c>
      <c r="E1525" s="8" t="inlineStr">
        <is>
          <t>817021 AAEGG 3743</t>
        </is>
      </c>
      <c r="G1525" s="11" t="inlineStr">
        <is>
          <t>SOLD</t>
        </is>
      </c>
      <c r="H1525" s="22" t="inlineStr">
        <is>
          <t>SOLD</t>
        </is>
      </c>
      <c r="I1525" s="18" t="n">
        <v>90200</v>
      </c>
      <c r="J1525" s="23" t="inlineStr">
        <is>
          <t>NOTFOUND</t>
        </is>
      </c>
      <c r="K1525" s="20" t="n">
        <v>0</v>
      </c>
      <c r="L1525" s="4" t="inlineStr">
        <is>
          <t>https://www.gucci.com/jp/ja/pr/men/small-leather-goods-for-men/card-holders-coin-cases-for-men/grey-interior-coin-wallet-p-817021AAEGG3743</t>
        </is>
      </c>
      <c r="M1525" s="5">
        <f t="array" ref="M1525">_xlfn.IFS(J1525="NOTFOUND",I1525,J1525&gt;=I1525,J1525)</f>
        <v/>
      </c>
    </row>
    <row r="1526" ht="18" customHeight="1" s="16">
      <c r="A1526" s="5" t="n">
        <v>1525</v>
      </c>
      <c r="B1526" s="8" t="inlineStr">
        <is>
          <t>GU-3777</t>
        </is>
      </c>
      <c r="C1526" s="2" t="n"/>
      <c r="D1526" s="8" t="inlineStr">
        <is>
          <t>コインウォレット 財布オートミール インテリア</t>
        </is>
      </c>
      <c r="E1526" s="8" t="inlineStr">
        <is>
          <t>817021 AAEGG 4043</t>
        </is>
      </c>
      <c r="G1526" s="11" t="inlineStr">
        <is>
          <t>SOLD</t>
        </is>
      </c>
      <c r="H1526" s="22" t="inlineStr">
        <is>
          <t>SOLD</t>
        </is>
      </c>
      <c r="I1526" s="18" t="n">
        <v>90200</v>
      </c>
      <c r="J1526" s="23" t="inlineStr">
        <is>
          <t>NOTFOUND</t>
        </is>
      </c>
      <c r="K1526" s="20" t="n">
        <v>0</v>
      </c>
      <c r="L1526" s="4" t="inlineStr">
        <is>
          <t>https://www.gucci.com/jp/ja/pr/men/small-leather-goods-for-men/card-holders-coin-cases-for-men/oatmeal-interior-coin-wallet-p-817021AAEGG4043</t>
        </is>
      </c>
      <c r="M1526" s="5">
        <f t="array" ref="M1526">_xlfn.IFS(J1526="NOTFOUND",I1526,J1526&gt;=I1526,J1526)</f>
        <v/>
      </c>
    </row>
    <row r="1527" ht="18" customHeight="1" s="16">
      <c r="A1527" s="5" t="n">
        <v>1526</v>
      </c>
      <c r="B1527" s="8" t="inlineStr">
        <is>
          <t>GU-3778</t>
        </is>
      </c>
      <c r="C1527" s="2" t="n"/>
      <c r="D1527" s="8" t="inlineStr">
        <is>
          <t>スクリプト キーチェーン</t>
        </is>
      </c>
      <c r="E1527" s="8" t="inlineStr">
        <is>
          <t>820540 J160Y 8053</t>
        </is>
      </c>
      <c r="G1527" s="10" t="inlineStr">
        <is>
          <t>OneSize</t>
        </is>
      </c>
      <c r="H1527" s="17" t="inlineStr">
        <is>
          <t>OneSize</t>
        </is>
      </c>
      <c r="I1527" s="18" t="n">
        <v>68200</v>
      </c>
      <c r="J1527" s="19" t="n">
        <v>68200</v>
      </c>
      <c r="K1527" s="20" t="n">
        <v>5</v>
      </c>
      <c r="L1527" s="4" t="inlineStr">
        <is>
          <t>https://www.gucci.com/jp/ja/pr/men/small-leather-goods-for-men/key-rings-key-cases-for-men/gucci-script-keychain-p-820540J160Y8053</t>
        </is>
      </c>
      <c r="M1527" s="5">
        <f t="array" ref="M1527">_xlfn.IFS(J1527="NOTFOUND",I1527,J1527&gt;=I1527,J1527)</f>
        <v/>
      </c>
    </row>
    <row r="1528" ht="18" customHeight="1" s="16">
      <c r="A1528" s="5" t="n">
        <v>1527</v>
      </c>
      <c r="B1528" s="8" t="inlineStr">
        <is>
          <t>GU-3779</t>
        </is>
      </c>
      <c r="C1528" s="2" t="n"/>
      <c r="D1528" s="8" t="inlineStr">
        <is>
          <t>インターロッキングG キーチェーン</t>
        </is>
      </c>
      <c r="E1528" s="8" t="inlineStr">
        <is>
          <t>817380 J160N 8126</t>
        </is>
      </c>
      <c r="G1528" s="10" t="inlineStr">
        <is>
          <t>OneSize</t>
        </is>
      </c>
      <c r="H1528" s="17" t="inlineStr">
        <is>
          <t>OneSize</t>
        </is>
      </c>
      <c r="I1528" s="18" t="n">
        <v>44000</v>
      </c>
      <c r="J1528" s="19" t="n">
        <v>44000</v>
      </c>
      <c r="K1528" s="20" t="n">
        <v>5</v>
      </c>
      <c r="L1528" s="4" t="inlineStr">
        <is>
          <t>https://www.gucci.com/jp/ja/pr/men/small-leather-goods-for-men/key-rings-key-cases-for-men/interlocking-g-keychain-p-817380J160N8126</t>
        </is>
      </c>
      <c r="M1528" s="5">
        <f t="array" ref="M1528">_xlfn.IFS(J1528="NOTFOUND",I1528,J1528&gt;=I1528,J1528)</f>
        <v/>
      </c>
    </row>
    <row r="1529" ht="18" customHeight="1" s="16">
      <c r="A1529" s="5" t="n">
        <v>1528</v>
      </c>
      <c r="B1529" s="8" t="inlineStr">
        <is>
          <t>GU-3780</t>
        </is>
      </c>
      <c r="C1529" s="2" t="n"/>
      <c r="D1529" s="8" t="inlineStr">
        <is>
          <t>ダブルG キーチェーン</t>
        </is>
      </c>
      <c r="E1529" s="8" t="inlineStr">
        <is>
          <t>817379 J1600 0866</t>
        </is>
      </c>
      <c r="G1529" s="10" t="inlineStr">
        <is>
          <t>OneSize</t>
        </is>
      </c>
      <c r="H1529" s="17" t="inlineStr">
        <is>
          <t>OneSize</t>
        </is>
      </c>
      <c r="I1529" s="18" t="n">
        <v>50600</v>
      </c>
      <c r="J1529" s="19" t="n">
        <v>50600</v>
      </c>
      <c r="K1529" s="20" t="n">
        <v>5</v>
      </c>
      <c r="L1529" s="4" t="inlineStr">
        <is>
          <t>https://www.gucci.com/jp/ja/pr/men/small-leather-goods-for-men/key-rings-key-cases-for-men/double-g-keychain-p-817379J16000866</t>
        </is>
      </c>
      <c r="M1529" s="5">
        <f t="array" ref="M1529">_xlfn.IFS(J1529="NOTFOUND",I1529,J1529&gt;=I1529,J1529)</f>
        <v/>
      </c>
    </row>
    <row r="1530" ht="18" customHeight="1" s="16">
      <c r="A1530" s="5" t="n">
        <v>1529</v>
      </c>
      <c r="B1530" s="8" t="inlineStr">
        <is>
          <t>GU-3781</t>
        </is>
      </c>
      <c r="C1530" s="2" t="n"/>
      <c r="D1530" s="8" t="inlineStr">
        <is>
          <t>ダブルG キーチェーン</t>
        </is>
      </c>
      <c r="E1530" s="8" t="inlineStr">
        <is>
          <t>817379 J160T 8233</t>
        </is>
      </c>
      <c r="G1530" s="10" t="inlineStr">
        <is>
          <t>OneSize</t>
        </is>
      </c>
      <c r="H1530" s="17" t="inlineStr">
        <is>
          <t>OneSize</t>
        </is>
      </c>
      <c r="I1530" s="18" t="n">
        <v>50600</v>
      </c>
      <c r="J1530" s="19" t="n">
        <v>50600</v>
      </c>
      <c r="K1530" s="20" t="n">
        <v>5</v>
      </c>
      <c r="L1530" s="4" t="inlineStr">
        <is>
          <t>https://www.gucci.com/jp/ja/pr/men/small-leather-goods-for-men/key-rings-key-cases-for-men/double-g-keychain-p-817379J160T8233</t>
        </is>
      </c>
      <c r="M1530" s="5">
        <f t="array" ref="M1530">_xlfn.IFS(J1530="NOTFOUND",I1530,J1530&gt;=I1530,J1530)</f>
        <v/>
      </c>
    </row>
    <row r="1531" ht="18" customHeight="1" s="16">
      <c r="A1531" s="5" t="n">
        <v>1530</v>
      </c>
      <c r="B1531" s="8" t="inlineStr">
        <is>
          <t>GU-3782</t>
        </is>
      </c>
      <c r="C1531" s="2" t="n"/>
      <c r="D1531" s="8" t="inlineStr">
        <is>
          <t>インターロッキングG パンダ キーチェーン</t>
        </is>
      </c>
      <c r="E1531" s="8" t="inlineStr">
        <is>
          <t>817302 I11DS 8947</t>
        </is>
      </c>
      <c r="G1531" s="10" t="inlineStr">
        <is>
          <t>OneSize</t>
        </is>
      </c>
      <c r="H1531" s="17" t="inlineStr">
        <is>
          <t>OneSize</t>
        </is>
      </c>
      <c r="I1531" s="18" t="n">
        <v>79200</v>
      </c>
      <c r="J1531" s="19" t="n">
        <v>79200</v>
      </c>
      <c r="K1531" s="20" t="n">
        <v>5</v>
      </c>
      <c r="L1531" s="4" t="inlineStr">
        <is>
          <t>https://www.gucci.com/jp/ja/pr/men/small-leather-goods-for-men/key-rings-key-cases-for-men/panda-keychan-with-interlocking-g-p-817302I11DS8947</t>
        </is>
      </c>
      <c r="M1531" s="5">
        <f t="array" ref="M1531">_xlfn.IFS(J1531="NOTFOUND",I1531,J1531&gt;=I1531,J1531)</f>
        <v/>
      </c>
    </row>
    <row r="1532" ht="18" customHeight="1" s="16">
      <c r="A1532" s="5" t="n">
        <v>1531</v>
      </c>
      <c r="B1532" s="8" t="inlineStr">
        <is>
          <t>GU-3783</t>
        </is>
      </c>
      <c r="C1532" s="2" t="n"/>
      <c r="D1532" s="8" t="inlineStr">
        <is>
          <t>インターロッキングG オウル（ふくろう）キーチェーン</t>
        </is>
      </c>
      <c r="E1532" s="8" t="inlineStr">
        <is>
          <t>817301 I11DS 8946</t>
        </is>
      </c>
      <c r="G1532" s="10" t="inlineStr">
        <is>
          <t>OneSize</t>
        </is>
      </c>
      <c r="H1532" s="17" t="inlineStr">
        <is>
          <t>OneSize</t>
        </is>
      </c>
      <c r="I1532" s="18" t="n">
        <v>79200</v>
      </c>
      <c r="J1532" s="19" t="n">
        <v>79200</v>
      </c>
      <c r="K1532" s="20" t="n">
        <v>5</v>
      </c>
      <c r="L1532" s="4" t="inlineStr">
        <is>
          <t>https://www.gucci.com/jp/ja/pr/men/small-leather-goods-for-men/key-rings-key-cases-for-men/owl-keychain-with-interlocking-g-p-817301I11DS8946</t>
        </is>
      </c>
      <c r="M1532" s="5">
        <f t="array" ref="M1532">_xlfn.IFS(J1532="NOTFOUND",I1532,J1532&gt;=I1532,J1532)</f>
        <v/>
      </c>
    </row>
    <row r="1533" ht="18" customHeight="1" s="16">
      <c r="A1533" s="5" t="n">
        <v>1532</v>
      </c>
      <c r="B1533" s="8" t="inlineStr">
        <is>
          <t>GU-3784</t>
        </is>
      </c>
      <c r="C1533" s="2" t="n"/>
      <c r="D1533" s="8" t="inlineStr">
        <is>
          <t>インターロッキングG パロット キーチェーン</t>
        </is>
      </c>
      <c r="E1533" s="8" t="inlineStr">
        <is>
          <t>817298 I11DS 8944</t>
        </is>
      </c>
      <c r="G1533" s="10" t="inlineStr">
        <is>
          <t>OneSize</t>
        </is>
      </c>
      <c r="H1533" s="17" t="inlineStr">
        <is>
          <t>OneSize</t>
        </is>
      </c>
      <c r="I1533" s="18" t="n">
        <v>79200</v>
      </c>
      <c r="J1533" s="19" t="n">
        <v>79200</v>
      </c>
      <c r="K1533" s="20" t="n">
        <v>5</v>
      </c>
      <c r="L1533" s="4" t="inlineStr">
        <is>
          <t>https://www.gucci.com/jp/ja/pr/men/small-leather-goods-for-men/key-rings-key-cases-for-men/parrot-keychain-with-interlocking-g-p-817298I11DS8944</t>
        </is>
      </c>
      <c r="M1533" s="5">
        <f t="array" ref="M1533">_xlfn.IFS(J1533="NOTFOUND",I1533,J1533&gt;=I1533,J1533)</f>
        <v/>
      </c>
    </row>
    <row r="1534" ht="18" customHeight="1" s="16">
      <c r="A1534" s="5" t="n">
        <v>1533</v>
      </c>
      <c r="B1534" s="8" t="inlineStr">
        <is>
          <t>GU-3785</t>
        </is>
      </c>
      <c r="C1534" s="2" t="n"/>
      <c r="D1534" s="8" t="inlineStr">
        <is>
          <t>フック クロージャー付き キーチェーン</t>
        </is>
      </c>
      <c r="E1534" s="8" t="inlineStr">
        <is>
          <t>817297 JAAH6 8768</t>
        </is>
      </c>
      <c r="G1534" s="11" t="inlineStr">
        <is>
          <t>SOLD</t>
        </is>
      </c>
      <c r="H1534" s="22" t="inlineStr">
        <is>
          <t>SOLD</t>
        </is>
      </c>
      <c r="I1534" s="18" t="n">
        <v>52800</v>
      </c>
      <c r="J1534" s="23" t="inlineStr">
        <is>
          <t>NOTFOUND</t>
        </is>
      </c>
      <c r="K1534" s="20" t="n">
        <v>0</v>
      </c>
      <c r="L1534" s="4" t="inlineStr">
        <is>
          <t>https://www.gucci.com/jp/ja/pr/men/small-leather-goods-for-men/key-rings-key-cases-for-men/keychain-with-hook-closure-p-817297JAAH68768</t>
        </is>
      </c>
      <c r="M1534" s="5">
        <f t="array" ref="M1534">_xlfn.IFS(J1534="NOTFOUND",I1534,J1534&gt;=I1534,J1534)</f>
        <v/>
      </c>
    </row>
    <row r="1535" ht="18" customHeight="1" s="16">
      <c r="A1535" s="5" t="n">
        <v>1534</v>
      </c>
      <c r="B1535" s="8" t="inlineStr">
        <is>
          <t>GU-3786</t>
        </is>
      </c>
      <c r="C1535" s="2" t="n"/>
      <c r="D1535" s="8" t="inlineStr">
        <is>
          <t>フック クロージャー付き キーチェーン</t>
        </is>
      </c>
      <c r="E1535" s="8" t="inlineStr">
        <is>
          <t>817297 JAAH7 8770</t>
        </is>
      </c>
      <c r="G1535" s="10" t="inlineStr">
        <is>
          <t>OneSize</t>
        </is>
      </c>
      <c r="H1535" s="17" t="inlineStr">
        <is>
          <t>OneSize</t>
        </is>
      </c>
      <c r="I1535" s="18" t="n">
        <v>52800</v>
      </c>
      <c r="J1535" s="19" t="n">
        <v>52800</v>
      </c>
      <c r="K1535" s="20" t="n">
        <v>5</v>
      </c>
      <c r="L1535" s="4" t="inlineStr">
        <is>
          <t>https://www.gucci.com/jp/ja/pr/men/small-leather-goods-for-men/key-rings-key-cases-for-men/keychain-with-hook-closure-p-817297JAAH78770</t>
        </is>
      </c>
      <c r="M1535" s="5">
        <f t="array" ref="M1535">_xlfn.IFS(J1535="NOTFOUND",I1535,J1535&gt;=I1535,J1535)</f>
        <v/>
      </c>
    </row>
    <row r="1536" ht="18" customHeight="1" s="16">
      <c r="A1536" s="5" t="n">
        <v>1535</v>
      </c>
      <c r="B1536" s="8" t="inlineStr">
        <is>
          <t>GU-3787</t>
        </is>
      </c>
      <c r="C1536" s="2" t="n"/>
      <c r="D1536" s="8" t="inlineStr">
        <is>
          <t>インターロッキングG ドッグ キーチェーン</t>
        </is>
      </c>
      <c r="E1536" s="8" t="inlineStr">
        <is>
          <t>817294 I11DS 8941</t>
        </is>
      </c>
      <c r="G1536" s="10" t="inlineStr">
        <is>
          <t>OneSize</t>
        </is>
      </c>
      <c r="H1536" s="17" t="inlineStr">
        <is>
          <t>OneSize</t>
        </is>
      </c>
      <c r="I1536" s="18" t="n">
        <v>79200</v>
      </c>
      <c r="J1536" s="19" t="n">
        <v>79200</v>
      </c>
      <c r="K1536" s="20" t="n">
        <v>5</v>
      </c>
      <c r="L1536" s="4" t="inlineStr">
        <is>
          <t>https://www.gucci.com/jp/ja/pr/men/small-leather-goods-for-men/key-rings-key-cases-for-men/dog-keychain-with-interlocking-g-p-817294I11DS8941</t>
        </is>
      </c>
      <c r="M1536" s="5">
        <f t="array" ref="M1536">_xlfn.IFS(J1536="NOTFOUND",I1536,J1536&gt;=I1536,J1536)</f>
        <v/>
      </c>
    </row>
    <row r="1537" ht="18" customHeight="1" s="16">
      <c r="A1537" s="5" t="n">
        <v>1536</v>
      </c>
      <c r="B1537" s="8" t="inlineStr">
        <is>
          <t>GU-3788</t>
        </is>
      </c>
      <c r="C1537" s="2" t="n"/>
      <c r="D1537" s="8" t="inlineStr">
        <is>
          <t>ウェブ ストライプ キーチェーン</t>
        </is>
      </c>
      <c r="E1537" s="8" t="inlineStr">
        <is>
          <t>804040 JAAG1 8942</t>
        </is>
      </c>
      <c r="G1537" s="10" t="inlineStr">
        <is>
          <t>OneSize</t>
        </is>
      </c>
      <c r="H1537" s="17" t="inlineStr">
        <is>
          <t>OneSize</t>
        </is>
      </c>
      <c r="I1537" s="18" t="n">
        <v>56100</v>
      </c>
      <c r="J1537" s="19" t="n">
        <v>56100</v>
      </c>
      <c r="K1537" s="20" t="n">
        <v>5</v>
      </c>
      <c r="L1537" s="4" t="inlineStr">
        <is>
          <t>https://www.gucci.com/jp/ja/pr/men/small-leather-goods-for-men/key-rings-key-cases-for-men/web-keychain-p-804040JAAG18942</t>
        </is>
      </c>
      <c r="M1537" s="5">
        <f t="array" ref="M1537">_xlfn.IFS(J1537="NOTFOUND",I1537,J1537&gt;=I1537,J1537)</f>
        <v/>
      </c>
    </row>
    <row r="1538" ht="18" customHeight="1" s="16">
      <c r="A1538" s="5" t="n">
        <v>1537</v>
      </c>
      <c r="B1538" s="8" t="inlineStr">
        <is>
          <t>GU-3789</t>
        </is>
      </c>
      <c r="C1538" s="2" t="n"/>
      <c r="D1538" s="8" t="inlineStr">
        <is>
          <t>オフィディアキーチェーン</t>
        </is>
      </c>
      <c r="E1538" s="8" t="inlineStr">
        <is>
          <t>523161 HE2NG 8742</t>
        </is>
      </c>
      <c r="G1538" s="10" t="inlineStr">
        <is>
          <t>OneSize</t>
        </is>
      </c>
      <c r="H1538" s="17" t="inlineStr">
        <is>
          <t>OneSize</t>
        </is>
      </c>
      <c r="I1538" s="18" t="n">
        <v>33000</v>
      </c>
      <c r="J1538" s="19" t="n">
        <v>33000</v>
      </c>
      <c r="K1538" s="20" t="n">
        <v>5</v>
      </c>
      <c r="L1538" s="4" t="inlineStr">
        <is>
          <t>https://www.gucci.com/jp/ja/pr/men/small-leather-goods-for-men/key-rings-key-cases-for-men/ophidia-keychain-p-523161HE2NG8742</t>
        </is>
      </c>
      <c r="M1538" s="5">
        <f t="array" ref="M1538">_xlfn.IFS(J1538="NOTFOUND",I1538,J1538&gt;=I1538,J1538)</f>
        <v/>
      </c>
    </row>
    <row r="1539" ht="18" customHeight="1" s="16">
      <c r="A1539" s="5" t="n">
        <v>1538</v>
      </c>
      <c r="B1539" s="8" t="inlineStr">
        <is>
          <t>GU-3790</t>
        </is>
      </c>
      <c r="C1539" s="2" t="n"/>
      <c r="D1539" s="8" t="inlineStr">
        <is>
          <t>ダブルG GG キーチェーン</t>
        </is>
      </c>
      <c r="E1539" s="8" t="inlineStr">
        <is>
          <t>817305 JAAH3 8146</t>
        </is>
      </c>
      <c r="G1539" s="10" t="inlineStr">
        <is>
          <t>OneSize</t>
        </is>
      </c>
      <c r="H1539" s="17" t="inlineStr">
        <is>
          <t>OneSize</t>
        </is>
      </c>
      <c r="I1539" s="18" t="n">
        <v>52800</v>
      </c>
      <c r="J1539" s="19" t="n">
        <v>52800</v>
      </c>
      <c r="K1539" s="20" t="n">
        <v>5</v>
      </c>
      <c r="L1539" s="4" t="inlineStr">
        <is>
          <t>https://www.gucci.com/jp/ja/pr/men/small-leather-goods-for-men/key-rings-key-cases-for-men/gg-keychain-with-double-g-p-817305JAAH38146</t>
        </is>
      </c>
      <c r="M1539" s="5">
        <f t="array" ref="M1539">_xlfn.IFS(J1539="NOTFOUND",I1539,J1539&gt;=I1539,J1539)</f>
        <v/>
      </c>
    </row>
    <row r="1540" ht="18" customHeight="1" s="16">
      <c r="A1540" s="5" t="n">
        <v>1539</v>
      </c>
      <c r="B1540" s="8" t="inlineStr">
        <is>
          <t>GU-3791</t>
        </is>
      </c>
      <c r="C1540" s="2" t="n"/>
      <c r="D1540" s="8" t="inlineStr">
        <is>
          <t>GG ブラックミニバッグ</t>
        </is>
      </c>
      <c r="E1540" s="8" t="inlineStr">
        <is>
          <t>816953 FAD8C 1049</t>
        </is>
      </c>
      <c r="G1540" s="10" t="inlineStr">
        <is>
          <t>OneSize</t>
        </is>
      </c>
      <c r="H1540" s="17" t="inlineStr">
        <is>
          <t>OneSize</t>
        </is>
      </c>
      <c r="I1540" s="18" t="n">
        <v>253000</v>
      </c>
      <c r="J1540" s="19" t="n">
        <v>253000</v>
      </c>
      <c r="K1540" s="20" t="n">
        <v>5</v>
      </c>
      <c r="L1540" s="4" t="inlineStr">
        <is>
          <t>https://www.gucci.com/jp/ja/pr/men/bags-for-men/small-bags-pouches-for-men/small-bags/gg-black-mini-bag-p-816953FAD8C1049</t>
        </is>
      </c>
      <c r="M1540" s="5">
        <f t="array" ref="M1540">_xlfn.IFS(J1540="NOTFOUND",I1540,J1540&gt;=I1540,J1540)</f>
        <v/>
      </c>
    </row>
    <row r="1541" ht="18" customHeight="1" s="16">
      <c r="A1541" s="5" t="n">
        <v>1540</v>
      </c>
      <c r="B1541" s="8" t="inlineStr">
        <is>
          <t>GU-3792</t>
        </is>
      </c>
      <c r="C1541" s="2" t="n"/>
      <c r="D1541" s="8" t="inlineStr">
        <is>
          <t>GG ブラックスモール ショルダーバッグ</t>
        </is>
      </c>
      <c r="E1541" s="8" t="inlineStr">
        <is>
          <t>792456 FADJA 1042</t>
        </is>
      </c>
      <c r="G1541" s="10" t="inlineStr">
        <is>
          <t>OneSize</t>
        </is>
      </c>
      <c r="H1541" s="17" t="inlineStr">
        <is>
          <t>OneSize</t>
        </is>
      </c>
      <c r="I1541" s="18" t="n">
        <v>206800</v>
      </c>
      <c r="J1541" s="19" t="n">
        <v>206800</v>
      </c>
      <c r="K1541" s="20" t="n">
        <v>5</v>
      </c>
      <c r="L1541" s="4" t="inlineStr">
        <is>
          <t>https://www.gucci.com/jp/ja/pr/men/bags-for-men/messenger-crossbody-bags-for-men/gg-black-small-shoulder-bag-p-792456FADJA1042</t>
        </is>
      </c>
      <c r="M1541" s="5">
        <f t="array" ref="M1541">_xlfn.IFS(J1541="NOTFOUND",I1541,J1541&gt;=I1541,J1541)</f>
        <v/>
      </c>
    </row>
    <row r="1542" ht="18" customHeight="1" s="16">
      <c r="A1542" s="5" t="n">
        <v>1541</v>
      </c>
      <c r="B1542" s="8" t="inlineStr">
        <is>
          <t>GU-3793</t>
        </is>
      </c>
      <c r="C1542" s="2" t="n"/>
      <c r="D1542" s="8" t="inlineStr">
        <is>
          <t>GG ブラックミニバッグ</t>
        </is>
      </c>
      <c r="E1542" s="8" t="inlineStr">
        <is>
          <t>791741 FADJA 1042</t>
        </is>
      </c>
      <c r="G1542" s="10" t="inlineStr">
        <is>
          <t>OneSize</t>
        </is>
      </c>
      <c r="H1542" s="17" t="inlineStr">
        <is>
          <t>OneSize</t>
        </is>
      </c>
      <c r="I1542" s="18" t="n">
        <v>192500</v>
      </c>
      <c r="J1542" s="19" t="n">
        <v>192500</v>
      </c>
      <c r="K1542" s="20" t="n">
        <v>5</v>
      </c>
      <c r="L1542" s="4" t="inlineStr">
        <is>
          <t>https://www.gucci.com/jp/ja/pr/men/small-leather-goods-for-men/mini-bags-pouches/mini-bags-for-men/gg-black-mini-bag-p-791741FADJA1042</t>
        </is>
      </c>
      <c r="M1542" s="5">
        <f t="array" ref="M1542">_xlfn.IFS(J1542="NOTFOUND",I1542,J1542&gt;=I1542,J1542)</f>
        <v/>
      </c>
    </row>
    <row r="1543" ht="18" customHeight="1" s="16">
      <c r="A1543" s="5" t="n">
        <v>1542</v>
      </c>
      <c r="B1543" s="8" t="inlineStr">
        <is>
          <t>GU-3794</t>
        </is>
      </c>
      <c r="C1543" s="2" t="n"/>
      <c r="D1543" s="8" t="inlineStr">
        <is>
          <t>GGキャンバス ミニバッグ</t>
        </is>
      </c>
      <c r="E1543" s="8" t="inlineStr">
        <is>
          <t>834270 FAEOO 9843</t>
        </is>
      </c>
      <c r="G1543" s="10" t="inlineStr">
        <is>
          <t>OneSize</t>
        </is>
      </c>
      <c r="H1543" s="17" t="inlineStr">
        <is>
          <t>OneSize</t>
        </is>
      </c>
      <c r="I1543" s="18" t="n">
        <v>81400</v>
      </c>
      <c r="J1543" s="19" t="n">
        <v>81400</v>
      </c>
      <c r="K1543" s="20" t="n">
        <v>5</v>
      </c>
      <c r="L1543" s="4" t="inlineStr">
        <is>
          <t>https://www.gucci.com/jp/ja/pr/men/small-leather-goods-for-men/mini-bags-pouches/mini-bags-for-men/gg-canvas-mini-bag-p-834270FAEOO9843</t>
        </is>
      </c>
      <c r="M1543" s="5">
        <f t="array" ref="M1543">_xlfn.IFS(J1543="NOTFOUND",I1543,J1543&gt;=I1543,J1543)</f>
        <v/>
      </c>
    </row>
    <row r="1544" ht="18" customHeight="1" s="16">
      <c r="A1544" s="5" t="n">
        <v>1543</v>
      </c>
      <c r="B1544" s="8" t="inlineStr">
        <is>
          <t>GU-3795</t>
        </is>
      </c>
      <c r="C1544" s="2" t="n"/>
      <c r="D1544" s="8" t="inlineStr">
        <is>
          <t>GGキャンバス ミニ シリンダーバッグ</t>
        </is>
      </c>
      <c r="E1544" s="8" t="inlineStr">
        <is>
          <t>834269 FAEON 9750</t>
        </is>
      </c>
      <c r="G1544" s="10" t="inlineStr">
        <is>
          <t>OneSize</t>
        </is>
      </c>
      <c r="H1544" s="17" t="inlineStr">
        <is>
          <t>OneSize</t>
        </is>
      </c>
      <c r="I1544" s="18" t="n">
        <v>192500</v>
      </c>
      <c r="J1544" s="19" t="n">
        <v>192500</v>
      </c>
      <c r="K1544" s="20" t="n">
        <v>5</v>
      </c>
      <c r="L1544" s="4" t="inlineStr">
        <is>
          <t>https://www.gucci.com/jp/ja/pr/men/small-leather-goods-for-men/mini-bags-pouches/mini-bags-for-men/gg-canvas-mini-cylinder-bag-p-834269FAEON9750</t>
        </is>
      </c>
      <c r="M1544" s="5">
        <f t="array" ref="M1544">_xlfn.IFS(J1544="NOTFOUND",I1544,J1544&gt;=I1544,J1544)</f>
        <v/>
      </c>
    </row>
    <row r="1545" ht="18" customHeight="1" s="16">
      <c r="A1545" s="5" t="n">
        <v>1544</v>
      </c>
      <c r="B1545" s="8" t="inlineStr">
        <is>
          <t>GU-3796</t>
        </is>
      </c>
      <c r="C1545" s="2" t="n"/>
      <c r="D1545" s="8" t="inlineStr">
        <is>
          <t>GGキャンバス ミニバッグ</t>
        </is>
      </c>
      <c r="E1545" s="8" t="inlineStr">
        <is>
          <t>834268 FAEON 9750</t>
        </is>
      </c>
      <c r="G1545" s="10" t="inlineStr">
        <is>
          <t>OneSize</t>
        </is>
      </c>
      <c r="H1545" s="17" t="inlineStr">
        <is>
          <t>OneSize</t>
        </is>
      </c>
      <c r="I1545" s="18" t="n">
        <v>176000</v>
      </c>
      <c r="J1545" s="19" t="n">
        <v>176000</v>
      </c>
      <c r="K1545" s="20" t="n">
        <v>5</v>
      </c>
      <c r="L1545" s="4" t="inlineStr">
        <is>
          <t>https://www.gucci.com/jp/ja/pr/women/handbags/mini-bags-for-women/gg-canvas-mini-bag-p-834268FAEON9750</t>
        </is>
      </c>
      <c r="M1545" s="5">
        <f t="array" ref="M1545">_xlfn.IFS(J1545="NOTFOUND",I1545,J1545&gt;=I1545,J1545)</f>
        <v/>
      </c>
    </row>
    <row r="1546" ht="18" customHeight="1" s="16">
      <c r="A1546" s="5" t="n">
        <v>1545</v>
      </c>
      <c r="B1546" s="8" t="inlineStr">
        <is>
          <t>GU-3797</t>
        </is>
      </c>
      <c r="C1546" s="2" t="n"/>
      <c r="D1546" s="8" t="inlineStr">
        <is>
          <t>ダブルG カードケース</t>
        </is>
      </c>
      <c r="E1546" s="8" t="inlineStr">
        <is>
          <t>722734 1T56F 1000</t>
        </is>
      </c>
      <c r="G1546" s="10" t="inlineStr">
        <is>
          <t>OneSize</t>
        </is>
      </c>
      <c r="H1546" s="17" t="inlineStr">
        <is>
          <t>OneSize</t>
        </is>
      </c>
      <c r="I1546" s="18" t="n">
        <v>60500</v>
      </c>
      <c r="J1546" s="19" t="n">
        <v>60500</v>
      </c>
      <c r="K1546" s="20" t="n">
        <v>5</v>
      </c>
      <c r="L1546" s="4" t="inlineStr">
        <is>
          <t>https://www.gucci.com/jp/ja/pr/men/small-leather-goods-for-men/card-holders-coin-cases-for-men/gg-marmont-card-case-p-7227341T56F1000</t>
        </is>
      </c>
      <c r="M1546" s="5">
        <f t="array" ref="M1546">_xlfn.IFS(J1546="NOTFOUND",I1546,J1546&gt;=I1546,J1546)</f>
        <v/>
      </c>
    </row>
    <row r="1547" ht="18" customHeight="1" s="16">
      <c r="A1547" s="5" t="n">
        <v>1546</v>
      </c>
      <c r="B1547" s="8" t="inlineStr">
        <is>
          <t>GU-3798</t>
        </is>
      </c>
      <c r="C1547" s="2" t="n"/>
      <c r="D1547" s="8" t="inlineStr">
        <is>
          <t>GGマーモントコイン ウォレット 財布</t>
        </is>
      </c>
      <c r="E1547" s="8" t="inlineStr">
        <is>
          <t>428725 1T56F 1000</t>
        </is>
      </c>
      <c r="G1547" s="10" t="inlineStr">
        <is>
          <t>OneSize</t>
        </is>
      </c>
      <c r="H1547" s="17" t="inlineStr">
        <is>
          <t>OneSize</t>
        </is>
      </c>
      <c r="I1547" s="18" t="n">
        <v>84700</v>
      </c>
      <c r="J1547" s="19" t="n">
        <v>84700</v>
      </c>
      <c r="K1547" s="20" t="n">
        <v>5</v>
      </c>
      <c r="L1547" s="4" t="inlineStr">
        <is>
          <t>https://www.gucci.com/jp/ja/pr/men/small-leather-goods-for-men/wallets-for-men/folded-wallets-for-men/gg-marmont-coin-wallet-p-4287251T56F1000</t>
        </is>
      </c>
      <c r="M1547" s="5">
        <f t="array" ref="M1547">_xlfn.IFS(J1547="NOTFOUND",I1547,J1547&gt;=I1547,J1547)</f>
        <v/>
      </c>
    </row>
    <row r="1548" ht="18" customHeight="1" s="16">
      <c r="A1548" s="5" t="n">
        <v>1547</v>
      </c>
      <c r="B1548" s="8" t="inlineStr">
        <is>
          <t>GU-3799</t>
        </is>
      </c>
      <c r="C1548" s="2" t="n"/>
      <c r="D1548" s="8" t="inlineStr">
        <is>
          <t>ホースビット 1955ミニバッグ</t>
        </is>
      </c>
      <c r="E1548" s="8" t="inlineStr">
        <is>
          <t>699296 92TCG 8563</t>
        </is>
      </c>
      <c r="G1548" s="10" t="inlineStr">
        <is>
          <t>OneSize</t>
        </is>
      </c>
      <c r="H1548" s="17" t="inlineStr">
        <is>
          <t>OneSize</t>
        </is>
      </c>
      <c r="I1548" s="18" t="n">
        <v>192500</v>
      </c>
      <c r="J1548" s="19" t="n">
        <v>192500</v>
      </c>
      <c r="K1548" s="20" t="n">
        <v>5</v>
      </c>
      <c r="L1548" s="4" t="inlineStr">
        <is>
          <t>https://www.gucci.com/jp/ja/pr/women/handbags/mini-bags-for-women/gucci-horsebit-1955-mini-bag-p-69929692TCG8563</t>
        </is>
      </c>
      <c r="M1548" s="5">
        <f t="array" ref="M1548">_xlfn.IFS(J1548="NOTFOUND",I1548,J1548&gt;=I1548,J1548)</f>
        <v/>
      </c>
    </row>
    <row r="1549" ht="18" customHeight="1" s="16">
      <c r="A1549" s="5" t="n">
        <v>1548</v>
      </c>
      <c r="B1549" s="8" t="inlineStr">
        <is>
          <t>GU-3800</t>
        </is>
      </c>
      <c r="C1549" s="2" t="n"/>
      <c r="D1549" s="8" t="inlineStr">
        <is>
          <t>ホースビット 1955ミニバッグ</t>
        </is>
      </c>
      <c r="E1549" s="8" t="inlineStr">
        <is>
          <t>699296 UULBG 9683</t>
        </is>
      </c>
      <c r="G1549" s="10" t="inlineStr">
        <is>
          <t>OneSize</t>
        </is>
      </c>
      <c r="H1549" s="17" t="inlineStr">
        <is>
          <t>OneSize</t>
        </is>
      </c>
      <c r="I1549" s="18" t="n">
        <v>192500</v>
      </c>
      <c r="J1549" s="19" t="n">
        <v>192500</v>
      </c>
      <c r="K1549" s="20" t="n">
        <v>5</v>
      </c>
      <c r="L1549" s="4" t="inlineStr">
        <is>
          <t>https://www.gucci.com/jp/ja/pr/women/handbags/mini-bags-for-women/gucci-horsebit-1955-mini-bag-p-699296UULBG9683</t>
        </is>
      </c>
      <c r="M1549" s="5">
        <f t="array" ref="M1549">_xlfn.IFS(J1549="NOTFOUND",I1549,J1549&gt;=I1549,J1549)</f>
        <v/>
      </c>
    </row>
    <row r="1550" ht="18" customHeight="1" s="16">
      <c r="A1550" s="5" t="n">
        <v>1549</v>
      </c>
      <c r="B1550" s="8" t="inlineStr">
        <is>
          <t>GU-3801</t>
        </is>
      </c>
      <c r="C1550" s="2" t="n"/>
      <c r="D1550" s="8" t="inlineStr">
        <is>
          <t>ホースビット 1955ミニバッグ</t>
        </is>
      </c>
      <c r="E1550" s="8" t="inlineStr">
        <is>
          <t>625615 92TCG 8563</t>
        </is>
      </c>
      <c r="G1550" s="10" t="inlineStr">
        <is>
          <t>OneSize</t>
        </is>
      </c>
      <c r="H1550" s="17" t="inlineStr">
        <is>
          <t>OneSize</t>
        </is>
      </c>
      <c r="I1550" s="18" t="n">
        <v>171600</v>
      </c>
      <c r="J1550" s="19" t="n">
        <v>171600</v>
      </c>
      <c r="K1550" s="20" t="n">
        <v>5</v>
      </c>
      <c r="L1550" s="4" t="inlineStr">
        <is>
          <t>https://www.gucci.com/jp/ja/pr/women/handbags/mini-bags-for-women/gucci-horsebit-1955-mini-bag-p-62561592TCG8563</t>
        </is>
      </c>
      <c r="M1550" s="5">
        <f t="array" ref="M1550">_xlfn.IFS(J1550="NOTFOUND",I1550,J1550&gt;=I1550,J1550)</f>
        <v/>
      </c>
    </row>
    <row r="1551" ht="18" customHeight="1" s="16">
      <c r="A1551" s="5" t="n">
        <v>1550</v>
      </c>
      <c r="B1551" s="8" t="inlineStr">
        <is>
          <t>GU-3802</t>
        </is>
      </c>
      <c r="C1551" s="2" t="n"/>
      <c r="D1551" s="8" t="inlineStr">
        <is>
          <t>アニマリエ二つ折りウォレット 財布</t>
        </is>
      </c>
      <c r="E1551" s="8" t="inlineStr">
        <is>
          <t>523664 DJ20T 1000</t>
        </is>
      </c>
      <c r="G1551" s="10" t="inlineStr">
        <is>
          <t>OneSize</t>
        </is>
      </c>
      <c r="H1551" s="17" t="inlineStr">
        <is>
          <t>OneSize</t>
        </is>
      </c>
      <c r="I1551" s="18" t="n">
        <v>79200</v>
      </c>
      <c r="J1551" s="19" t="n">
        <v>79200</v>
      </c>
      <c r="K1551" s="20" t="n">
        <v>5</v>
      </c>
      <c r="L1551" s="4" t="inlineStr">
        <is>
          <t>https://www.gucci.com/jp/ja/pr/men/small-leather-goods-for-men/wallets-for-men/folded-wallets-for-men/animalier-bi-fold-wallet-p-523664DJ20T1000</t>
        </is>
      </c>
      <c r="M1551" s="5">
        <f t="array" ref="M1551">_xlfn.IFS(J1551="NOTFOUND",I1551,J1551&gt;=I1551,J1551)</f>
        <v/>
      </c>
    </row>
    <row r="1552" ht="18" customHeight="1" s="16">
      <c r="A1552" s="5" t="n">
        <v>1551</v>
      </c>
      <c r="B1552" s="8" t="inlineStr">
        <is>
          <t>GU-3803</t>
        </is>
      </c>
      <c r="C1552" s="2" t="n"/>
      <c r="D1552" s="8" t="inlineStr">
        <is>
          <t>ジャンボ GG スモール ポーチ</t>
        </is>
      </c>
      <c r="E1552" s="8" t="inlineStr">
        <is>
          <t>821102 AABY0 1000</t>
        </is>
      </c>
      <c r="G1552" s="11" t="inlineStr">
        <is>
          <t>SOLD</t>
        </is>
      </c>
      <c r="H1552" s="22" t="inlineStr">
        <is>
          <t>SOLD</t>
        </is>
      </c>
      <c r="I1552" s="18" t="n">
        <v>121000</v>
      </c>
      <c r="J1552" s="23" t="inlineStr">
        <is>
          <t>NOTFOUND</t>
        </is>
      </c>
      <c r="K1552" s="20" t="n">
        <v>0</v>
      </c>
      <c r="L1552" s="4" t="inlineStr">
        <is>
          <t>https://www.gucci.com/jp/ja/pr/men/small-leather-goods-for-men/mini-bags-pouches/pouches-for-men/gg-jumbo-small-pouch-p-821102AABY01000</t>
        </is>
      </c>
      <c r="M1552" s="5">
        <f t="array" ref="M1552">_xlfn.IFS(J1552="NOTFOUND",I1552,J1552&gt;=I1552,J1552)</f>
        <v/>
      </c>
    </row>
    <row r="1553" ht="18" customHeight="1" s="16">
      <c r="A1553" s="5" t="n">
        <v>1552</v>
      </c>
      <c r="B1553" s="8" t="inlineStr">
        <is>
          <t>GU-3804</t>
        </is>
      </c>
      <c r="C1553" s="2" t="n"/>
      <c r="D1553" s="8" t="inlineStr">
        <is>
          <t>ジャンボ GG ミニバッグ</t>
        </is>
      </c>
      <c r="E1553" s="8" t="inlineStr">
        <is>
          <t>816958 AABY7 1000</t>
        </is>
      </c>
      <c r="G1553" s="10" t="inlineStr">
        <is>
          <t>OneSize</t>
        </is>
      </c>
      <c r="H1553" s="17" t="inlineStr">
        <is>
          <t>OneSize</t>
        </is>
      </c>
      <c r="I1553" s="18" t="n">
        <v>280500</v>
      </c>
      <c r="J1553" s="19" t="n">
        <v>280500</v>
      </c>
      <c r="K1553" s="20" t="n">
        <v>5</v>
      </c>
      <c r="L1553" s="4" t="inlineStr">
        <is>
          <t>https://www.gucci.com/jp/ja/pr/men/bags-for-men/small-bags-pouches-for-men/small-bags/gg-jumbo-mini-bag-p-816958AABY71000</t>
        </is>
      </c>
      <c r="M1553" s="5">
        <f t="array" ref="M1553">_xlfn.IFS(J1553="NOTFOUND",I1553,J1553&gt;=I1553,J1553)</f>
        <v/>
      </c>
    </row>
    <row r="1554" ht="18" customHeight="1" s="16">
      <c r="A1554" s="5" t="n">
        <v>1553</v>
      </c>
      <c r="B1554" s="8" t="inlineStr">
        <is>
          <t>GU-3805</t>
        </is>
      </c>
      <c r="C1554" s="2" t="n"/>
      <c r="D1554" s="8" t="inlineStr">
        <is>
          <t>マキシGG カードケース</t>
        </is>
      </c>
      <c r="E1554" s="8" t="inlineStr">
        <is>
          <t>812681 AABY0 1000</t>
        </is>
      </c>
      <c r="G1554" s="11" t="inlineStr">
        <is>
          <t>SOLD</t>
        </is>
      </c>
      <c r="H1554" s="22" t="inlineStr">
        <is>
          <t>SOLD</t>
        </is>
      </c>
      <c r="I1554" s="18" t="n">
        <v>66000</v>
      </c>
      <c r="J1554" s="23" t="inlineStr">
        <is>
          <t>NOTFOUND</t>
        </is>
      </c>
      <c r="K1554" s="20" t="n">
        <v>0</v>
      </c>
      <c r="L1554" s="4" t="inlineStr">
        <is>
          <t>https://www.gucci.com/jp/ja/pr/men/small-leather-goods-for-men/card-holders-coin-cases-for-men/maxi-gg-card-case-p-812681AABY01000</t>
        </is>
      </c>
      <c r="M1554" s="5">
        <f t="array" ref="M1554">_xlfn.IFS(J1554="NOTFOUND",I1554,J1554&gt;=I1554,J1554)</f>
        <v/>
      </c>
    </row>
    <row r="1555" ht="18" customHeight="1" s="16">
      <c r="A1555" s="5" t="n">
        <v>1554</v>
      </c>
      <c r="B1555" s="8" t="inlineStr">
        <is>
          <t>GU-3806</t>
        </is>
      </c>
      <c r="C1555" s="2" t="n"/>
      <c r="D1555" s="8" t="inlineStr">
        <is>
          <t>マキシGG カードケース</t>
        </is>
      </c>
      <c r="E1555" s="8" t="inlineStr">
        <is>
          <t>812681 AAECE 1046</t>
        </is>
      </c>
      <c r="G1555" s="11" t="inlineStr">
        <is>
          <t>SOLD</t>
        </is>
      </c>
      <c r="H1555" s="22" t="inlineStr">
        <is>
          <t>SOLD</t>
        </is>
      </c>
      <c r="I1555" s="18" t="n">
        <v>66000</v>
      </c>
      <c r="J1555" s="23" t="inlineStr">
        <is>
          <t>NOTFOUND</t>
        </is>
      </c>
      <c r="K1555" s="20" t="n">
        <v>0</v>
      </c>
      <c r="L1555" s="4" t="inlineStr">
        <is>
          <t>https://www.gucci.com/jp/ja/pr/men/small-leather-goods-for-men/card-holders-coin-cases-for-men/maxi-gg-card-case-p-812681AAECE1046</t>
        </is>
      </c>
      <c r="M1555" s="5">
        <f t="array" ref="M1555">_xlfn.IFS(J1555="NOTFOUND",I1555,J1555&gt;=I1555,J1555)</f>
        <v/>
      </c>
    </row>
    <row r="1556" ht="18" customHeight="1" s="16">
      <c r="A1556" s="5" t="n">
        <v>1555</v>
      </c>
      <c r="B1556" s="8" t="inlineStr">
        <is>
          <t>GU-3807</t>
        </is>
      </c>
      <c r="C1556" s="2" t="n"/>
      <c r="D1556" s="8" t="inlineStr">
        <is>
          <t>ジャンボ GG スモールバッグ</t>
        </is>
      </c>
      <c r="E1556" s="8" t="inlineStr">
        <is>
          <t>795240 AABY0 1000</t>
        </is>
      </c>
      <c r="G1556" s="11" t="inlineStr">
        <is>
          <t>SOLD</t>
        </is>
      </c>
      <c r="H1556" s="22" t="inlineStr">
        <is>
          <t>SOLD</t>
        </is>
      </c>
      <c r="I1556" s="18" t="n">
        <v>264000</v>
      </c>
      <c r="J1556" s="23" t="inlineStr">
        <is>
          <t>NOTFOUND</t>
        </is>
      </c>
      <c r="K1556" s="20" t="n">
        <v>0</v>
      </c>
      <c r="L1556" s="4" t="inlineStr">
        <is>
          <t>https://www.gucci.com/jp/ja/pr/men/small-leather-goods-for-men/mini-bags-pouches/mini-bags-for-men/gg-jumbo-small-bag-p-795240AABY01000</t>
        </is>
      </c>
      <c r="M1556" s="5">
        <f t="array" ref="M1556">_xlfn.IFS(J1556="NOTFOUND",I1556,J1556&gt;=I1556,J1556)</f>
        <v/>
      </c>
    </row>
    <row r="1557" ht="18" customHeight="1" s="16">
      <c r="A1557" s="5" t="n">
        <v>1556</v>
      </c>
      <c r="B1557" s="8" t="inlineStr">
        <is>
          <t>GU-3808</t>
        </is>
      </c>
      <c r="C1557" s="2" t="n"/>
      <c r="D1557" s="8" t="inlineStr">
        <is>
          <t>ジャンボ GG トラベルドキュメントケース</t>
        </is>
      </c>
      <c r="E1557" s="8" t="inlineStr">
        <is>
          <t>751760 AABY0 1000</t>
        </is>
      </c>
      <c r="G1557" s="10" t="inlineStr">
        <is>
          <t>OneSize</t>
        </is>
      </c>
      <c r="H1557" s="17" t="inlineStr">
        <is>
          <t>OneSize</t>
        </is>
      </c>
      <c r="I1557" s="18" t="n">
        <v>264000</v>
      </c>
      <c r="J1557" s="19" t="n">
        <v>264000</v>
      </c>
      <c r="K1557" s="20" t="n">
        <v>5</v>
      </c>
      <c r="L1557" s="4" t="inlineStr">
        <is>
          <t>https://www.gucci.com/jp/ja/pr/men/small-leather-goods-for-men/wallets-for-men/zip-around-long-wallets-for-men/jumbo-gg-travel-document-case-p-751760AABY01000</t>
        </is>
      </c>
      <c r="M1557" s="5">
        <f t="array" ref="M1557">_xlfn.IFS(J1557="NOTFOUND",I1557,J1557&gt;=I1557,J1557)</f>
        <v/>
      </c>
    </row>
    <row r="1558" ht="18" customHeight="1" s="16">
      <c r="A1558" s="5" t="n">
        <v>1557</v>
      </c>
      <c r="B1558" s="8" t="inlineStr">
        <is>
          <t>GU-3809</t>
        </is>
      </c>
      <c r="C1558" s="2" t="n"/>
      <c r="D1558" s="8" t="inlineStr">
        <is>
          <t>ジャンボ GG ミディアム ポーチ</t>
        </is>
      </c>
      <c r="E1558" s="8" t="inlineStr">
        <is>
          <t>739490 AABY0 1000</t>
        </is>
      </c>
      <c r="G1558" s="10" t="inlineStr">
        <is>
          <t>OneSize</t>
        </is>
      </c>
      <c r="H1558" s="17" t="inlineStr">
        <is>
          <t>OneSize</t>
        </is>
      </c>
      <c r="I1558" s="18" t="n">
        <v>143000</v>
      </c>
      <c r="J1558" s="19" t="n">
        <v>143000</v>
      </c>
      <c r="K1558" s="20" t="n">
        <v>5</v>
      </c>
      <c r="L1558" s="4" t="inlineStr">
        <is>
          <t>https://www.gucci.com/jp/ja/pr/men/small-leather-goods-for-men/mini-bags-pouches/pouches-for-men/gg-jumbo-medium-pouch-p-739490AABY01000</t>
        </is>
      </c>
      <c r="M1558" s="5">
        <f t="array" ref="M1558">_xlfn.IFS(J1558="NOTFOUND",I1558,J1558&gt;=I1558,J1558)</f>
        <v/>
      </c>
    </row>
    <row r="1559" ht="18" customHeight="1" s="16">
      <c r="A1559" s="5" t="n">
        <v>1558</v>
      </c>
      <c r="B1559" s="8" t="inlineStr">
        <is>
          <t>GU-3810</t>
        </is>
      </c>
      <c r="C1559" s="2" t="n"/>
      <c r="D1559" s="8" t="inlineStr">
        <is>
          <t>ジャンボGG ジップアラウンドウォレット 財布</t>
        </is>
      </c>
      <c r="E1559" s="8" t="inlineStr">
        <is>
          <t>739484 AABY0 1000</t>
        </is>
      </c>
      <c r="G1559" s="10" t="inlineStr">
        <is>
          <t>OneSize</t>
        </is>
      </c>
      <c r="H1559" s="17" t="inlineStr">
        <is>
          <t>OneSize</t>
        </is>
      </c>
      <c r="I1559" s="18" t="n">
        <v>121000</v>
      </c>
      <c r="J1559" s="19" t="n">
        <v>121000</v>
      </c>
      <c r="K1559" s="20" t="n">
        <v>5</v>
      </c>
      <c r="L1559" s="4" t="inlineStr">
        <is>
          <t>https://www.gucci.com/jp/ja/pr/men/small-leather-goods-for-men/wallets-for-men/zip-around-long-wallets-for-men/jumbo-gg-zip-around-wallet-p-739484AABY01000</t>
        </is>
      </c>
      <c r="M1559" s="5">
        <f t="array" ref="M1559">_xlfn.IFS(J1559="NOTFOUND",I1559,J1559&gt;=I1559,J1559)</f>
        <v/>
      </c>
    </row>
    <row r="1560" ht="18" customHeight="1" s="16">
      <c r="A1560" s="5" t="n">
        <v>1559</v>
      </c>
      <c r="B1560" s="8" t="inlineStr">
        <is>
          <t>GU-3811</t>
        </is>
      </c>
      <c r="C1560" s="2" t="n"/>
      <c r="D1560" s="8" t="inlineStr">
        <is>
          <t>マキシGG ジップアラウンドウォレット 財布</t>
        </is>
      </c>
      <c r="E1560" s="8" t="inlineStr">
        <is>
          <t>739484 AAECE 1046</t>
        </is>
      </c>
      <c r="G1560" s="10" t="inlineStr">
        <is>
          <t>OneSize</t>
        </is>
      </c>
      <c r="H1560" s="17" t="inlineStr">
        <is>
          <t>OneSize</t>
        </is>
      </c>
      <c r="I1560" s="18" t="n">
        <v>121000</v>
      </c>
      <c r="J1560" s="19" t="n">
        <v>121000</v>
      </c>
      <c r="K1560" s="20" t="n">
        <v>5</v>
      </c>
      <c r="L1560" s="4" t="inlineStr">
        <is>
          <t>https://www.gucci.com/jp/ja/pr/men/small-leather-goods-for-men/wallets-for-men/zip-around-long-wallets-for-men/maxi-gg-zip-around-wallet-p-739484AAECE1046</t>
        </is>
      </c>
      <c r="M1560" s="5">
        <f t="array" ref="M1560">_xlfn.IFS(J1560="NOTFOUND",I1560,J1560&gt;=I1560,J1560)</f>
        <v/>
      </c>
    </row>
    <row r="1561" ht="18" customHeight="1" s="16">
      <c r="A1561" s="5" t="n">
        <v>1560</v>
      </c>
      <c r="B1561" s="8" t="inlineStr">
        <is>
          <t>GU-3812</t>
        </is>
      </c>
      <c r="C1561" s="2" t="n"/>
      <c r="D1561" s="8" t="inlineStr">
        <is>
          <t>マキシGG コインウォレット 財布</t>
        </is>
      </c>
      <c r="E1561" s="8" t="inlineStr">
        <is>
          <t>739479 AAECE 1046</t>
        </is>
      </c>
      <c r="G1561" s="10" t="inlineStr">
        <is>
          <t>OneSize</t>
        </is>
      </c>
      <c r="H1561" s="17" t="inlineStr">
        <is>
          <t>OneSize</t>
        </is>
      </c>
      <c r="I1561" s="18" t="n">
        <v>89100</v>
      </c>
      <c r="J1561" s="19" t="n">
        <v>89100</v>
      </c>
      <c r="K1561" s="20" t="n">
        <v>5</v>
      </c>
      <c r="L1561" s="4" t="inlineStr">
        <is>
          <t>https://www.gucci.com/jp/ja/pr/men/small-leather-goods-for-men/wallets-for-men/folded-wallets-for-men/maxi-gg-coin-wallet-p-739479AAECE1046</t>
        </is>
      </c>
      <c r="M1561" s="5">
        <f t="array" ref="M1561">_xlfn.IFS(J1561="NOTFOUND",I1561,J1561&gt;=I1561,J1561)</f>
        <v/>
      </c>
    </row>
    <row r="1562" ht="18" customHeight="1" s="16">
      <c r="A1562" s="5" t="n">
        <v>1561</v>
      </c>
      <c r="B1562" s="8" t="inlineStr">
        <is>
          <t>GU-3813</t>
        </is>
      </c>
      <c r="C1562" s="2" t="n"/>
      <c r="D1562" s="8" t="inlineStr">
        <is>
          <t>ジャンボGG コインウォレット 財布</t>
        </is>
      </c>
      <c r="E1562" s="8" t="inlineStr">
        <is>
          <t>739479 AABY0 1000</t>
        </is>
      </c>
      <c r="G1562" s="10" t="inlineStr">
        <is>
          <t>OneSize</t>
        </is>
      </c>
      <c r="H1562" s="17" t="inlineStr">
        <is>
          <t>OneSize</t>
        </is>
      </c>
      <c r="I1562" s="18" t="n">
        <v>89100</v>
      </c>
      <c r="J1562" s="19" t="n">
        <v>89100</v>
      </c>
      <c r="K1562" s="20" t="n">
        <v>5</v>
      </c>
      <c r="L1562" s="4" t="inlineStr">
        <is>
          <t>https://www.gucci.com/jp/ja/pr/men/small-leather-goods-for-men/wallets-for-men/folded-wallets-for-men/jumbo-gg-coin-wallet-p-739479AABY01000</t>
        </is>
      </c>
      <c r="M1562" s="5">
        <f t="array" ref="M1562">_xlfn.IFS(J1562="NOTFOUND",I1562,J1562&gt;=I1562,J1562)</f>
        <v/>
      </c>
    </row>
    <row r="1563" ht="18" customHeight="1" s="16">
      <c r="A1563" s="5" t="n">
        <v>1562</v>
      </c>
      <c r="B1563" s="8" t="inlineStr">
        <is>
          <t>GU-3814</t>
        </is>
      </c>
      <c r="C1563" s="2" t="n"/>
      <c r="D1563" s="8" t="inlineStr">
        <is>
          <t>ジャンボGG カードケース</t>
        </is>
      </c>
      <c r="E1563" s="8" t="inlineStr">
        <is>
          <t>739478 AABY0 1000</t>
        </is>
      </c>
      <c r="G1563" s="10" t="inlineStr">
        <is>
          <t>OneSize</t>
        </is>
      </c>
      <c r="H1563" s="17" t="inlineStr">
        <is>
          <t>OneSize</t>
        </is>
      </c>
      <c r="I1563" s="18" t="n">
        <v>70400</v>
      </c>
      <c r="J1563" s="19" t="n">
        <v>70400</v>
      </c>
      <c r="K1563" s="20" t="n">
        <v>5</v>
      </c>
      <c r="L1563" s="4" t="inlineStr">
        <is>
          <t>https://www.gucci.com/jp/ja/pr/men/small-leather-goods-for-men/card-holders-coin-cases-for-men/jumbo-gg-card-case-p-739478AABY01000</t>
        </is>
      </c>
      <c r="M1563" s="5">
        <f t="array" ref="M1563">_xlfn.IFS(J1563="NOTFOUND",I1563,J1563&gt;=I1563,J1563)</f>
        <v/>
      </c>
    </row>
    <row r="1564" ht="18" customHeight="1" s="16">
      <c r="A1564" s="5" t="n">
        <v>1563</v>
      </c>
      <c r="B1564" s="8" t="inlineStr">
        <is>
          <t>GU-3815</t>
        </is>
      </c>
      <c r="C1564" s="2" t="n"/>
      <c r="D1564" s="8" t="inlineStr">
        <is>
          <t>ジャンボ GG マネークリップ</t>
        </is>
      </c>
      <c r="E1564" s="8" t="inlineStr">
        <is>
          <t>739477 AABY0 1000</t>
        </is>
      </c>
      <c r="G1564" s="10" t="inlineStr">
        <is>
          <t>OneSize</t>
        </is>
      </c>
      <c r="H1564" s="17" t="inlineStr">
        <is>
          <t>OneSize</t>
        </is>
      </c>
      <c r="I1564" s="18" t="n">
        <v>60500</v>
      </c>
      <c r="J1564" s="19" t="n">
        <v>60500</v>
      </c>
      <c r="K1564" s="20" t="n">
        <v>5</v>
      </c>
      <c r="L1564" s="4" t="inlineStr">
        <is>
          <t>https://www.gucci.com/jp/ja/pr/men/small-leather-goods-for-men/wallets-for-men/folded-wallets-for-men/jumbo-gg-money-clip-p-739477AABY01000</t>
        </is>
      </c>
      <c r="M1564" s="5">
        <f t="array" ref="M1564">_xlfn.IFS(J1564="NOTFOUND",I1564,J1564&gt;=I1564,J1564)</f>
        <v/>
      </c>
    </row>
    <row r="1565" ht="18" customHeight="1" s="16">
      <c r="A1565" s="5" t="n">
        <v>1564</v>
      </c>
      <c r="B1565" s="8" t="inlineStr">
        <is>
          <t>GU-3816</t>
        </is>
      </c>
      <c r="C1565" s="2" t="n"/>
      <c r="D1565" s="8" t="inlineStr">
        <is>
          <t>ラバーエフェクト ミニ メッセンジャーバッグ</t>
        </is>
      </c>
      <c r="E1565" s="8" t="inlineStr">
        <is>
          <t>794062 AAC0G 1000</t>
        </is>
      </c>
      <c r="G1565" s="11" t="inlineStr">
        <is>
          <t>SOLD</t>
        </is>
      </c>
      <c r="H1565" s="22" t="inlineStr">
        <is>
          <t>SOLD</t>
        </is>
      </c>
      <c r="I1565" s="18" t="n">
        <v>214500</v>
      </c>
      <c r="J1565" s="23" t="inlineStr">
        <is>
          <t>NOTFOUND</t>
        </is>
      </c>
      <c r="K1565" s="20" t="n">
        <v>0</v>
      </c>
      <c r="L1565" s="4" t="inlineStr">
        <is>
          <t>https://www.gucci.com/jp/ja/pr/men/small-leather-goods-for-men/mini-bags-pouches/mini-bags-for-men/rubber-effect-mini-messenger-bag-p-794062AAC0G1000</t>
        </is>
      </c>
      <c r="M1565" s="5">
        <f t="array" ref="M1565">_xlfn.IFS(J1565="NOTFOUND",I1565,J1565&gt;=I1565,J1565)</f>
        <v/>
      </c>
    </row>
    <row r="1566" ht="18" customHeight="1" s="16">
      <c r="A1566" s="5" t="n">
        <v>1565</v>
      </c>
      <c r="B1566" s="8" t="inlineStr">
        <is>
          <t>GU-3817</t>
        </is>
      </c>
      <c r="C1566" s="2" t="n"/>
      <c r="D1566" s="8" t="inlineStr">
        <is>
          <t>GG ラバーエフェクト ジップアラウンドウォレット 財布</t>
        </is>
      </c>
      <c r="E1566" s="8" t="inlineStr">
        <is>
          <t>771421 AAC0L 1000</t>
        </is>
      </c>
      <c r="G1566" s="11" t="inlineStr">
        <is>
          <t>SOLD</t>
        </is>
      </c>
      <c r="H1566" s="22" t="inlineStr">
        <is>
          <t>SOLD</t>
        </is>
      </c>
      <c r="I1566" s="18" t="n">
        <v>107800</v>
      </c>
      <c r="J1566" s="23" t="inlineStr">
        <is>
          <t>NOTFOUND</t>
        </is>
      </c>
      <c r="K1566" s="20" t="n">
        <v>0</v>
      </c>
      <c r="L1566" s="4" t="inlineStr">
        <is>
          <t>https://www.gucci.com/jp/ja/pr/men/small-leather-goods-for-men/wallets-for-men/zip-around-long-wallets-for-men/gg-rubber-effect-zip-around-wallet-p-771421AAC0L1000</t>
        </is>
      </c>
      <c r="M1566" s="5">
        <f t="array" ref="M1566">_xlfn.IFS(J1566="NOTFOUND",I1566,J1566&gt;=I1566,J1566)</f>
        <v/>
      </c>
    </row>
    <row r="1567" ht="18" customHeight="1" s="16">
      <c r="A1567" s="5" t="n">
        <v>1566</v>
      </c>
      <c r="B1567" s="8" t="inlineStr">
        <is>
          <t>GU-3818</t>
        </is>
      </c>
      <c r="C1567" s="2" t="n"/>
      <c r="D1567" s="8" t="inlineStr">
        <is>
          <t>GG ラバーエフェクト ミニ ショルダーバッグ</t>
        </is>
      </c>
      <c r="E1567" s="8" t="inlineStr">
        <is>
          <t>771321 AAC0G 1000</t>
        </is>
      </c>
      <c r="G1567" s="10" t="inlineStr">
        <is>
          <t>OneSize</t>
        </is>
      </c>
      <c r="H1567" s="17" t="inlineStr">
        <is>
          <t>OneSize</t>
        </is>
      </c>
      <c r="I1567" s="18" t="n">
        <v>184800</v>
      </c>
      <c r="J1567" s="19" t="n">
        <v>184800</v>
      </c>
      <c r="K1567" s="20" t="n">
        <v>5</v>
      </c>
      <c r="L1567" s="4" t="inlineStr">
        <is>
          <t>https://www.gucci.com/jp/ja/pr/men/small-leather-goods-for-men/mini-bags-pouches/mini-bags-for-men/gg-rubber-effect-mini-shoulder-bag-p-771321AAC0G1000</t>
        </is>
      </c>
      <c r="M1567" s="5">
        <f t="array" ref="M1567">_xlfn.IFS(J1567="NOTFOUND",I1567,J1567&gt;=I1567,J1567)</f>
        <v/>
      </c>
    </row>
    <row r="1568" ht="18" customHeight="1" s="16">
      <c r="A1568" s="5" t="n">
        <v>1567</v>
      </c>
      <c r="B1568" s="8" t="inlineStr">
        <is>
          <t>GU-3819</t>
        </is>
      </c>
      <c r="C1568" s="2" t="n"/>
      <c r="D1568" s="8" t="inlineStr">
        <is>
          <t>GG ラバーエフェクト カードケース</t>
        </is>
      </c>
      <c r="E1568" s="8" t="inlineStr">
        <is>
          <t>771315 AAC0L 1000</t>
        </is>
      </c>
      <c r="G1568" s="11" t="inlineStr">
        <is>
          <t>SOLD</t>
        </is>
      </c>
      <c r="H1568" s="22" t="inlineStr">
        <is>
          <t>SOLD</t>
        </is>
      </c>
      <c r="I1568" s="18" t="n">
        <v>46200</v>
      </c>
      <c r="J1568" s="23" t="inlineStr">
        <is>
          <t>NOTFOUND</t>
        </is>
      </c>
      <c r="K1568" s="20" t="n">
        <v>0</v>
      </c>
      <c r="L1568" s="4" t="inlineStr">
        <is>
          <t>https://www.gucci.com/jp/ja/pr/men/small-leather-goods-for-men/card-holders-coin-cases-for-men/gg-rubber-effect-card-case-p-771315AAC0L1000</t>
        </is>
      </c>
      <c r="M1568" s="5">
        <f t="array" ref="M1568">_xlfn.IFS(J1568="NOTFOUND",I1568,J1568&gt;=I1568,J1568)</f>
        <v/>
      </c>
    </row>
    <row r="1569" ht="18" customHeight="1" s="16">
      <c r="A1569" s="5" t="n">
        <v>1568</v>
      </c>
      <c r="B1569" s="8" t="inlineStr">
        <is>
          <t>GU-3820</t>
        </is>
      </c>
      <c r="C1569" s="2" t="n"/>
      <c r="D1569" s="8" t="inlineStr">
        <is>
          <t>GG ラバーエフェクト キーケース</t>
        </is>
      </c>
      <c r="E1569" s="8" t="inlineStr">
        <is>
          <t>771312 AAC0G 1000</t>
        </is>
      </c>
      <c r="G1569" s="11" t="inlineStr">
        <is>
          <t>SOLD</t>
        </is>
      </c>
      <c r="H1569" s="22" t="inlineStr">
        <is>
          <t>SOLD</t>
        </is>
      </c>
      <c r="I1569" s="18" t="n">
        <v>56100</v>
      </c>
      <c r="J1569" s="23" t="inlineStr">
        <is>
          <t>NOTFOUND</t>
        </is>
      </c>
      <c r="K1569" s="20" t="n">
        <v>0</v>
      </c>
      <c r="L1569" s="4" t="inlineStr">
        <is>
          <t>https://www.gucci.com/jp/ja/pr/men/small-leather-goods-for-men/key-rings-key-cases-for-men/gg-rubber-effect-keycase-p-771312AAC0G1000</t>
        </is>
      </c>
      <c r="M1569" s="5">
        <f t="array" ref="M1569">_xlfn.IFS(J1569="NOTFOUND",I1569,J1569&gt;=I1569,J1569)</f>
        <v/>
      </c>
    </row>
    <row r="1570" ht="18" customHeight="1" s="16">
      <c r="A1570" s="5" t="n">
        <v>1569</v>
      </c>
      <c r="B1570" s="8" t="inlineStr">
        <is>
          <t>GU-3821</t>
        </is>
      </c>
      <c r="C1570" s="2" t="n"/>
      <c r="D1570" s="8" t="inlineStr">
        <is>
          <t>GG ラバーエフェクト コインウォレット 財布</t>
        </is>
      </c>
      <c r="E1570" s="8" t="inlineStr">
        <is>
          <t>771311 AAC0L 1000</t>
        </is>
      </c>
      <c r="G1570" s="11" t="inlineStr">
        <is>
          <t>SOLD</t>
        </is>
      </c>
      <c r="H1570" s="22" t="inlineStr">
        <is>
          <t>SOLD</t>
        </is>
      </c>
      <c r="I1570" s="18" t="n">
        <v>82500</v>
      </c>
      <c r="J1570" s="23" t="inlineStr">
        <is>
          <t>NOTFOUND</t>
        </is>
      </c>
      <c r="K1570" s="20" t="n">
        <v>0</v>
      </c>
      <c r="L1570" s="4" t="inlineStr">
        <is>
          <t>https://www.gucci.com/jp/ja/pr/men/small-leather-goods-for-men/wallets-for-men/folded-wallets-for-men/gg-rubber-effect-coin-wallet-p-771311AAC0L1000</t>
        </is>
      </c>
      <c r="M1570" s="5">
        <f t="array" ref="M1570">_xlfn.IFS(J1570="NOTFOUND",I1570,J1570&gt;=I1570,J1570)</f>
        <v/>
      </c>
    </row>
    <row r="1571" ht="18" customHeight="1" s="16">
      <c r="A1571" s="5" t="n">
        <v>1570</v>
      </c>
      <c r="B1571" s="8" t="inlineStr">
        <is>
          <t>GU-3822</t>
        </is>
      </c>
      <c r="C1571" s="2" t="n"/>
      <c r="D1571" s="8" t="inlineStr">
        <is>
          <t>ヒグチユウコ 猫 （ボリス）チャーム</t>
        </is>
      </c>
      <c r="E1571" s="8" t="inlineStr">
        <is>
          <t>844247 JAAJU 8085</t>
        </is>
      </c>
      <c r="G1571" s="10" t="inlineStr">
        <is>
          <t>OneSize</t>
        </is>
      </c>
      <c r="H1571" s="17" t="inlineStr">
        <is>
          <t>OneSize</t>
        </is>
      </c>
      <c r="I1571" s="18" t="n">
        <v>74800</v>
      </c>
      <c r="J1571" s="19" t="n">
        <v>74800</v>
      </c>
      <c r="K1571" s="20" t="n">
        <v>5</v>
      </c>
      <c r="L1571" s="4" t="inlineStr">
        <is>
          <t>https://www.gucci.com/jp/ja/pr/men/small-leather-goods-for-men/key-rings-key-cases-for-men/yuko-higuchi-cat-shaped-keychain-p-844247JAAJU8085</t>
        </is>
      </c>
      <c r="M1571" s="5">
        <f t="array" ref="M1571">_xlfn.IFS(J1571="NOTFOUND",I1571,J1571&gt;=I1571,J1571)</f>
        <v/>
      </c>
    </row>
    <row r="1572" ht="18" customHeight="1" s="16">
      <c r="A1572" s="5" t="n">
        <v>1571</v>
      </c>
      <c r="B1572" s="8" t="inlineStr">
        <is>
          <t>GU-3823</t>
        </is>
      </c>
      <c r="C1572" s="2" t="n"/>
      <c r="D1572" s="8" t="inlineStr">
        <is>
          <t>ヒグチユウコ 猫 （ボー）チャーム</t>
        </is>
      </c>
      <c r="E1572" s="8" t="inlineStr">
        <is>
          <t>844246 JAAJT 8085</t>
        </is>
      </c>
      <c r="G1572" s="10" t="inlineStr">
        <is>
          <t>OneSize</t>
        </is>
      </c>
      <c r="H1572" s="17" t="inlineStr">
        <is>
          <t>OneSize</t>
        </is>
      </c>
      <c r="I1572" s="18" t="n">
        <v>74800</v>
      </c>
      <c r="J1572" s="19" t="n">
        <v>74800</v>
      </c>
      <c r="K1572" s="20" t="n">
        <v>5</v>
      </c>
      <c r="L1572" s="4" t="inlineStr">
        <is>
          <t>https://www.gucci.com/jp/ja/pr/men/small-leather-goods-for-men/key-rings-key-cases-for-men/yuko-higuchi-cat-shaped-keychain-p-844246JAAJT8085</t>
        </is>
      </c>
      <c r="M1572" s="5">
        <f t="array" ref="M1572">_xlfn.IFS(J1572="NOTFOUND",I1572,J1572&gt;=I1572,J1572)</f>
        <v/>
      </c>
    </row>
    <row r="1573" ht="18" customHeight="1" s="16">
      <c r="A1573" s="5" t="n">
        <v>1572</v>
      </c>
      <c r="B1573" s="8" t="inlineStr">
        <is>
          <t>GU-3824</t>
        </is>
      </c>
      <c r="C1573" s="2" t="n"/>
      <c r="D1573" s="8" t="inlineStr">
        <is>
          <t>ロゴ カードケース</t>
        </is>
      </c>
      <c r="E1573" s="8" t="inlineStr">
        <is>
          <t>835071 AAE1W 1000</t>
        </is>
      </c>
      <c r="G1573" s="10" t="inlineStr">
        <is>
          <t>OneSize</t>
        </is>
      </c>
      <c r="H1573" s="17" t="inlineStr">
        <is>
          <t>OneSize</t>
        </is>
      </c>
      <c r="I1573" s="18" t="n">
        <v>60500</v>
      </c>
      <c r="J1573" s="19" t="n">
        <v>60500</v>
      </c>
      <c r="K1573" s="20" t="n">
        <v>5</v>
      </c>
      <c r="L1573" s="4" t="inlineStr">
        <is>
          <t>https://www.gucci.com/jp/ja/pr/men/small-leather-goods-for-men/card-holders-coin-cases-for-men/card-case-with-logo-p-835071AAE1W1000</t>
        </is>
      </c>
      <c r="M1573" s="5">
        <f t="array" ref="M1573">_xlfn.IFS(J1573="NOTFOUND",I1573,J1573&gt;=I1573,J1573)</f>
        <v/>
      </c>
    </row>
    <row r="1574" ht="18" customHeight="1" s="16">
      <c r="A1574" s="5" t="n">
        <v>1573</v>
      </c>
      <c r="B1574" s="8" t="inlineStr">
        <is>
          <t>GU-3825</t>
        </is>
      </c>
      <c r="C1574" s="2" t="n"/>
      <c r="D1574" s="8" t="inlineStr">
        <is>
          <t>ダブルG 二つ折りカードケース</t>
        </is>
      </c>
      <c r="E1574" s="8" t="inlineStr">
        <is>
          <t>835053 AAE07 1000</t>
        </is>
      </c>
      <c r="G1574" s="10" t="inlineStr">
        <is>
          <t>OneSize</t>
        </is>
      </c>
      <c r="H1574" s="17" t="inlineStr">
        <is>
          <t>OneSize</t>
        </is>
      </c>
      <c r="I1574" s="18" t="n">
        <v>57200</v>
      </c>
      <c r="J1574" s="19" t="n">
        <v>57200</v>
      </c>
      <c r="K1574" s="20" t="n">
        <v>5</v>
      </c>
      <c r="L1574" s="4" t="inlineStr">
        <is>
          <t>https://www.gucci.com/jp/ja/pr/men/small-leather-goods-for-men/card-holders-coin-cases-for-men/gg-marmont-bi-fold-card-case-p-835053AAE071000</t>
        </is>
      </c>
      <c r="M1574" s="5">
        <f t="array" ref="M1574">_xlfn.IFS(J1574="NOTFOUND",I1574,J1574&gt;=I1574,J1574)</f>
        <v/>
      </c>
    </row>
    <row r="1575" ht="18" customHeight="1" s="16">
      <c r="A1575" s="5" t="n">
        <v>1574</v>
      </c>
      <c r="B1575" s="8" t="inlineStr">
        <is>
          <t>GU-3826</t>
        </is>
      </c>
      <c r="C1575" s="2" t="n"/>
      <c r="D1575" s="8" t="inlineStr">
        <is>
          <t>ダブルG カードケース</t>
        </is>
      </c>
      <c r="E1575" s="8" t="inlineStr">
        <is>
          <t>835049 AAE07 1000</t>
        </is>
      </c>
      <c r="G1575" s="10" t="inlineStr">
        <is>
          <t>OneSize</t>
        </is>
      </c>
      <c r="H1575" s="17" t="inlineStr">
        <is>
          <t>OneSize</t>
        </is>
      </c>
      <c r="I1575" s="18" t="n">
        <v>45100</v>
      </c>
      <c r="J1575" s="19" t="n">
        <v>45100</v>
      </c>
      <c r="K1575" s="20" t="n">
        <v>5</v>
      </c>
      <c r="L1575" s="4" t="inlineStr">
        <is>
          <t>https://www.gucci.com/jp/ja/pr/men/small-leather-goods-for-men/card-holders-coin-cases-for-men/gg-marmont-card-case-p-835049AAE071000</t>
        </is>
      </c>
      <c r="M1575" s="5">
        <f t="array" ref="M1575">_xlfn.IFS(J1575="NOTFOUND",I1575,J1575&gt;=I1575,J1575)</f>
        <v/>
      </c>
    </row>
    <row r="1576" ht="18" customHeight="1" s="16">
      <c r="A1576" s="5" t="n">
        <v>1575</v>
      </c>
      <c r="B1576" s="8" t="inlineStr">
        <is>
          <t>GU-3827</t>
        </is>
      </c>
      <c r="C1576" s="2" t="n"/>
      <c r="D1576" s="8" t="inlineStr">
        <is>
          <t>ダブルG コイン ウォレット 財布</t>
        </is>
      </c>
      <c r="E1576" s="8" t="inlineStr">
        <is>
          <t>835048 AAE07 1000</t>
        </is>
      </c>
      <c r="G1576" s="10" t="inlineStr">
        <is>
          <t>OneSize</t>
        </is>
      </c>
      <c r="H1576" s="17" t="inlineStr">
        <is>
          <t>OneSize</t>
        </is>
      </c>
      <c r="I1576" s="18" t="n">
        <v>84700</v>
      </c>
      <c r="J1576" s="19" t="n">
        <v>84700</v>
      </c>
      <c r="K1576" s="20" t="n">
        <v>5</v>
      </c>
      <c r="L1576" s="4" t="inlineStr">
        <is>
          <t>https://www.gucci.com/jp/ja/pr/men/small-leather-goods-for-men/wallets-for-men/folded-wallets-for-men/gg-marmont-coin-wallet-p-835048AAE071000</t>
        </is>
      </c>
      <c r="M1576" s="5">
        <f t="array" ref="M1576">_xlfn.IFS(J1576="NOTFOUND",I1576,J1576&gt;=I1576,J1576)</f>
        <v/>
      </c>
    </row>
    <row r="1577" ht="18" customHeight="1" s="16">
      <c r="A1577" s="5" t="n">
        <v>1576</v>
      </c>
      <c r="B1577" s="8" t="inlineStr">
        <is>
          <t>GU-3828</t>
        </is>
      </c>
      <c r="C1577" s="2" t="n"/>
      <c r="D1577" s="8" t="inlineStr">
        <is>
          <t>GGキャンバス ミニバッグ</t>
        </is>
      </c>
      <c r="E1577" s="8" t="inlineStr">
        <is>
          <t>834258 FAEOG 3241</t>
        </is>
      </c>
      <c r="G1577" s="10" t="inlineStr">
        <is>
          <t>OneSize</t>
        </is>
      </c>
      <c r="H1577" s="17" t="inlineStr">
        <is>
          <t>OneSize</t>
        </is>
      </c>
      <c r="I1577" s="18" t="n">
        <v>214500</v>
      </c>
      <c r="J1577" s="19" t="n">
        <v>214500</v>
      </c>
      <c r="K1577" s="20" t="n">
        <v>5</v>
      </c>
      <c r="L1577" s="4" t="inlineStr">
        <is>
          <t>https://www.gucci.com/jp/ja/pr/men/small-leather-goods-for-men/mini-bags-pouches/mini-bags-for-men/gg-canvas-mini-slingbag-p-834258FAEOG3241</t>
        </is>
      </c>
      <c r="M1577" s="5">
        <f t="array" ref="M1577">_xlfn.IFS(J1577="NOTFOUND",I1577,J1577&gt;=I1577,J1577)</f>
        <v/>
      </c>
    </row>
    <row r="1578" ht="18" customHeight="1" s="16">
      <c r="A1578" s="5" t="n">
        <v>1577</v>
      </c>
      <c r="B1578" s="8" t="inlineStr">
        <is>
          <t>GU-3829</t>
        </is>
      </c>
      <c r="C1578" s="2" t="n"/>
      <c r="D1578" s="8" t="inlineStr">
        <is>
          <t>バイカラー ジップアラウンドウォレット 財布</t>
        </is>
      </c>
      <c r="E1578" s="8" t="inlineStr">
        <is>
          <t>822051 FACQC 9773</t>
        </is>
      </c>
      <c r="G1578" s="11" t="inlineStr">
        <is>
          <t>SOLD</t>
        </is>
      </c>
      <c r="H1578" s="22" t="inlineStr">
        <is>
          <t>SOLD</t>
        </is>
      </c>
      <c r="I1578" s="18" t="n">
        <v>112200</v>
      </c>
      <c r="J1578" s="23" t="inlineStr">
        <is>
          <t>NOTFOUND</t>
        </is>
      </c>
      <c r="K1578" s="20" t="n">
        <v>0</v>
      </c>
      <c r="L1578" s="4" t="inlineStr">
        <is>
          <t>https://www.gucci.com/jp/ja/pr/men/small-leather-goods-for-men/wallets-for-men/zip-around-long-wallets-for-men/bi-color-zip-around-wallet-p-822051FACQC9773</t>
        </is>
      </c>
      <c r="M1578" s="5">
        <f t="array" ref="M1578">_xlfn.IFS(J1578="NOTFOUND",I1578,J1578&gt;=I1578,J1578)</f>
        <v/>
      </c>
    </row>
    <row r="1579" ht="18" customHeight="1" s="16">
      <c r="A1579" s="5" t="n">
        <v>1578</v>
      </c>
      <c r="B1579" s="8" t="inlineStr">
        <is>
          <t>GU-3830</t>
        </is>
      </c>
      <c r="C1579" s="2" t="n"/>
      <c r="D1579" s="8" t="inlineStr">
        <is>
          <t>バイカラー ジップアラウンドウォレット 財布</t>
        </is>
      </c>
      <c r="E1579" s="8" t="inlineStr">
        <is>
          <t>822051 FACQC 1048</t>
        </is>
      </c>
      <c r="G1579" s="11" t="inlineStr">
        <is>
          <t>SOLD</t>
        </is>
      </c>
      <c r="H1579" s="22" t="inlineStr">
        <is>
          <t>SOLD</t>
        </is>
      </c>
      <c r="I1579" s="18" t="n">
        <v>112200</v>
      </c>
      <c r="J1579" s="23" t="inlineStr">
        <is>
          <t>NOTFOUND</t>
        </is>
      </c>
      <c r="K1579" s="20" t="n">
        <v>0</v>
      </c>
      <c r="L1579" s="4" t="inlineStr">
        <is>
          <t>https://www.gucci.com/jp/ja/pr/men/small-leather-goods-for-men/wallets-for-men/zip-around-long-wallets-for-men/bi-color-zip-around-wallet-p-822051FACQC1048</t>
        </is>
      </c>
      <c r="M1579" s="5">
        <f t="array" ref="M1579">_xlfn.IFS(J1579="NOTFOUND",I1579,J1579&gt;=I1579,J1579)</f>
        <v/>
      </c>
    </row>
    <row r="1580" ht="18" customHeight="1" s="16">
      <c r="A1580" s="5" t="n">
        <v>1579</v>
      </c>
      <c r="B1580" s="8" t="inlineStr">
        <is>
          <t>GU-3831</t>
        </is>
      </c>
      <c r="C1580" s="2" t="n"/>
      <c r="D1580" s="8" t="inlineStr">
        <is>
          <t>GGエンブレムスモール ビジネスケース</t>
        </is>
      </c>
      <c r="E1580" s="8" t="inlineStr">
        <is>
          <t>821156 FAD6M 1000</t>
        </is>
      </c>
      <c r="G1580" s="10" t="inlineStr">
        <is>
          <t>OneSize</t>
        </is>
      </c>
      <c r="H1580" s="17" t="inlineStr">
        <is>
          <t>OneSize</t>
        </is>
      </c>
      <c r="I1580" s="18" t="n">
        <v>165000</v>
      </c>
      <c r="J1580" s="19" t="n">
        <v>165000</v>
      </c>
      <c r="K1580" s="20" t="n">
        <v>5</v>
      </c>
      <c r="L1580" s="4" t="inlineStr">
        <is>
          <t>https://www.gucci.com/jp/ja/pr/men/small-leather-goods-for-men/mini-bags-pouches/pouches-for-men/gg-emblem-small-business-case-p-821156FAD6M1000</t>
        </is>
      </c>
      <c r="M1580" s="5">
        <f t="array" ref="M1580">_xlfn.IFS(J1580="NOTFOUND",I1580,J1580&gt;=I1580,J1580)</f>
        <v/>
      </c>
    </row>
    <row r="1581" ht="18" customHeight="1" s="16">
      <c r="A1581" s="5" t="n">
        <v>1580</v>
      </c>
      <c r="B1581" s="8" t="inlineStr">
        <is>
          <t>GU-3832</t>
        </is>
      </c>
      <c r="C1581" s="2" t="n"/>
      <c r="D1581" s="8" t="inlineStr">
        <is>
          <t>バイカラー ジップ キーケース</t>
        </is>
      </c>
      <c r="E1581" s="8" t="inlineStr">
        <is>
          <t>820666 FACQC 1048</t>
        </is>
      </c>
      <c r="G1581" s="10" t="inlineStr">
        <is>
          <t>OneSize</t>
        </is>
      </c>
      <c r="H1581" s="17" t="inlineStr">
        <is>
          <t>OneSize</t>
        </is>
      </c>
      <c r="I1581" s="18" t="n">
        <v>46750</v>
      </c>
      <c r="J1581" s="19" t="n">
        <v>46750</v>
      </c>
      <c r="K1581" s="20" t="n">
        <v>5</v>
      </c>
      <c r="L1581" s="4" t="inlineStr">
        <is>
          <t>https://www.gucci.com/jp/ja/pr/men/small-leather-goods-for-men/card-holders-coin-cases-for-men/bi-color-zip-key-case-p-820666FACQC1048</t>
        </is>
      </c>
      <c r="M1581" s="5">
        <f t="array" ref="M1581">_xlfn.IFS(J1581="NOTFOUND",I1581,J1581&gt;=I1581,J1581)</f>
        <v/>
      </c>
    </row>
    <row r="1582" ht="18" customHeight="1" s="16">
      <c r="A1582" s="5" t="n">
        <v>1581</v>
      </c>
      <c r="B1582" s="8" t="inlineStr">
        <is>
          <t>GU-3833</t>
        </is>
      </c>
      <c r="C1582" s="2" t="n"/>
      <c r="D1582" s="8" t="inlineStr">
        <is>
          <t>ウェブ ストライプ付き スマートフォン用ネックストラップ</t>
        </is>
      </c>
      <c r="E1582" s="8" t="inlineStr">
        <is>
          <t>817376 HAAKK 8558</t>
        </is>
      </c>
      <c r="G1582" s="10" t="inlineStr">
        <is>
          <t>OneSize</t>
        </is>
      </c>
      <c r="H1582" s="22" t="inlineStr">
        <is>
          <t>SOLD</t>
        </is>
      </c>
      <c r="I1582" s="18" t="n">
        <v>50600</v>
      </c>
      <c r="J1582" s="19" t="n">
        <v>50600</v>
      </c>
      <c r="K1582" s="20" t="n">
        <v>0</v>
      </c>
      <c r="L1582" s="4" t="inlineStr">
        <is>
          <t>https://www.gucci.com/jp/ja/pr/men/small-leather-goods-for-men/tech-accessories-for-men/lanyard-phone-holder-with-web-p-817376HAAKK8558</t>
        </is>
      </c>
      <c r="M1582" s="5">
        <f t="array" ref="M1582">_xlfn.IFS(J1582="NOTFOUND",I1582,J1582&gt;=I1582,J1582)</f>
        <v/>
      </c>
    </row>
    <row r="1583" ht="18" customHeight="1" s="16">
      <c r="A1583" s="5" t="n">
        <v>1582</v>
      </c>
      <c r="B1583" s="8" t="inlineStr">
        <is>
          <t>GU-3834</t>
        </is>
      </c>
      <c r="C1583" s="2" t="n"/>
      <c r="D1583" s="8" t="inlineStr">
        <is>
          <t xml:space="preserve">スマートフォン用 マグネットカードケース </t>
        </is>
      </c>
      <c r="E1583" s="8" t="inlineStr">
        <is>
          <t>817197 FACQC 9773</t>
        </is>
      </c>
      <c r="G1583" s="10" t="inlineStr">
        <is>
          <t>OneSize</t>
        </is>
      </c>
      <c r="H1583" s="17" t="inlineStr">
        <is>
          <t>OneSize</t>
        </is>
      </c>
      <c r="I1583" s="18" t="n">
        <v>57200</v>
      </c>
      <c r="J1583" s="19" t="n">
        <v>57200</v>
      </c>
      <c r="K1583" s="20" t="n">
        <v>5</v>
      </c>
      <c r="L1583" s="4" t="inlineStr">
        <is>
          <t>https://www.gucci.com/jp/ja/pr/men/small-leather-goods-for-men/card-holders-coin-cases-for-men/bi-color-magnetic-card-case-p-817197FACQC9773</t>
        </is>
      </c>
      <c r="M1583" s="5">
        <f t="array" ref="M1583">_xlfn.IFS(J1583="NOTFOUND",I1583,J1583&gt;=I1583,J1583)</f>
        <v/>
      </c>
    </row>
    <row r="1584" ht="18" customHeight="1" s="16">
      <c r="A1584" s="5" t="n">
        <v>1583</v>
      </c>
      <c r="B1584" s="8" t="inlineStr">
        <is>
          <t>GU-3835</t>
        </is>
      </c>
      <c r="C1584" s="2" t="n"/>
      <c r="D1584" s="8" t="inlineStr">
        <is>
          <t>スマートフォン用 マグネットカードケース</t>
        </is>
      </c>
      <c r="E1584" s="8" t="inlineStr">
        <is>
          <t>817197 FACQC 1048</t>
        </is>
      </c>
      <c r="G1584" s="10" t="inlineStr">
        <is>
          <t>OneSize</t>
        </is>
      </c>
      <c r="H1584" s="17" t="inlineStr">
        <is>
          <t>OneSize</t>
        </is>
      </c>
      <c r="I1584" s="18" t="n">
        <v>57200</v>
      </c>
      <c r="J1584" s="19" t="n">
        <v>57200</v>
      </c>
      <c r="K1584" s="20" t="n">
        <v>5</v>
      </c>
      <c r="L1584" s="4" t="inlineStr">
        <is>
          <t>https://www.gucci.com/jp/ja/pr/men/small-leather-goods-for-men/card-holders-coin-cases-for-men/bi-color-magnetic-card-case-p-817197FACQC1048</t>
        </is>
      </c>
      <c r="M1584" s="5">
        <f t="array" ref="M1584">_xlfn.IFS(J1584="NOTFOUND",I1584,J1584&gt;=I1584,J1584)</f>
        <v/>
      </c>
    </row>
    <row r="1585" ht="18" customHeight="1" s="16">
      <c r="A1585" s="5" t="n">
        <v>1584</v>
      </c>
      <c r="B1585" s="8" t="inlineStr">
        <is>
          <t>GU-3836</t>
        </is>
      </c>
      <c r="C1585" s="2" t="n"/>
      <c r="D1585" s="8" t="inlineStr">
        <is>
          <t>オフィディアフック クロージャー付き キーチェーン</t>
        </is>
      </c>
      <c r="E1585" s="8" t="inlineStr">
        <is>
          <t>794061 K9GST 8358</t>
        </is>
      </c>
      <c r="G1585" s="10" t="inlineStr">
        <is>
          <t>OneSize</t>
        </is>
      </c>
      <c r="H1585" s="17" t="inlineStr">
        <is>
          <t>OneSize</t>
        </is>
      </c>
      <c r="I1585" s="18" t="n">
        <v>42900</v>
      </c>
      <c r="J1585" s="19" t="n">
        <v>42900</v>
      </c>
      <c r="K1585" s="20" t="n">
        <v>5</v>
      </c>
      <c r="L1585" s="4" t="inlineStr">
        <is>
          <t>https://www.gucci.com/jp/ja/pr/men/small-leather-goods-for-men/key-rings-key-cases-for-men/ophidia-keychain-with-hook-closure-p-794061K9GST8358</t>
        </is>
      </c>
      <c r="M1585" s="5">
        <f t="array" ref="M1585">_xlfn.IFS(J1585="NOTFOUND",I1585,J1585&gt;=I1585,J1585)</f>
        <v/>
      </c>
    </row>
    <row r="1586" ht="18" customHeight="1" s="16">
      <c r="A1586" s="5" t="n">
        <v>1585</v>
      </c>
      <c r="B1586" s="8" t="inlineStr">
        <is>
          <t>GU-3837</t>
        </is>
      </c>
      <c r="C1586" s="2" t="n"/>
      <c r="D1586" s="8" t="inlineStr">
        <is>
          <t>オフィディアフック クロージャー付き キーチェーン</t>
        </is>
      </c>
      <c r="E1586" s="8" t="inlineStr">
        <is>
          <t>794061 UULBN 1244</t>
        </is>
      </c>
      <c r="G1586" s="10" t="inlineStr">
        <is>
          <t>OneSize</t>
        </is>
      </c>
      <c r="H1586" s="17" t="inlineStr">
        <is>
          <t>OneSize</t>
        </is>
      </c>
      <c r="I1586" s="18" t="n">
        <v>42900</v>
      </c>
      <c r="J1586" s="19" t="n">
        <v>42900</v>
      </c>
      <c r="K1586" s="20" t="n">
        <v>5</v>
      </c>
      <c r="L1586" s="4" t="inlineStr">
        <is>
          <t>https://www.gucci.com/jp/ja/pr/men/small-leather-goods-for-men/key-rings-key-cases-for-men/ophidia-keychain-with-hook-closure-p-794061UULBN1244</t>
        </is>
      </c>
      <c r="M1586" s="5">
        <f t="array" ref="M1586">_xlfn.IFS(J1586="NOTFOUND",I1586,J1586&gt;=I1586,J1586)</f>
        <v/>
      </c>
    </row>
    <row r="1587" ht="18" customHeight="1" s="16">
      <c r="A1587" s="5" t="n">
        <v>1586</v>
      </c>
      <c r="B1587" s="8" t="inlineStr">
        <is>
          <t>GU-3838</t>
        </is>
      </c>
      <c r="C1587" s="2" t="n"/>
      <c r="D1587" s="8" t="inlineStr">
        <is>
          <t>GGマーモントミニ ショルダーバッグ</t>
        </is>
      </c>
      <c r="E1587" s="8" t="inlineStr">
        <is>
          <t>841290 AAFAX 9050</t>
        </is>
      </c>
      <c r="G1587" s="10" t="inlineStr">
        <is>
          <t>OneSize</t>
        </is>
      </c>
      <c r="H1587" s="17" t="inlineStr">
        <is>
          <t>OneSize</t>
        </is>
      </c>
      <c r="I1587" s="18" t="n">
        <v>192500</v>
      </c>
      <c r="J1587" s="19" t="n">
        <v>192500</v>
      </c>
      <c r="K1587" s="20" t="n">
        <v>5</v>
      </c>
      <c r="L1587" s="4" t="inlineStr">
        <is>
          <t>https://www.gucci.com/jp/ja/pr/women/handbags/mini-bags-for-women/gg-marmont-mini-shoulder-bag-p-841290AAFAX9050</t>
        </is>
      </c>
      <c r="M1587" s="5">
        <f t="array" ref="M1587">_xlfn.IFS(J1587="NOTFOUND",I1587,J1587&gt;=I1587,J1587)</f>
        <v/>
      </c>
    </row>
    <row r="1588" ht="18" customHeight="1" s="16">
      <c r="A1588" s="5" t="n">
        <v>1587</v>
      </c>
      <c r="B1588" s="8" t="inlineStr">
        <is>
          <t>GU-3839</t>
        </is>
      </c>
      <c r="C1588" s="2" t="n"/>
      <c r="D1588" s="8" t="inlineStr">
        <is>
          <t>ダブルG カードケース ウォレット 財布</t>
        </is>
      </c>
      <c r="E1588" s="8" t="inlineStr">
        <is>
          <t>466492 AAFA2 4928</t>
        </is>
      </c>
      <c r="G1588" s="10" t="inlineStr">
        <is>
          <t>OneSize</t>
        </is>
      </c>
      <c r="H1588" s="22" t="inlineStr">
        <is>
          <t>SOLD</t>
        </is>
      </c>
      <c r="I1588" s="18" t="n">
        <v>72600</v>
      </c>
      <c r="J1588" s="19" t="n">
        <v>72600</v>
      </c>
      <c r="K1588" s="20" t="n">
        <v>0</v>
      </c>
      <c r="L1588" s="4" t="inlineStr">
        <is>
          <t>https://www.gucci.com/jp/ja/pr/women/small-leather-goods-for-women/folded-wallets-for-women/gg-marmont-mini-wallet-p-466492AAFA24928</t>
        </is>
      </c>
      <c r="M1588" s="5">
        <f t="array" ref="M1588">_xlfn.IFS(J1588="NOTFOUND",I1588,J1588&gt;=I1588,J1588)</f>
        <v/>
      </c>
    </row>
    <row r="1589" ht="18" customHeight="1" s="16">
      <c r="A1589" s="5" t="n">
        <v>1588</v>
      </c>
      <c r="B1589" s="8" t="inlineStr">
        <is>
          <t>GU-3840</t>
        </is>
      </c>
      <c r="C1589" s="2" t="n"/>
      <c r="D1589" s="8" t="inlineStr">
        <is>
          <t>ダブルG カードケース ウォレット 財布</t>
        </is>
      </c>
      <c r="E1589" s="8" t="inlineStr">
        <is>
          <t>466492 AAFA2 3520</t>
        </is>
      </c>
      <c r="G1589" s="10" t="inlineStr">
        <is>
          <t>OneSize</t>
        </is>
      </c>
      <c r="H1589" s="17" t="inlineStr">
        <is>
          <t>OneSize</t>
        </is>
      </c>
      <c r="I1589" s="18" t="n">
        <v>72600</v>
      </c>
      <c r="J1589" s="19" t="n">
        <v>72600</v>
      </c>
      <c r="K1589" s="20" t="n">
        <v>5</v>
      </c>
      <c r="L1589" s="4" t="inlineStr">
        <is>
          <t>https://www.gucci.com/jp/ja/pr/women/small-leather-goods-for-women/folded-wallets-for-women/gg-marmont-mini-wallet-p-466492AAFA23520</t>
        </is>
      </c>
      <c r="M1589" s="5">
        <f t="array" ref="M1589">_xlfn.IFS(J1589="NOTFOUND",I1589,J1589&gt;=I1589,J1589)</f>
        <v/>
      </c>
    </row>
    <row r="1590" ht="18" customHeight="1" s="16">
      <c r="A1590" s="5" t="n">
        <v>1589</v>
      </c>
      <c r="B1590" s="8" t="inlineStr">
        <is>
          <t>GU-3841</t>
        </is>
      </c>
      <c r="C1590" s="2" t="n"/>
      <c r="D1590" s="8" t="inlineStr">
        <is>
          <t>ダブルG キーケース</t>
        </is>
      </c>
      <c r="E1590" s="8" t="inlineStr">
        <is>
          <t>837747 AAFA2 3520</t>
        </is>
      </c>
      <c r="G1590" s="10" t="inlineStr">
        <is>
          <t>OneSize</t>
        </is>
      </c>
      <c r="H1590" s="17" t="inlineStr">
        <is>
          <t>OneSize</t>
        </is>
      </c>
      <c r="I1590" s="18" t="n">
        <v>70400</v>
      </c>
      <c r="J1590" s="19" t="n">
        <v>70400</v>
      </c>
      <c r="K1590" s="20" t="n">
        <v>5</v>
      </c>
      <c r="L1590" s="4" t="inlineStr">
        <is>
          <t>https://www.gucci.com/jp/ja/pr/women/small-leather-goods-for-women/card-coin-cases-for-women/gg-marmont-key-case-p-837747AAFA23520</t>
        </is>
      </c>
      <c r="M1590" s="5">
        <f t="array" ref="M1590">_xlfn.IFS(J1590="NOTFOUND",I1590,J1590&gt;=I1590,J1590)</f>
        <v/>
      </c>
    </row>
    <row r="1591" ht="18" customHeight="1" s="16">
      <c r="A1591" s="5" t="n">
        <v>1590</v>
      </c>
      <c r="B1591" s="8" t="inlineStr">
        <is>
          <t>GU-3842</t>
        </is>
      </c>
      <c r="C1591" s="2" t="n"/>
      <c r="D1591" s="8" t="inlineStr">
        <is>
          <t>ダブルG カードケース</t>
        </is>
      </c>
      <c r="E1591" s="8" t="inlineStr">
        <is>
          <t>837966 AAE5E 3551</t>
        </is>
      </c>
      <c r="G1591" s="10" t="inlineStr">
        <is>
          <t>OneSize</t>
        </is>
      </c>
      <c r="H1591" s="17" t="inlineStr">
        <is>
          <t>OneSize</t>
        </is>
      </c>
      <c r="I1591" s="18" t="n">
        <v>71500</v>
      </c>
      <c r="J1591" s="19" t="n">
        <v>71500</v>
      </c>
      <c r="K1591" s="20" t="n">
        <v>5</v>
      </c>
      <c r="L1591" s="4" t="inlineStr">
        <is>
          <t>https://www.gucci.com/jp/ja/pr/women/small-leather-goods-for-women/card-coin-cases-for-women/gg-marmont-card-case-p-837966AAE5E3551</t>
        </is>
      </c>
      <c r="M1591" s="5">
        <f t="array" ref="M1591">_xlfn.IFS(J1591="NOTFOUND",I1591,J1591&gt;=I1591,J1591)</f>
        <v/>
      </c>
    </row>
    <row r="1592" ht="18" customHeight="1" s="16">
      <c r="A1592" s="5" t="n">
        <v>1591</v>
      </c>
      <c r="B1592" s="8" t="inlineStr">
        <is>
          <t>GU-3843</t>
        </is>
      </c>
      <c r="C1592" s="2" t="n"/>
      <c r="D1592" s="8" t="inlineStr">
        <is>
          <t>ダブルG バイカラー コンチネンタルウォレット 財布</t>
        </is>
      </c>
      <c r="E1592" s="8" t="inlineStr">
        <is>
          <t>841360 AAE5E 3551</t>
        </is>
      </c>
      <c r="G1592" s="10" t="inlineStr">
        <is>
          <t>OneSize</t>
        </is>
      </c>
      <c r="H1592" s="17" t="inlineStr">
        <is>
          <t>OneSize</t>
        </is>
      </c>
      <c r="I1592" s="18" t="n">
        <v>89100</v>
      </c>
      <c r="J1592" s="19" t="n">
        <v>89100</v>
      </c>
      <c r="K1592" s="20" t="n">
        <v>5</v>
      </c>
      <c r="L1592" s="4" t="inlineStr">
        <is>
          <t>https://www.gucci.com/jp/ja/pr/women/small-leather-goods-for-women/folded-wallets-for-women/gg-marmont-bi-color-medium-wallet-p-841360AAE5E3551</t>
        </is>
      </c>
      <c r="M1592" s="5">
        <f t="array" ref="M1592">_xlfn.IFS(J1592="NOTFOUND",I1592,J1592&gt;=I1592,J1592)</f>
        <v/>
      </c>
    </row>
    <row r="1593" ht="18" customHeight="1" s="16">
      <c r="A1593" s="5" t="n">
        <v>1592</v>
      </c>
      <c r="B1593" s="8" t="inlineStr">
        <is>
          <t>GU-3844</t>
        </is>
      </c>
      <c r="C1593" s="2" t="n"/>
      <c r="D1593" s="8" t="inlineStr">
        <is>
          <t>ダブルG カードケース</t>
        </is>
      </c>
      <c r="E1593" s="8" t="inlineStr">
        <is>
          <t>837966 AAE5F 2843</t>
        </is>
      </c>
      <c r="G1593" s="10" t="inlineStr">
        <is>
          <t>OneSize</t>
        </is>
      </c>
      <c r="H1593" s="17" t="inlineStr">
        <is>
          <t>OneSize</t>
        </is>
      </c>
      <c r="I1593" s="18" t="n">
        <v>71500</v>
      </c>
      <c r="J1593" s="19" t="n">
        <v>71500</v>
      </c>
      <c r="K1593" s="20" t="n">
        <v>5</v>
      </c>
      <c r="L1593" s="4" t="inlineStr">
        <is>
          <t>https://www.gucci.com/jp/ja/pr/women/small-leather-goods-for-women/card-coin-cases-for-women/gg-marmont-card-case-p-837966AAE5F2843</t>
        </is>
      </c>
      <c r="M1593" s="5">
        <f t="array" ref="M1593">_xlfn.IFS(J1593="NOTFOUND",I1593,J1593&gt;=I1593,J1593)</f>
        <v/>
      </c>
    </row>
    <row r="1594" ht="18" customHeight="1" s="16">
      <c r="A1594" s="5" t="n">
        <v>1593</v>
      </c>
      <c r="B1594" s="8" t="inlineStr">
        <is>
          <t>GU-3845</t>
        </is>
      </c>
      <c r="C1594" s="2" t="n"/>
      <c r="D1594" s="8" t="inlineStr">
        <is>
          <t>ダブルG バイカラー ミニ ウォレット 財布</t>
        </is>
      </c>
      <c r="E1594" s="8" t="inlineStr">
        <is>
          <t>837957 AAE5F 2843</t>
        </is>
      </c>
      <c r="G1594" s="10" t="inlineStr">
        <is>
          <t>OneSize</t>
        </is>
      </c>
      <c r="H1594" s="17" t="inlineStr">
        <is>
          <t>OneSize</t>
        </is>
      </c>
      <c r="I1594" s="18" t="n">
        <v>91300</v>
      </c>
      <c r="J1594" s="19" t="n">
        <v>91300</v>
      </c>
      <c r="K1594" s="20" t="n">
        <v>5</v>
      </c>
      <c r="L1594" s="4" t="inlineStr">
        <is>
          <t>https://www.gucci.com/jp/ja/pr/women/small-leather-goods-for-women/card-coin-cases-for-women/gg-marmont-bi-color-mini-wallet-p-837957AAE5F2843</t>
        </is>
      </c>
      <c r="M1594" s="5">
        <f t="array" ref="M1594">_xlfn.IFS(J1594="NOTFOUND",I1594,J1594&gt;=I1594,J1594)</f>
        <v/>
      </c>
    </row>
    <row r="1595" ht="18" customHeight="1" s="16">
      <c r="A1595" s="5" t="n">
        <v>1594</v>
      </c>
      <c r="B1595" s="8" t="inlineStr">
        <is>
          <t>GU-3846</t>
        </is>
      </c>
      <c r="C1595" s="2" t="n"/>
      <c r="D1595" s="8" t="inlineStr">
        <is>
          <t>ダブルG ジップアラウンドウォレット 財布</t>
        </is>
      </c>
      <c r="E1595" s="8" t="inlineStr">
        <is>
          <t>456117 AAE5F 2843</t>
        </is>
      </c>
      <c r="G1595" s="10" t="inlineStr">
        <is>
          <t>OneSize</t>
        </is>
      </c>
      <c r="H1595" s="17" t="inlineStr">
        <is>
          <t>OneSize</t>
        </is>
      </c>
      <c r="I1595" s="18" t="n">
        <v>93500</v>
      </c>
      <c r="J1595" s="19" t="n">
        <v>93500</v>
      </c>
      <c r="K1595" s="20" t="n">
        <v>5</v>
      </c>
      <c r="L1595" s="4" t="inlineStr">
        <is>
          <t>https://www.gucci.com/jp/ja/pr/women/small-leather-goods-for-women/zip-around-wallets-for-women/gg-marmont-continental-wallet-p-456117AAE5F2843</t>
        </is>
      </c>
      <c r="M1595" s="5">
        <f t="array" ref="M1595">_xlfn.IFS(J1595="NOTFOUND",I1595,J1595&gt;=I1595,J1595)</f>
        <v/>
      </c>
    </row>
    <row r="1596" ht="18" customHeight="1" s="16">
      <c r="A1596" s="5" t="n">
        <v>1595</v>
      </c>
      <c r="B1596" s="8" t="inlineStr">
        <is>
          <t>GU-3847</t>
        </is>
      </c>
      <c r="C1596" s="2" t="n"/>
      <c r="D1596" s="8" t="inlineStr">
        <is>
          <t>ダブルG カードケース ウォレット 財布</t>
        </is>
      </c>
      <c r="E1596" s="8" t="inlineStr">
        <is>
          <t>456126 AAE5F 2843</t>
        </is>
      </c>
      <c r="G1596" s="10" t="inlineStr">
        <is>
          <t>OneSize</t>
        </is>
      </c>
      <c r="H1596" s="17" t="inlineStr">
        <is>
          <t>OneSize</t>
        </is>
      </c>
      <c r="I1596" s="18" t="n">
        <v>63800</v>
      </c>
      <c r="J1596" s="19" t="n">
        <v>63800</v>
      </c>
      <c r="K1596" s="20" t="n">
        <v>5</v>
      </c>
      <c r="L1596" s="4" t="inlineStr">
        <is>
          <t>https://www.gucci.com/jp/ja/pr/women/small-leather-goods-for-women/folded-wallets-for-women/gg-marmont-mini-wallet-p-456126AAE5F2843</t>
        </is>
      </c>
      <c r="M1596" s="5">
        <f t="array" ref="M1596">_xlfn.IFS(J1596="NOTFOUND",I1596,J1596&gt;=I1596,J1596)</f>
        <v/>
      </c>
    </row>
    <row r="1597" ht="18" customHeight="1" s="16">
      <c r="A1597" s="5" t="n">
        <v>1596</v>
      </c>
      <c r="B1597" s="8" t="inlineStr">
        <is>
          <t>GU-3848</t>
        </is>
      </c>
      <c r="C1597" s="2" t="n"/>
      <c r="D1597" s="8" t="inlineStr">
        <is>
          <t>ダブルG キーケース</t>
        </is>
      </c>
      <c r="E1597" s="8" t="inlineStr">
        <is>
          <t>837747 AAET8 1000</t>
        </is>
      </c>
      <c r="G1597" s="10" t="inlineStr">
        <is>
          <t>OneSize</t>
        </is>
      </c>
      <c r="H1597" s="17" t="inlineStr">
        <is>
          <t>OneSize</t>
        </is>
      </c>
      <c r="I1597" s="18" t="n">
        <v>70400</v>
      </c>
      <c r="J1597" s="19" t="n">
        <v>70400</v>
      </c>
      <c r="K1597" s="20" t="n">
        <v>5</v>
      </c>
      <c r="L1597" s="4" t="inlineStr">
        <is>
          <t>https://www.gucci.com/jp/ja/pr/women/small-leather-goods-for-women/card-coin-cases-for-women/gg-marmont-key-case-p-837747AAET81000</t>
        </is>
      </c>
      <c r="M1597" s="5">
        <f t="array" ref="M1597">_xlfn.IFS(J1597="NOTFOUND",I1597,J1597&gt;=I1597,J1597)</f>
        <v/>
      </c>
    </row>
    <row r="1598" ht="18" customHeight="1" s="16">
      <c r="A1598" s="5" t="n">
        <v>1597</v>
      </c>
      <c r="B1598" s="8" t="inlineStr">
        <is>
          <t>GU-3849</t>
        </is>
      </c>
      <c r="C1598" s="2" t="n"/>
      <c r="D1598" s="8" t="inlineStr">
        <is>
          <t>ダブルG キーケース</t>
        </is>
      </c>
      <c r="E1598" s="8" t="inlineStr">
        <is>
          <t>837747 AAET8 6207</t>
        </is>
      </c>
      <c r="G1598" s="10" t="inlineStr">
        <is>
          <t>OneSize</t>
        </is>
      </c>
      <c r="H1598" s="17" t="inlineStr">
        <is>
          <t>OneSize</t>
        </is>
      </c>
      <c r="I1598" s="18" t="n">
        <v>70400</v>
      </c>
      <c r="J1598" s="19" t="n">
        <v>70400</v>
      </c>
      <c r="K1598" s="20" t="n">
        <v>5</v>
      </c>
      <c r="L1598" s="4" t="inlineStr">
        <is>
          <t>https://www.gucci.com/jp/ja/pr/women/small-leather-goods-for-women/card-coin-cases-for-women/gg-marmont-key-case-p-837747AAET86207</t>
        </is>
      </c>
      <c r="M1598" s="5">
        <f t="array" ref="M1598">_xlfn.IFS(J1598="NOTFOUND",I1598,J1598&gt;=I1598,J1598)</f>
        <v/>
      </c>
    </row>
    <row r="1599" ht="18" customHeight="1" s="16">
      <c r="A1599" s="5" t="n">
        <v>1598</v>
      </c>
      <c r="B1599" s="8" t="inlineStr">
        <is>
          <t>GU-3850</t>
        </is>
      </c>
      <c r="C1599" s="2" t="n"/>
      <c r="D1599" s="8" t="inlineStr">
        <is>
          <t>GGマーモントミニ ショルダーバッグ</t>
        </is>
      </c>
      <c r="E1599" s="8" t="inlineStr">
        <is>
          <t>841290 AAFAX 1000</t>
        </is>
      </c>
      <c r="G1599" s="10" t="inlineStr">
        <is>
          <t>OneSize</t>
        </is>
      </c>
      <c r="H1599" s="17" t="inlineStr">
        <is>
          <t>OneSize</t>
        </is>
      </c>
      <c r="I1599" s="18" t="n">
        <v>192500</v>
      </c>
      <c r="J1599" s="19" t="n">
        <v>192500</v>
      </c>
      <c r="K1599" s="20" t="n">
        <v>5</v>
      </c>
      <c r="L1599" s="4" t="inlineStr">
        <is>
          <t>https://www.gucci.com/jp/ja/pr/women/handbags/mini-bags-for-women/gg-marmont-mini-shoulder-bag-p-841290AAFAX1000</t>
        </is>
      </c>
      <c r="M1599" s="5">
        <f t="array" ref="M1599">_xlfn.IFS(J1599="NOTFOUND",I1599,J1599&gt;=I1599,J1599)</f>
        <v/>
      </c>
    </row>
    <row r="1600" ht="18" customHeight="1" s="16">
      <c r="A1600" s="5" t="n">
        <v>1599</v>
      </c>
      <c r="B1600" s="8" t="inlineStr">
        <is>
          <t>GU-3851</t>
        </is>
      </c>
      <c r="C1600" s="2" t="n"/>
      <c r="D1600" s="8" t="inlineStr">
        <is>
          <t>GGマーモントミニ ショルダーバッグ</t>
        </is>
      </c>
      <c r="E1600" s="8" t="inlineStr">
        <is>
          <t>841290 AAFAX 6207</t>
        </is>
      </c>
      <c r="G1600" s="10" t="inlineStr">
        <is>
          <t>OneSize</t>
        </is>
      </c>
      <c r="H1600" s="17" t="inlineStr">
        <is>
          <t>OneSize</t>
        </is>
      </c>
      <c r="I1600" s="18" t="n">
        <v>192500</v>
      </c>
      <c r="J1600" s="19" t="n">
        <v>192500</v>
      </c>
      <c r="K1600" s="20" t="n">
        <v>5</v>
      </c>
      <c r="L1600" s="4" t="inlineStr">
        <is>
          <t>https://www.gucci.com/jp/ja/pr/women/handbags/mini-bags-for-women/gg-marmont-mini-shoulder-bag-p-841290AAFAX6207</t>
        </is>
      </c>
      <c r="M1600" s="5">
        <f t="array" ref="M1600">_xlfn.IFS(J1600="NOTFOUND",I1600,J1600&gt;=I1600,J1600)</f>
        <v/>
      </c>
    </row>
    <row r="1601" ht="18" customHeight="1" s="16">
      <c r="A1601" s="5" t="n">
        <v>1600</v>
      </c>
      <c r="B1601" s="8" t="inlineStr">
        <is>
          <t>GU-3852</t>
        </is>
      </c>
      <c r="C1601" s="2" t="n"/>
      <c r="D1601" s="8" t="inlineStr">
        <is>
          <t>GGマーモントチェーンストラップ ミニバッグ</t>
        </is>
      </c>
      <c r="E1601" s="8" t="inlineStr">
        <is>
          <t>837742 AAET8 1000</t>
        </is>
      </c>
      <c r="G1601" s="10" t="inlineStr">
        <is>
          <t>OneSize</t>
        </is>
      </c>
      <c r="H1601" s="17" t="inlineStr">
        <is>
          <t>OneSize</t>
        </is>
      </c>
      <c r="I1601" s="18" t="n">
        <v>269500</v>
      </c>
      <c r="J1601" s="19" t="n">
        <v>269500</v>
      </c>
      <c r="K1601" s="20" t="n">
        <v>5</v>
      </c>
      <c r="L1601" s="4" t="inlineStr">
        <is>
          <t>https://www.gucci.com/jp/ja/pr/women/handbags/mini-bags-for-women/gg-marmont-pochette-with-chain-p-837742AAET81000</t>
        </is>
      </c>
      <c r="M1601" s="5">
        <f t="array" ref="M1601">_xlfn.IFS(J1601="NOTFOUND",I1601,J1601&gt;=I1601,J1601)</f>
        <v/>
      </c>
    </row>
    <row r="1602" ht="18" customHeight="1" s="16">
      <c r="A1602" s="5" t="n">
        <v>1601</v>
      </c>
      <c r="B1602" s="8" t="inlineStr">
        <is>
          <t>GU-3853</t>
        </is>
      </c>
      <c r="C1602" s="2" t="n"/>
      <c r="D1602" s="8" t="inlineStr">
        <is>
          <t>GGマーモントチェーンストラップ ミニバッグ</t>
        </is>
      </c>
      <c r="E1602" s="8" t="inlineStr">
        <is>
          <t>837742 AAET8 6207</t>
        </is>
      </c>
      <c r="G1602" s="10" t="inlineStr">
        <is>
          <t>OneSize</t>
        </is>
      </c>
      <c r="H1602" s="17" t="inlineStr">
        <is>
          <t>OneSize</t>
        </is>
      </c>
      <c r="I1602" s="18" t="n">
        <v>269500</v>
      </c>
      <c r="J1602" s="19" t="n">
        <v>269500</v>
      </c>
      <c r="K1602" s="20" t="n">
        <v>5</v>
      </c>
      <c r="L1602" s="4" t="inlineStr">
        <is>
          <t>https://www.gucci.com/jp/ja/pr/women/handbags/mini-bags-for-women/gg-marmont-pochette-with-chain-p-837742AAET86207</t>
        </is>
      </c>
      <c r="M1602" s="5">
        <f t="array" ref="M1602">_xlfn.IFS(J1602="NOTFOUND",I1602,J1602&gt;=I1602,J1602)</f>
        <v/>
      </c>
    </row>
    <row r="1603" ht="18" customHeight="1" s="16">
      <c r="A1603" s="5" t="n">
        <v>1602</v>
      </c>
      <c r="B1603" s="8" t="inlineStr">
        <is>
          <t>GU-3854</t>
        </is>
      </c>
      <c r="C1603" s="2" t="n"/>
      <c r="D1603" s="8" t="inlineStr">
        <is>
          <t>GGマーモントミニバッグ</t>
        </is>
      </c>
      <c r="E1603" s="8" t="inlineStr">
        <is>
          <t>837753 AAET8 1000</t>
        </is>
      </c>
      <c r="G1603" s="10" t="inlineStr">
        <is>
          <t>OneSize</t>
        </is>
      </c>
      <c r="H1603" s="17" t="inlineStr">
        <is>
          <t>OneSize</t>
        </is>
      </c>
      <c r="I1603" s="18" t="n">
        <v>187000</v>
      </c>
      <c r="J1603" s="19" t="n">
        <v>187000</v>
      </c>
      <c r="K1603" s="20" t="n">
        <v>5</v>
      </c>
      <c r="L1603" s="4" t="inlineStr">
        <is>
          <t>https://www.gucci.com/jp/ja/pr/women/handbags/mini-bags-for-women/gg-marmont-mini-bag-p-837753AAET81000</t>
        </is>
      </c>
      <c r="M1603" s="5">
        <f t="array" ref="M1603">_xlfn.IFS(J1603="NOTFOUND",I1603,J1603&gt;=I1603,J1603)</f>
        <v/>
      </c>
    </row>
    <row r="1604" ht="18" customHeight="1" s="16">
      <c r="A1604" s="5" t="n">
        <v>1603</v>
      </c>
      <c r="B1604" s="8" t="inlineStr">
        <is>
          <t>GU-3855</t>
        </is>
      </c>
      <c r="C1604" s="2" t="n"/>
      <c r="D1604" s="8" t="inlineStr">
        <is>
          <t>ダブルG カードケース ウォレット 財布</t>
        </is>
      </c>
      <c r="E1604" s="8" t="inlineStr">
        <is>
          <t>466492 DTDHV 6207</t>
        </is>
      </c>
      <c r="G1604" s="10" t="inlineStr">
        <is>
          <t>OneSize</t>
        </is>
      </c>
      <c r="H1604" s="17" t="inlineStr">
        <is>
          <t>OneSize</t>
        </is>
      </c>
      <c r="I1604" s="18" t="n">
        <v>72600</v>
      </c>
      <c r="J1604" s="19" t="n">
        <v>72600</v>
      </c>
      <c r="K1604" s="20" t="n">
        <v>5</v>
      </c>
      <c r="L1604" s="4" t="inlineStr">
        <is>
          <t>https://www.gucci.com/jp/ja/pr/women/small-leather-goods-for-women/folded-wallets-for-women/gg-marmont-card-case-wallet-p-466492DTDHV6207</t>
        </is>
      </c>
      <c r="M1604" s="5">
        <f t="array" ref="M1604">_xlfn.IFS(J1604="NOTFOUND",I1604,J1604&gt;=I1604,J1604)</f>
        <v/>
      </c>
    </row>
    <row r="1605" ht="18" customHeight="1" s="16">
      <c r="A1605" s="5" t="n">
        <v>1604</v>
      </c>
      <c r="B1605" s="8" t="inlineStr">
        <is>
          <t>GU-3856</t>
        </is>
      </c>
      <c r="C1605" s="2" t="n"/>
      <c r="D1605" s="8" t="inlineStr">
        <is>
          <t>ダブルG 二つ折りウォレット 財布</t>
        </is>
      </c>
      <c r="E1605" s="8" t="inlineStr">
        <is>
          <t>772738 AAC1P 1061</t>
        </is>
      </c>
      <c r="G1605" s="10" t="inlineStr">
        <is>
          <t>OneSize</t>
        </is>
      </c>
      <c r="H1605" s="22" t="inlineStr">
        <is>
          <t>SOLD</t>
        </is>
      </c>
      <c r="I1605" s="18" t="n">
        <v>89100</v>
      </c>
      <c r="J1605" s="19" t="n">
        <v>89100</v>
      </c>
      <c r="K1605" s="20" t="n">
        <v>0</v>
      </c>
      <c r="L1605" s="4" t="inlineStr">
        <is>
          <t>https://www.gucci.com/jp/ja/pr/women/small-leather-goods-for-women/folded-wallets-for-women/gg-marmont-bi-fold-wallet-p-772738AAC1P1061</t>
        </is>
      </c>
      <c r="M1605" s="5">
        <f t="array" ref="M1605">_xlfn.IFS(J1605="NOTFOUND",I1605,J1605&gt;=I1605,J1605)</f>
        <v/>
      </c>
    </row>
    <row r="1606" ht="18" customHeight="1" s="16">
      <c r="A1606" s="5" t="n">
        <v>1605</v>
      </c>
      <c r="B1606" s="8" t="inlineStr">
        <is>
          <t>GU-3857</t>
        </is>
      </c>
      <c r="C1606" s="2" t="n"/>
      <c r="D1606" s="8" t="inlineStr">
        <is>
          <t>ダブルG カードケース</t>
        </is>
      </c>
      <c r="E1606" s="8" t="inlineStr">
        <is>
          <t>837966 AAE5F 6259</t>
        </is>
      </c>
      <c r="G1606" s="10" t="inlineStr">
        <is>
          <t>OneSize</t>
        </is>
      </c>
      <c r="H1606" s="17" t="inlineStr">
        <is>
          <t>OneSize</t>
        </is>
      </c>
      <c r="I1606" s="18" t="n">
        <v>71500</v>
      </c>
      <c r="J1606" s="19" t="n">
        <v>71500</v>
      </c>
      <c r="K1606" s="20" t="n">
        <v>5</v>
      </c>
      <c r="L1606" s="4" t="inlineStr">
        <is>
          <t>https://www.gucci.com/jp/ja/pr/women/small-leather-goods-for-women/card-coin-cases-for-women/gg-marmont-card-case-p-837966AAE5F6259</t>
        </is>
      </c>
      <c r="M1606" s="5">
        <f t="array" ref="M1606">_xlfn.IFS(J1606="NOTFOUND",I1606,J1606&gt;=I1606,J1606)</f>
        <v/>
      </c>
    </row>
    <row r="1607" ht="18" customHeight="1" s="16">
      <c r="A1607" s="5" t="n">
        <v>1606</v>
      </c>
      <c r="B1607" s="8" t="inlineStr">
        <is>
          <t>GU-3858</t>
        </is>
      </c>
      <c r="C1607" s="2" t="n"/>
      <c r="D1607" s="8" t="inlineStr">
        <is>
          <t>ダブルG カードケース ウォレット 財布</t>
        </is>
      </c>
      <c r="E1607" s="8" t="inlineStr">
        <is>
          <t>456126 CAO0G 1000</t>
        </is>
      </c>
      <c r="G1607" s="10" t="inlineStr">
        <is>
          <t>OneSize</t>
        </is>
      </c>
      <c r="H1607" s="17" t="inlineStr">
        <is>
          <t>OneSize</t>
        </is>
      </c>
      <c r="I1607" s="18" t="n">
        <v>63800</v>
      </c>
      <c r="J1607" s="19" t="n">
        <v>63800</v>
      </c>
      <c r="K1607" s="20" t="n">
        <v>5</v>
      </c>
      <c r="L1607" s="4" t="inlineStr">
        <is>
          <t>https://www.gucci.com/jp/ja/pr/women/small-leather-goods-for-women/folded-wallets-for-women/gg-marmont-card-case-wallet-p-456126CAO0G1000</t>
        </is>
      </c>
      <c r="M1607" s="5">
        <f t="array" ref="M1607">_xlfn.IFS(J1607="NOTFOUND",I1607,J1607&gt;=I1607,J1607)</f>
        <v/>
      </c>
    </row>
    <row r="1608" ht="18" customHeight="1" s="16">
      <c r="A1608" s="5" t="n">
        <v>1607</v>
      </c>
      <c r="B1608" s="8" t="inlineStr">
        <is>
          <t>GU-3859</t>
        </is>
      </c>
      <c r="C1608" s="2" t="n"/>
      <c r="D1608" s="8" t="inlineStr">
        <is>
          <t>ダブルG カードケース ウォレット 財布</t>
        </is>
      </c>
      <c r="E1608" s="8" t="inlineStr">
        <is>
          <t>456126 AAE5F 6259</t>
        </is>
      </c>
      <c r="G1608" s="10" t="inlineStr">
        <is>
          <t>OneSize</t>
        </is>
      </c>
      <c r="H1608" s="17" t="inlineStr">
        <is>
          <t>OneSize</t>
        </is>
      </c>
      <c r="I1608" s="18" t="n">
        <v>63800</v>
      </c>
      <c r="J1608" s="19" t="n">
        <v>63800</v>
      </c>
      <c r="K1608" s="20" t="n">
        <v>5</v>
      </c>
      <c r="L1608" s="4" t="inlineStr">
        <is>
          <t>https://www.gucci.com/jp/ja/pr/women/small-leather-goods-for-women/folded-wallets-for-women/gg-marmont-mini-wallet-p-456126AAE5F6259</t>
        </is>
      </c>
      <c r="M1608" s="5">
        <f t="array" ref="M1608">_xlfn.IFS(J1608="NOTFOUND",I1608,J1608&gt;=I1608,J1608)</f>
        <v/>
      </c>
    </row>
    <row r="1609" ht="18" customHeight="1" s="16">
      <c r="A1609" s="5" t="n">
        <v>1608</v>
      </c>
      <c r="B1609" s="8" t="inlineStr">
        <is>
          <t>GU-3860</t>
        </is>
      </c>
      <c r="C1609" s="2" t="n"/>
      <c r="D1609" s="8" t="inlineStr">
        <is>
          <t>ダブルG ジップアラウンドウォレット 財布</t>
        </is>
      </c>
      <c r="E1609" s="8" t="inlineStr">
        <is>
          <t>456117 CAO0G 1000</t>
        </is>
      </c>
      <c r="G1609" s="10" t="inlineStr">
        <is>
          <t>OneSize</t>
        </is>
      </c>
      <c r="H1609" s="17" t="inlineStr">
        <is>
          <t>OneSize</t>
        </is>
      </c>
      <c r="I1609" s="18" t="n">
        <v>93500</v>
      </c>
      <c r="J1609" s="19" t="n">
        <v>93500</v>
      </c>
      <c r="K1609" s="20" t="n">
        <v>5</v>
      </c>
      <c r="L1609" s="4" t="inlineStr">
        <is>
          <t>https://www.gucci.com/jp/ja/pr/women/small-leather-goods-for-women/zip-around-wallets-for-women/gg-marmont-zip-around-wallet-p-456117CAO0G1000</t>
        </is>
      </c>
      <c r="M1609" s="5">
        <f t="array" ref="M1609">_xlfn.IFS(J1609="NOTFOUND",I1609,J1609&gt;=I1609,J1609)</f>
        <v/>
      </c>
    </row>
    <row r="1610" ht="18" customHeight="1" s="16">
      <c r="A1610" s="5" t="n">
        <v>1609</v>
      </c>
      <c r="B1610" s="8" t="inlineStr">
        <is>
          <t>GU-3861</t>
        </is>
      </c>
      <c r="C1610" s="2" t="n"/>
      <c r="D1610" s="8" t="inlineStr">
        <is>
          <t>ダブルG バイカラー ミニ ウォレット 財布</t>
        </is>
      </c>
      <c r="E1610" s="8" t="inlineStr">
        <is>
          <t>837957 AAE5F 6259</t>
        </is>
      </c>
      <c r="G1610" s="10" t="inlineStr">
        <is>
          <t>OneSize</t>
        </is>
      </c>
      <c r="H1610" s="17" t="inlineStr">
        <is>
          <t>OneSize</t>
        </is>
      </c>
      <c r="I1610" s="18" t="n">
        <v>91300</v>
      </c>
      <c r="J1610" s="19" t="n">
        <v>91300</v>
      </c>
      <c r="K1610" s="20" t="n">
        <v>5</v>
      </c>
      <c r="L1610" s="4" t="inlineStr">
        <is>
          <t>https://www.gucci.com/jp/ja/pr/women/small-leather-goods-for-women/card-coin-cases-for-women/gg-marmont-bi-color-mini-wallet-p-837957AAE5F6259</t>
        </is>
      </c>
      <c r="M1610" s="5">
        <f t="array" ref="M1610">_xlfn.IFS(J1610="NOTFOUND",I1610,J1610&gt;=I1610,J1610)</f>
        <v/>
      </c>
    </row>
    <row r="1611" ht="18" customHeight="1" s="16">
      <c r="A1611" s="5" t="n">
        <v>1610</v>
      </c>
      <c r="B1611" s="8" t="inlineStr">
        <is>
          <t>GU-3862</t>
        </is>
      </c>
      <c r="C1611" s="2" t="n"/>
      <c r="D1611" s="8" t="inlineStr">
        <is>
          <t>ダブルG ジップアラウンドウォレット 財布</t>
        </is>
      </c>
      <c r="E1611" s="8" t="inlineStr">
        <is>
          <t>456117 AAE5F 6259</t>
        </is>
      </c>
      <c r="G1611" s="10" t="inlineStr">
        <is>
          <t>OneSize</t>
        </is>
      </c>
      <c r="H1611" s="17" t="inlineStr">
        <is>
          <t>OneSize</t>
        </is>
      </c>
      <c r="I1611" s="18" t="n">
        <v>93500</v>
      </c>
      <c r="J1611" s="19" t="n">
        <v>93500</v>
      </c>
      <c r="K1611" s="20" t="n">
        <v>5</v>
      </c>
      <c r="L1611" s="4" t="inlineStr">
        <is>
          <t>https://www.gucci.com/jp/ja/pr/women/small-leather-goods-for-women/zip-around-wallets-for-women/gg-marmont-continental-wallet-p-456117AAE5F6259</t>
        </is>
      </c>
      <c r="M1611" s="5">
        <f t="array" ref="M1611">_xlfn.IFS(J1611="NOTFOUND",I1611,J1611&gt;=I1611,J1611)</f>
        <v/>
      </c>
    </row>
    <row r="1612" ht="18" customHeight="1" s="16">
      <c r="A1612" s="5" t="n">
        <v>1611</v>
      </c>
      <c r="B1612" s="8" t="inlineStr">
        <is>
          <t>GU-3863</t>
        </is>
      </c>
      <c r="C1612" s="2" t="n"/>
      <c r="D1612" s="8" t="inlineStr">
        <is>
          <t>ダブルG バイカラー ミニ ウォレット 財布</t>
        </is>
      </c>
      <c r="E1612" s="8" t="inlineStr">
        <is>
          <t>841358 AAE5E 6258</t>
        </is>
      </c>
      <c r="G1612" s="10" t="inlineStr">
        <is>
          <t>OneSize</t>
        </is>
      </c>
      <c r="H1612" s="17" t="inlineStr">
        <is>
          <t>OneSize</t>
        </is>
      </c>
      <c r="I1612" s="18" t="n">
        <v>63800</v>
      </c>
      <c r="J1612" s="19" t="n">
        <v>63800</v>
      </c>
      <c r="K1612" s="20" t="n">
        <v>5</v>
      </c>
      <c r="L1612" s="4" t="inlineStr">
        <is>
          <t>https://www.gucci.com/jp/ja/pr/women/small-leather-goods-for-women/folded-wallets-for-women/gg-marmont-bi-color-mini-wallet-p-841358AAE5E6258</t>
        </is>
      </c>
      <c r="M1612" s="5">
        <f t="array" ref="M1612">_xlfn.IFS(J1612="NOTFOUND",I1612,J1612&gt;=I1612,J1612)</f>
        <v/>
      </c>
    </row>
    <row r="1613" ht="18" customHeight="1" s="16">
      <c r="A1613" s="5" t="n">
        <v>1612</v>
      </c>
      <c r="B1613" s="8" t="inlineStr">
        <is>
          <t>GU-3864</t>
        </is>
      </c>
      <c r="C1613" s="2" t="n"/>
      <c r="D1613" s="8" t="inlineStr">
        <is>
          <t>ダブルG カードケース ウォレット 財布</t>
        </is>
      </c>
      <c r="E1613" s="8" t="inlineStr">
        <is>
          <t>658610 17WAG 1283</t>
        </is>
      </c>
      <c r="G1613" s="11" t="inlineStr">
        <is>
          <t>SOLD</t>
        </is>
      </c>
      <c r="H1613" s="22" t="inlineStr">
        <is>
          <t>SOLD</t>
        </is>
      </c>
      <c r="I1613" s="18" t="n">
        <v>63800</v>
      </c>
      <c r="J1613" s="23" t="inlineStr">
        <is>
          <t>NOTFOUND</t>
        </is>
      </c>
      <c r="K1613" s="20" t="n">
        <v>0</v>
      </c>
      <c r="L1613" s="4" t="inlineStr">
        <is>
          <t>https://www.gucci.com/jp/ja/pr/women/small-leather-goods-for-women/folded-wallets-for-women/gg-marmont-bi-color-card-case-wallet-p-65861017WAG1283</t>
        </is>
      </c>
      <c r="M1613" s="5">
        <f t="array" ref="M1613">_xlfn.IFS(J1613="NOTFOUND",I1613,J1613&gt;=I1613,J1613)</f>
        <v/>
      </c>
    </row>
    <row r="1614" ht="18" customHeight="1" s="16">
      <c r="A1614" s="5" t="n">
        <v>1613</v>
      </c>
      <c r="B1614" s="8" t="inlineStr">
        <is>
          <t>GU-3865</t>
        </is>
      </c>
      <c r="C1614" s="2" t="n"/>
      <c r="D1614" s="8" t="inlineStr">
        <is>
          <t>ダブルG キーケース</t>
        </is>
      </c>
      <c r="E1614" s="8" t="inlineStr">
        <is>
          <t>456118 AACFE 9543</t>
        </is>
      </c>
      <c r="G1614" s="10" t="inlineStr">
        <is>
          <t>OneSize</t>
        </is>
      </c>
      <c r="H1614" s="17" t="inlineStr">
        <is>
          <t>OneSize</t>
        </is>
      </c>
      <c r="I1614" s="18" t="n">
        <v>38500</v>
      </c>
      <c r="J1614" s="19" t="n">
        <v>38500</v>
      </c>
      <c r="K1614" s="20" t="n">
        <v>5</v>
      </c>
      <c r="L1614" s="4" t="inlineStr">
        <is>
          <t>https://www.gucci.com/jp/ja/pr/women/small-leather-goods-for-women/gucci-reccomendation/gg-marmont-key-case-p-456118AACFE9543</t>
        </is>
      </c>
      <c r="M1614" s="5">
        <f t="array" ref="M1614">_xlfn.IFS(J1614="NOTFOUND",I1614,J1614&gt;=I1614,J1614)</f>
        <v/>
      </c>
    </row>
    <row r="1615" ht="18" customHeight="1" s="16">
      <c r="A1615" s="5" t="n">
        <v>1614</v>
      </c>
      <c r="B1615" s="8" t="inlineStr">
        <is>
          <t>GU-3866</t>
        </is>
      </c>
      <c r="C1615" s="2" t="n"/>
      <c r="D1615" s="8" t="inlineStr">
        <is>
          <t>ダブルG バイカラー ミディアム ウォレット 財布</t>
        </is>
      </c>
      <c r="E1615" s="8" t="inlineStr">
        <is>
          <t>598587 AACFE 9543</t>
        </is>
      </c>
      <c r="G1615" s="10" t="inlineStr">
        <is>
          <t>OneSize</t>
        </is>
      </c>
      <c r="H1615" s="17" t="inlineStr">
        <is>
          <t>OneSize</t>
        </is>
      </c>
      <c r="I1615" s="18" t="n">
        <v>82500</v>
      </c>
      <c r="J1615" s="19" t="n">
        <v>82500</v>
      </c>
      <c r="K1615" s="20" t="n">
        <v>5</v>
      </c>
      <c r="L1615" s="4" t="inlineStr">
        <is>
          <t>https://www.gucci.com/jp/ja/pr/women/small-leather-goods-for-women/folded-wallets-for-women/gg-marmont-bi-color-medium-wallet-p-598587AACFE9543</t>
        </is>
      </c>
      <c r="M1615" s="5">
        <f t="array" ref="M1615">_xlfn.IFS(J1615="NOTFOUND",I1615,J1615&gt;=I1615,J1615)</f>
        <v/>
      </c>
    </row>
    <row r="1616" ht="18" customHeight="1" s="16">
      <c r="A1616" s="5" t="n">
        <v>1615</v>
      </c>
      <c r="B1616" s="8" t="inlineStr">
        <is>
          <t>GU-3867</t>
        </is>
      </c>
      <c r="C1616" s="2" t="n"/>
      <c r="D1616" s="8" t="inlineStr">
        <is>
          <t>GGエンブレムジップ カードケース</t>
        </is>
      </c>
      <c r="E1616" s="8" t="inlineStr">
        <is>
          <t>828310 AAEV2 2751</t>
        </is>
      </c>
      <c r="G1616" s="10" t="inlineStr">
        <is>
          <t>OneSize</t>
        </is>
      </c>
      <c r="H1616" s="17" t="inlineStr">
        <is>
          <t>OneSize</t>
        </is>
      </c>
      <c r="I1616" s="18" t="n">
        <v>91300</v>
      </c>
      <c r="J1616" s="19" t="n">
        <v>91300</v>
      </c>
      <c r="K1616" s="20" t="n">
        <v>5</v>
      </c>
      <c r="L1616" s="4" t="inlineStr">
        <is>
          <t>https://www.gucci.com/jp/ja/pr/women/small-leather-goods-for-women/card-coin-cases-for-women/gg-emblem-zip-card-case-p-828310AAEV22751</t>
        </is>
      </c>
      <c r="M1616" s="5">
        <f t="array" ref="M1616">_xlfn.IFS(J1616="NOTFOUND",I1616,J1616&gt;=I1616,J1616)</f>
        <v/>
      </c>
    </row>
    <row r="1617" ht="18" customHeight="1" s="16">
      <c r="A1617" s="5" t="n">
        <v>1616</v>
      </c>
      <c r="B1617" s="8" t="inlineStr">
        <is>
          <t>GU-3868</t>
        </is>
      </c>
      <c r="C1617" s="2" t="n"/>
      <c r="D1617" s="8" t="inlineStr">
        <is>
          <t>GGエンブレムミディアム ウォレット 財布</t>
        </is>
      </c>
      <c r="E1617" s="8" t="inlineStr">
        <is>
          <t>826718 AAEV2 2751</t>
        </is>
      </c>
      <c r="G1617" s="10" t="inlineStr">
        <is>
          <t>OneSize</t>
        </is>
      </c>
      <c r="H1617" s="17" t="inlineStr">
        <is>
          <t>OneSize</t>
        </is>
      </c>
      <c r="I1617" s="18" t="n">
        <v>82500</v>
      </c>
      <c r="J1617" s="19" t="n">
        <v>82500</v>
      </c>
      <c r="K1617" s="20" t="n">
        <v>5</v>
      </c>
      <c r="L1617" s="4" t="inlineStr">
        <is>
          <t>https://www.gucci.com/jp/ja/pr/women/small-leather-goods-for-women/card-coin-cases-for-women/gg-emblem-medium-wallet-p-826718AAEV22751</t>
        </is>
      </c>
      <c r="M1617" s="5">
        <f t="array" ref="M1617">_xlfn.IFS(J1617="NOTFOUND",I1617,J1617&gt;=I1617,J1617)</f>
        <v/>
      </c>
    </row>
    <row r="1618" ht="18" customHeight="1" s="16">
      <c r="A1618" s="5" t="n">
        <v>1617</v>
      </c>
      <c r="B1618" s="8" t="inlineStr">
        <is>
          <t>GU-3869</t>
        </is>
      </c>
      <c r="C1618" s="2" t="n"/>
      <c r="D1618" s="8" t="inlineStr">
        <is>
          <t>GGエンブレムカードケース ウォレット 財布</t>
        </is>
      </c>
      <c r="E1618" s="8" t="inlineStr">
        <is>
          <t>820692 FAD6L 9758</t>
        </is>
      </c>
      <c r="G1618" s="10" t="inlineStr">
        <is>
          <t>OneSize</t>
        </is>
      </c>
      <c r="H1618" s="17" t="inlineStr">
        <is>
          <t>OneSize</t>
        </is>
      </c>
      <c r="I1618" s="18" t="n">
        <v>74800</v>
      </c>
      <c r="J1618" s="19" t="n">
        <v>74800</v>
      </c>
      <c r="K1618" s="20" t="n">
        <v>5</v>
      </c>
      <c r="L1618" s="4" t="inlineStr">
        <is>
          <t>https://www.gucci.com/jp/ja/pr/women/small-leather-goods-for-women/folded-wallets-for-women/gg-emblem-mini-wallet-p-820692FAD6L9758</t>
        </is>
      </c>
      <c r="M1618" s="5">
        <f t="array" ref="M1618">_xlfn.IFS(J1618="NOTFOUND",I1618,J1618&gt;=I1618,J1618)</f>
        <v/>
      </c>
    </row>
    <row r="1619" ht="18" customHeight="1" s="16">
      <c r="A1619" s="5" t="n">
        <v>1618</v>
      </c>
      <c r="B1619" s="8" t="inlineStr">
        <is>
          <t>GU-3870</t>
        </is>
      </c>
      <c r="C1619" s="2" t="n"/>
      <c r="D1619" s="8" t="inlineStr">
        <is>
          <t>GGエンブレムチェーンウォレット 財布</t>
        </is>
      </c>
      <c r="E1619" s="8" t="inlineStr">
        <is>
          <t>838151 AAEV2 2751</t>
        </is>
      </c>
      <c r="G1619" s="10" t="inlineStr">
        <is>
          <t>OneSize</t>
        </is>
      </c>
      <c r="H1619" s="17" t="inlineStr">
        <is>
          <t>OneSize</t>
        </is>
      </c>
      <c r="I1619" s="18" t="n">
        <v>215600</v>
      </c>
      <c r="J1619" s="19" t="n">
        <v>215600</v>
      </c>
      <c r="K1619" s="20" t="n">
        <v>5</v>
      </c>
      <c r="L1619" s="4" t="inlineStr">
        <is>
          <t>https://www.gucci.com/jp/ja/pr/women/small-leather-goods-for-women/strap-chain-wallets/gg-emblem-wallet-on-chain-p-838151AAEV22751</t>
        </is>
      </c>
      <c r="M1619" s="5">
        <f t="array" ref="M1619">_xlfn.IFS(J1619="NOTFOUND",I1619,J1619&gt;=I1619,J1619)</f>
        <v/>
      </c>
    </row>
    <row r="1620" ht="18" customHeight="1" s="16">
      <c r="A1620" s="5" t="n">
        <v>1619</v>
      </c>
      <c r="B1620" s="8" t="inlineStr">
        <is>
          <t>GU-3871</t>
        </is>
      </c>
      <c r="C1620" s="2" t="n"/>
      <c r="D1620" s="8" t="inlineStr">
        <is>
          <t>GGエンブレムカードケース ウォレット 財布</t>
        </is>
      </c>
      <c r="E1620" s="8" t="inlineStr">
        <is>
          <t>820692 FAD6L 9862</t>
        </is>
      </c>
      <c r="G1620" s="10" t="inlineStr">
        <is>
          <t>OneSize</t>
        </is>
      </c>
      <c r="H1620" s="17" t="inlineStr">
        <is>
          <t>OneSize</t>
        </is>
      </c>
      <c r="I1620" s="18" t="n">
        <v>74800</v>
      </c>
      <c r="J1620" s="19" t="n">
        <v>74800</v>
      </c>
      <c r="K1620" s="20" t="n">
        <v>5</v>
      </c>
      <c r="L1620" s="4" t="inlineStr">
        <is>
          <t>https://www.gucci.com/jp/ja/pr/women/small-leather-goods-for-women/folded-wallets-for-women/gg-emblem-mini-wallet-p-820692FAD6L9862</t>
        </is>
      </c>
      <c r="M1620" s="5">
        <f t="array" ref="M1620">_xlfn.IFS(J1620="NOTFOUND",I1620,J1620&gt;=I1620,J1620)</f>
        <v/>
      </c>
    </row>
    <row r="1621" ht="18" customHeight="1" s="16">
      <c r="A1621" s="5" t="n">
        <v>1620</v>
      </c>
      <c r="B1621" s="8" t="inlineStr">
        <is>
          <t>GU-3872</t>
        </is>
      </c>
      <c r="C1621" s="2" t="n"/>
      <c r="D1621" s="8" t="inlineStr">
        <is>
          <t>GGエンブレムストラップ付き パスケース</t>
        </is>
      </c>
      <c r="E1621" s="8" t="inlineStr">
        <is>
          <t>819121 FAD6L 9862</t>
        </is>
      </c>
      <c r="G1621" s="10" t="inlineStr">
        <is>
          <t>OneSize</t>
        </is>
      </c>
      <c r="H1621" s="17" t="inlineStr">
        <is>
          <t>OneSize</t>
        </is>
      </c>
      <c r="I1621" s="18" t="n">
        <v>49500</v>
      </c>
      <c r="J1621" s="19" t="n">
        <v>49500</v>
      </c>
      <c r="K1621" s="20" t="n">
        <v>5</v>
      </c>
      <c r="L1621" s="4" t="inlineStr">
        <is>
          <t>https://www.gucci.com/jp/ja/pr/women/small-leather-goods-for-women/card-coin-cases-for-women/gg-emblem-card-case-with-strap-p-819121FAD6L9862</t>
        </is>
      </c>
      <c r="M1621" s="5">
        <f t="array" ref="M1621">_xlfn.IFS(J1621="NOTFOUND",I1621,J1621&gt;=I1621,J1621)</f>
        <v/>
      </c>
    </row>
    <row r="1622" ht="18" customHeight="1" s="16">
      <c r="A1622" s="5" t="n">
        <v>1621</v>
      </c>
      <c r="B1622" s="8" t="inlineStr">
        <is>
          <t>GU-3873</t>
        </is>
      </c>
      <c r="C1622" s="2" t="n"/>
      <c r="D1622" s="8" t="inlineStr">
        <is>
          <t>GGエンブレムカードケース ウォレット 財布</t>
        </is>
      </c>
      <c r="E1622" s="8" t="inlineStr">
        <is>
          <t>815901 AAEEM 4950</t>
        </is>
      </c>
      <c r="G1622" s="11" t="inlineStr">
        <is>
          <t>SOLD</t>
        </is>
      </c>
      <c r="H1622" s="22" t="inlineStr">
        <is>
          <t>SOLD</t>
        </is>
      </c>
      <c r="I1622" s="18" t="n">
        <v>85800</v>
      </c>
      <c r="J1622" s="19" t="n">
        <v>85800</v>
      </c>
      <c r="K1622" s="20" t="n">
        <v>0</v>
      </c>
      <c r="L1622" s="4" t="inlineStr">
        <is>
          <t>https://www.gucci.com/jp/ja/pr/women/small-leather-goods-for-women/folded-wallets-for-women/gg-emblem-mini-wallet-p-815901AAEEM4950</t>
        </is>
      </c>
      <c r="M1622" s="5">
        <f t="array" ref="M1622">_xlfn.IFS(J1622="NOTFOUND",I1622,J1622&gt;=I1622,J1622)</f>
        <v/>
      </c>
    </row>
    <row r="1623" ht="18" customHeight="1" s="16">
      <c r="A1623" s="5" t="n">
        <v>1622</v>
      </c>
      <c r="B1623" s="8" t="inlineStr">
        <is>
          <t>GU-3874</t>
        </is>
      </c>
      <c r="C1623" s="2" t="n"/>
      <c r="D1623" s="8" t="inlineStr">
        <is>
          <t>GGエンブレムカードケース ウォレット 財布</t>
        </is>
      </c>
      <c r="E1623" s="8" t="inlineStr">
        <is>
          <t>820692 FAECC 4243</t>
        </is>
      </c>
      <c r="G1623" s="10" t="inlineStr">
        <is>
          <t>OneSize</t>
        </is>
      </c>
      <c r="H1623" s="17" t="inlineStr">
        <is>
          <t>OneSize</t>
        </is>
      </c>
      <c r="I1623" s="18" t="n">
        <v>74800</v>
      </c>
      <c r="J1623" s="19" t="n">
        <v>74800</v>
      </c>
      <c r="K1623" s="20" t="n">
        <v>5</v>
      </c>
      <c r="L1623" s="4" t="inlineStr">
        <is>
          <t>https://www.gucci.com/jp/ja/pr/women/small-leather-goods-for-women/folded-wallets-for-women/gg-emblem-mini-wallet-p-820692FAECC4243</t>
        </is>
      </c>
      <c r="M1623" s="5">
        <f t="array" ref="M1623">_xlfn.IFS(J1623="NOTFOUND",I1623,J1623&gt;=I1623,J1623)</f>
        <v/>
      </c>
    </row>
    <row r="1624" ht="18" customHeight="1" s="16">
      <c r="A1624" s="5" t="n">
        <v>1623</v>
      </c>
      <c r="B1624" s="8" t="inlineStr">
        <is>
          <t>GU-3875</t>
        </is>
      </c>
      <c r="C1624" s="2" t="n"/>
      <c r="D1624" s="8" t="inlineStr">
        <is>
          <t>GGエンブレムジップ カードケース</t>
        </is>
      </c>
      <c r="E1624" s="8" t="inlineStr">
        <is>
          <t>821804 FAECC 4243</t>
        </is>
      </c>
      <c r="G1624" s="10" t="inlineStr">
        <is>
          <t>OneSize</t>
        </is>
      </c>
      <c r="H1624" s="17" t="inlineStr">
        <is>
          <t>OneSize</t>
        </is>
      </c>
      <c r="I1624" s="18" t="n">
        <v>80300</v>
      </c>
      <c r="J1624" s="19" t="n">
        <v>80300</v>
      </c>
      <c r="K1624" s="20" t="n">
        <v>5</v>
      </c>
      <c r="L1624" s="4" t="inlineStr">
        <is>
          <t>https://www.gucci.com/jp/ja/pr/women/small-leather-goods-for-women/card-coin-cases-for-women/gg-emblem-zip-card-case-p-821804FAECC4243</t>
        </is>
      </c>
      <c r="M1624" s="5">
        <f t="array" ref="M1624">_xlfn.IFS(J1624="NOTFOUND",I1624,J1624&gt;=I1624,J1624)</f>
        <v/>
      </c>
    </row>
    <row r="1625" ht="18" customHeight="1" s="16">
      <c r="A1625" s="5" t="n">
        <v>1624</v>
      </c>
      <c r="B1625" s="8" t="inlineStr">
        <is>
          <t>GU-3876</t>
        </is>
      </c>
      <c r="C1625" s="2" t="n"/>
      <c r="D1625" s="8" t="inlineStr">
        <is>
          <t>GGエンブレムジップアラウンドウォレット 財布</t>
        </is>
      </c>
      <c r="E1625" s="8" t="inlineStr">
        <is>
          <t>819122 FAECC 4243</t>
        </is>
      </c>
      <c r="G1625" s="10" t="inlineStr">
        <is>
          <t>OneSize</t>
        </is>
      </c>
      <c r="H1625" s="17" t="inlineStr">
        <is>
          <t>OneSize</t>
        </is>
      </c>
      <c r="I1625" s="18" t="n">
        <v>116600</v>
      </c>
      <c r="J1625" s="19" t="n">
        <v>116600</v>
      </c>
      <c r="K1625" s="20" t="n">
        <v>5</v>
      </c>
      <c r="L1625" s="4" t="inlineStr">
        <is>
          <t>https://www.gucci.com/jp/ja/pr/women/small-leather-goods-for-women/zip-around-wallets-for-women/gg-emblem-zip-around-wallet-p-819122FAECC4243</t>
        </is>
      </c>
      <c r="M1625" s="5">
        <f t="array" ref="M1625">_xlfn.IFS(J1625="NOTFOUND",I1625,J1625&gt;=I1625,J1625)</f>
        <v/>
      </c>
    </row>
    <row r="1626" ht="18" customHeight="1" s="16">
      <c r="A1626" s="5" t="n">
        <v>1625</v>
      </c>
      <c r="B1626" s="8" t="inlineStr">
        <is>
          <t>GU-3877</t>
        </is>
      </c>
      <c r="C1626" s="2" t="n"/>
      <c r="D1626" s="8" t="inlineStr">
        <is>
          <t>オフィディアGG カードケース ウォレット 財布</t>
        </is>
      </c>
      <c r="E1626" s="8" t="inlineStr">
        <is>
          <t>523155 96IWG 8745</t>
        </is>
      </c>
      <c r="G1626" s="11" t="inlineStr">
        <is>
          <t>SOLD</t>
        </is>
      </c>
      <c r="H1626" s="22" t="inlineStr">
        <is>
          <t>SOLD</t>
        </is>
      </c>
      <c r="I1626" s="18" t="n">
        <v>68200</v>
      </c>
      <c r="J1626" s="23" t="inlineStr">
        <is>
          <t>NOTFOUND</t>
        </is>
      </c>
      <c r="K1626" s="20" t="n">
        <v>0</v>
      </c>
      <c r="L1626" s="4" t="inlineStr">
        <is>
          <t>https://www.gucci.com/jp/ja/pr/women/small-leather-goods-for-women/folded-wallets-for-women/ophidia-card-case-wallet-p-52315596IWG8745</t>
        </is>
      </c>
      <c r="M1626" s="5">
        <f t="array" ref="M1626">_xlfn.IFS(J1626="NOTFOUND",I1626,J1626&gt;=I1626,J1626)</f>
        <v/>
      </c>
    </row>
    <row r="1627" ht="18" customHeight="1" s="16">
      <c r="A1627" s="5" t="n">
        <v>1626</v>
      </c>
      <c r="B1627" s="8" t="inlineStr">
        <is>
          <t>GU-3878</t>
        </is>
      </c>
      <c r="C1627" s="2" t="n"/>
      <c r="D1627" s="8" t="inlineStr">
        <is>
          <t>オフィディアミディアム ウォレット 財布</t>
        </is>
      </c>
      <c r="E1627" s="8" t="inlineStr">
        <is>
          <t>813296 96IWG 8745</t>
        </is>
      </c>
      <c r="G1627" s="11" t="inlineStr">
        <is>
          <t>SOLD</t>
        </is>
      </c>
      <c r="H1627" s="22" t="inlineStr">
        <is>
          <t>SOLD</t>
        </is>
      </c>
      <c r="I1627" s="18" t="n">
        <v>91300</v>
      </c>
      <c r="J1627" s="23" t="inlineStr">
        <is>
          <t>NOTFOUND</t>
        </is>
      </c>
      <c r="K1627" s="20" t="n">
        <v>0</v>
      </c>
      <c r="L1627" s="4" t="inlineStr">
        <is>
          <t>https://www.gucci.com/jp/ja/pr/women/small-leather-goods-for-women/folded-wallets-for-women/ophidia-medium-wallet-p-81329696IWG8745</t>
        </is>
      </c>
      <c r="M1627" s="5">
        <f t="array" ref="M1627">_xlfn.IFS(J1627="NOTFOUND",I1627,J1627&gt;=I1627,J1627)</f>
        <v/>
      </c>
    </row>
    <row r="1628" ht="18" customHeight="1" s="16">
      <c r="A1628" s="5" t="n">
        <v>1627</v>
      </c>
      <c r="B1628" s="8" t="inlineStr">
        <is>
          <t>GU-3879</t>
        </is>
      </c>
      <c r="C1628" s="2" t="n"/>
      <c r="D1628" s="8" t="inlineStr">
        <is>
          <t>オフィディアGG カードケース ウォレット 財布</t>
        </is>
      </c>
      <c r="E1628" s="8" t="inlineStr">
        <is>
          <t>598662 UULAG 9682</t>
        </is>
      </c>
      <c r="G1628" s="10" t="inlineStr">
        <is>
          <t>OneSize</t>
        </is>
      </c>
      <c r="H1628" s="17" t="inlineStr">
        <is>
          <t>OneSize</t>
        </is>
      </c>
      <c r="I1628" s="18" t="n">
        <v>95700</v>
      </c>
      <c r="J1628" s="19" t="n">
        <v>95700</v>
      </c>
      <c r="K1628" s="20" t="n">
        <v>5</v>
      </c>
      <c r="L1628" s="4" t="inlineStr">
        <is>
          <t>https://www.gucci.com/jp/ja/pr/women/small-leather-goods-for-women/folded-wallets-for-women/ophidia-card-case-wallet-p-598662UULAG9682</t>
        </is>
      </c>
      <c r="M1628" s="5">
        <f t="array" ref="M1628">_xlfn.IFS(J1628="NOTFOUND",I1628,J1628&gt;=I1628,J1628)</f>
        <v/>
      </c>
    </row>
    <row r="1629" ht="18" customHeight="1" s="16">
      <c r="A1629" s="5" t="n">
        <v>1628</v>
      </c>
      <c r="B1629" s="8" t="inlineStr">
        <is>
          <t>GU-3880</t>
        </is>
      </c>
      <c r="C1629" s="2" t="n"/>
      <c r="D1629" s="8" t="inlineStr">
        <is>
          <t>オフィディアGG コンチネンタルウォレット 財布</t>
        </is>
      </c>
      <c r="E1629" s="8" t="inlineStr">
        <is>
          <t>523153 UULAG 9682</t>
        </is>
      </c>
      <c r="G1629" s="10" t="inlineStr">
        <is>
          <t>OneSize</t>
        </is>
      </c>
      <c r="H1629" s="17" t="inlineStr">
        <is>
          <t>OneSize</t>
        </is>
      </c>
      <c r="I1629" s="18" t="n">
        <v>106700</v>
      </c>
      <c r="J1629" s="19" t="n">
        <v>106700</v>
      </c>
      <c r="K1629" s="20" t="n">
        <v>5</v>
      </c>
      <c r="L1629" s="4" t="inlineStr">
        <is>
          <t>https://www.gucci.com/jp/ja/pr/women/small-leather-goods-for-women/continental-wallets-for-women/ophidia-continental-wallet-p-523153UULAG9682</t>
        </is>
      </c>
      <c r="M1629" s="5">
        <f t="array" ref="M1629">_xlfn.IFS(J1629="NOTFOUND",I1629,J1629&gt;=I1629,J1629)</f>
        <v/>
      </c>
    </row>
    <row r="1630" ht="18" customHeight="1" s="16">
      <c r="A1630" s="5" t="n">
        <v>1629</v>
      </c>
      <c r="B1630" s="8" t="inlineStr">
        <is>
          <t>GU-3881</t>
        </is>
      </c>
      <c r="C1630" s="2" t="n"/>
      <c r="D1630" s="8" t="inlineStr">
        <is>
          <t>モチーフ付き カードケース</t>
        </is>
      </c>
      <c r="E1630" s="8" t="inlineStr">
        <is>
          <t>838900 FAEXB 9875</t>
        </is>
      </c>
      <c r="G1630" s="10" t="inlineStr">
        <is>
          <t>OneSize</t>
        </is>
      </c>
      <c r="H1630" s="17" t="inlineStr">
        <is>
          <t>OneSize</t>
        </is>
      </c>
      <c r="I1630" s="18" t="n">
        <v>53900</v>
      </c>
      <c r="J1630" s="19" t="n">
        <v>53900</v>
      </c>
      <c r="K1630" s="20" t="n">
        <v>5</v>
      </c>
      <c r="L1630" s="4" t="inlineStr">
        <is>
          <t>https://www.gucci.com/jp/ja/pr/women/small-leather-goods-for-women/card-coin-cases-for-women/card-case-with-motif-p-838900FAEXB9875</t>
        </is>
      </c>
      <c r="M1630" s="5">
        <f t="array" ref="M1630">_xlfn.IFS(J1630="NOTFOUND",I1630,J1630&gt;=I1630,J1630)</f>
        <v/>
      </c>
    </row>
    <row r="1631" ht="18" customHeight="1" s="16">
      <c r="A1631" s="5" t="n">
        <v>1630</v>
      </c>
      <c r="B1631" s="8" t="inlineStr">
        <is>
          <t>GU-3882</t>
        </is>
      </c>
      <c r="C1631" s="2" t="n"/>
      <c r="D1631" s="8" t="inlineStr">
        <is>
          <t>ダブルG キーケース</t>
        </is>
      </c>
      <c r="E1631" s="8" t="inlineStr">
        <is>
          <t>837747 AAET8 6823</t>
        </is>
      </c>
      <c r="G1631" s="10" t="inlineStr">
        <is>
          <t>OneSize</t>
        </is>
      </c>
      <c r="H1631" s="17" t="inlineStr">
        <is>
          <t>OneSize</t>
        </is>
      </c>
      <c r="I1631" s="18" t="n">
        <v>70400</v>
      </c>
      <c r="J1631" s="19" t="n">
        <v>70400</v>
      </c>
      <c r="K1631" s="20" t="n">
        <v>5</v>
      </c>
      <c r="L1631" s="4" t="inlineStr">
        <is>
          <t>https://www.gucci.com/jp/ja/pr/women/small-leather-goods-for-women/card-coin-cases-for-women/gg-marmont-key-case-p-837747AAET86823</t>
        </is>
      </c>
      <c r="M1631" s="5">
        <f t="array" ref="M1631">_xlfn.IFS(J1631="NOTFOUND",I1631,J1631&gt;=I1631,J1631)</f>
        <v/>
      </c>
    </row>
    <row r="1632" ht="18" customHeight="1" s="16">
      <c r="A1632" s="5" t="n">
        <v>1631</v>
      </c>
      <c r="B1632" s="8" t="inlineStr">
        <is>
          <t>GU-3883</t>
        </is>
      </c>
      <c r="C1632" s="2" t="n"/>
      <c r="D1632" s="8" t="inlineStr">
        <is>
          <t>ダブルG カードケース ウォレット 財布</t>
        </is>
      </c>
      <c r="E1632" s="8" t="inlineStr">
        <is>
          <t>466492 AAET8 6823</t>
        </is>
      </c>
      <c r="G1632" s="10" t="inlineStr">
        <is>
          <t>OneSize</t>
        </is>
      </c>
      <c r="H1632" s="17" t="inlineStr">
        <is>
          <t>OneSize</t>
        </is>
      </c>
      <c r="I1632" s="18" t="n">
        <v>72600</v>
      </c>
      <c r="J1632" s="19" t="n">
        <v>72600</v>
      </c>
      <c r="K1632" s="20" t="n">
        <v>5</v>
      </c>
      <c r="L1632" s="4" t="inlineStr">
        <is>
          <t>https://www.gucci.com/jp/ja/pr/women/small-leather-goods-for-women/folded-wallets-for-women/gg-marmont-mini-wallet-p-466492AAET86823</t>
        </is>
      </c>
      <c r="M1632" s="5">
        <f t="array" ref="M1632">_xlfn.IFS(J1632="NOTFOUND",I1632,J1632&gt;=I1632,J1632)</f>
        <v/>
      </c>
    </row>
    <row r="1633" ht="18" customHeight="1" s="16">
      <c r="A1633" s="5" t="n">
        <v>1632</v>
      </c>
      <c r="B1633" s="8" t="inlineStr">
        <is>
          <t>GU-3884</t>
        </is>
      </c>
      <c r="C1633" s="2" t="n"/>
      <c r="D1633" s="8" t="inlineStr">
        <is>
          <t>GGマーモントチェーンウォレット 財布</t>
        </is>
      </c>
      <c r="E1633" s="8" t="inlineStr">
        <is>
          <t>497985 AAE5F 2843</t>
        </is>
      </c>
      <c r="G1633" s="10" t="inlineStr">
        <is>
          <t>OneSize</t>
        </is>
      </c>
      <c r="H1633" s="17" t="inlineStr">
        <is>
          <t>OneSize</t>
        </is>
      </c>
      <c r="I1633" s="18" t="n">
        <v>146300</v>
      </c>
      <c r="J1633" s="19" t="n">
        <v>146300</v>
      </c>
      <c r="K1633" s="20" t="n">
        <v>5</v>
      </c>
      <c r="L1633" s="4" t="inlineStr">
        <is>
          <t>https://www.gucci.com/jp/ja/pr/women/small-leather-goods-for-women/strap-chain-wallets/gg-marmont-wallet-on-chain-p-497985AAE5F2843</t>
        </is>
      </c>
      <c r="M1633" s="5">
        <f t="array" ref="M1633">_xlfn.IFS(J1633="NOTFOUND",I1633,J1633&gt;=I1633,J1633)</f>
        <v/>
      </c>
    </row>
    <row r="1634" ht="18" customHeight="1" s="16">
      <c r="A1634" s="5" t="n">
        <v>1633</v>
      </c>
      <c r="B1634" s="8" t="inlineStr">
        <is>
          <t>GU-3885</t>
        </is>
      </c>
      <c r="C1634" s="2" t="n"/>
      <c r="D1634" s="8" t="inlineStr">
        <is>
          <t>GGエンブレムカードケース</t>
        </is>
      </c>
      <c r="E1634" s="8" t="inlineStr">
        <is>
          <t>828314 AAEV2 2751</t>
        </is>
      </c>
      <c r="G1634" s="10" t="inlineStr">
        <is>
          <t>OneSize</t>
        </is>
      </c>
      <c r="H1634" s="17" t="inlineStr">
        <is>
          <t>OneSize</t>
        </is>
      </c>
      <c r="I1634" s="18" t="n">
        <v>62700</v>
      </c>
      <c r="J1634" s="19" t="n">
        <v>62700</v>
      </c>
      <c r="K1634" s="20" t="n">
        <v>5</v>
      </c>
      <c r="L1634" s="4" t="inlineStr">
        <is>
          <t>https://www.gucci.com/jp/ja/pr/women/small-leather-goods-for-women/card-coin-cases-for-women/gg-emblem-card-case-p-828314AAEV22751</t>
        </is>
      </c>
      <c r="M1634" s="5">
        <f t="array" ref="M1634">_xlfn.IFS(J1634="NOTFOUND",I1634,J1634&gt;=I1634,J1634)</f>
        <v/>
      </c>
    </row>
    <row r="1635" ht="18" customHeight="1" s="16">
      <c r="A1635" s="5" t="n">
        <v>1634</v>
      </c>
      <c r="B1635" s="8" t="inlineStr">
        <is>
          <t>GU-3886</t>
        </is>
      </c>
      <c r="C1635" s="2" t="n"/>
      <c r="D1635" s="8" t="inlineStr">
        <is>
          <t>GGエンブレムコンチネンタルウォレット 財布</t>
        </is>
      </c>
      <c r="E1635" s="8" t="inlineStr">
        <is>
          <t>828284 AAEV2 2751</t>
        </is>
      </c>
      <c r="G1635" s="10" t="inlineStr">
        <is>
          <t>OneSize</t>
        </is>
      </c>
      <c r="H1635" s="17" t="inlineStr">
        <is>
          <t>OneSize</t>
        </is>
      </c>
      <c r="I1635" s="18" t="n">
        <v>112200</v>
      </c>
      <c r="J1635" s="19" t="n">
        <v>112200</v>
      </c>
      <c r="K1635" s="20" t="n">
        <v>5</v>
      </c>
      <c r="L1635" s="4" t="inlineStr">
        <is>
          <t>https://www.gucci.com/jp/ja/pr/women/small-leather-goods-for-women/continental-wallets-for-women/gg-emblem-continental-wallet-p-828284AAEV22751</t>
        </is>
      </c>
      <c r="M1635" s="5">
        <f t="array" ref="M1635">_xlfn.IFS(J1635="NOTFOUND",I1635,J1635&gt;=I1635,J1635)</f>
        <v/>
      </c>
    </row>
    <row r="1636" ht="18" customHeight="1" s="16">
      <c r="A1636" s="5" t="n">
        <v>1635</v>
      </c>
      <c r="B1636" s="8" t="inlineStr">
        <is>
          <t>GU-3887</t>
        </is>
      </c>
      <c r="C1636" s="2" t="n"/>
      <c r="D1636" s="8" t="inlineStr">
        <is>
          <t>GGエンブレムジップ カードケース</t>
        </is>
      </c>
      <c r="E1636" s="8" t="inlineStr">
        <is>
          <t>821804 FAD6L 9758</t>
        </is>
      </c>
      <c r="G1636" s="10" t="inlineStr">
        <is>
          <t>OneSize</t>
        </is>
      </c>
      <c r="H1636" s="17" t="inlineStr">
        <is>
          <t>OneSize</t>
        </is>
      </c>
      <c r="I1636" s="18" t="n">
        <v>80300</v>
      </c>
      <c r="J1636" s="19" t="n">
        <v>80300</v>
      </c>
      <c r="K1636" s="20" t="n">
        <v>5</v>
      </c>
      <c r="L1636" s="4" t="inlineStr">
        <is>
          <t>https://www.gucci.com/jp/ja/pr/women/small-leather-goods-for-women/card-coin-cases-for-women/gg-emblem-zip-card-case-p-821804FAD6L9758</t>
        </is>
      </c>
      <c r="M1636" s="5">
        <f t="array" ref="M1636">_xlfn.IFS(J1636="NOTFOUND",I1636,J1636&gt;=I1636,J1636)</f>
        <v/>
      </c>
    </row>
    <row r="1637" ht="18" customHeight="1" s="16">
      <c r="A1637" s="5" t="n">
        <v>1636</v>
      </c>
      <c r="B1637" s="8" t="inlineStr">
        <is>
          <t>GU-3888</t>
        </is>
      </c>
      <c r="C1637" s="2" t="n"/>
      <c r="D1637" s="8" t="inlineStr">
        <is>
          <t>GGエンブレムコンチネンタルウォレット 財布</t>
        </is>
      </c>
      <c r="E1637" s="8" t="inlineStr">
        <is>
          <t>821802 FAD6L 9758</t>
        </is>
      </c>
      <c r="G1637" s="10" t="inlineStr">
        <is>
          <t>OneSize</t>
        </is>
      </c>
      <c r="H1637" s="17" t="inlineStr">
        <is>
          <t>OneSize</t>
        </is>
      </c>
      <c r="I1637" s="18" t="n">
        <v>113300</v>
      </c>
      <c r="J1637" s="19" t="n">
        <v>113300</v>
      </c>
      <c r="K1637" s="20" t="n">
        <v>5</v>
      </c>
      <c r="L1637" s="4" t="inlineStr">
        <is>
          <t>https://www.gucci.com/jp/ja/pr/women/small-leather-goods-for-women/continental-wallets-for-women/gg-emblem-continental-wallet-p-821802FAD6L9758</t>
        </is>
      </c>
      <c r="M1637" s="5">
        <f t="array" ref="M1637">_xlfn.IFS(J1637="NOTFOUND",I1637,J1637&gt;=I1637,J1637)</f>
        <v/>
      </c>
    </row>
    <row r="1638" ht="18" customHeight="1" s="16">
      <c r="A1638" s="5" t="n">
        <v>1637</v>
      </c>
      <c r="B1638" s="8" t="inlineStr">
        <is>
          <t>GU-3889</t>
        </is>
      </c>
      <c r="C1638" s="2" t="n"/>
      <c r="D1638" s="8" t="inlineStr">
        <is>
          <t>GGエンブレムレザーストラップ ウォレット 財布</t>
        </is>
      </c>
      <c r="E1638" s="8" t="inlineStr">
        <is>
          <t>820688 FAD6L 9758</t>
        </is>
      </c>
      <c r="G1638" s="10" t="inlineStr">
        <is>
          <t>OneSize</t>
        </is>
      </c>
      <c r="H1638" s="17" t="inlineStr">
        <is>
          <t>OneSize</t>
        </is>
      </c>
      <c r="I1638" s="18" t="n">
        <v>215600</v>
      </c>
      <c r="J1638" s="19" t="n">
        <v>215600</v>
      </c>
      <c r="K1638" s="20" t="n">
        <v>5</v>
      </c>
      <c r="L1638" s="4" t="inlineStr">
        <is>
          <t>https://www.gucci.com/jp/ja/pr/women/small-leather-goods-for-women/strap-chain-wallets/gg-emblem-wallet-with-leather-strap-p-820688FAD6L9758</t>
        </is>
      </c>
      <c r="M1638" s="5">
        <f t="array" ref="M1638">_xlfn.IFS(J1638="NOTFOUND",I1638,J1638&gt;=I1638,J1638)</f>
        <v/>
      </c>
    </row>
    <row r="1639" ht="18" customHeight="1" s="16">
      <c r="A1639" s="5" t="n">
        <v>1638</v>
      </c>
      <c r="B1639" s="8" t="inlineStr">
        <is>
          <t>GU-3890</t>
        </is>
      </c>
      <c r="C1639" s="2" t="n"/>
      <c r="D1639" s="8" t="inlineStr">
        <is>
          <t>GGエンブレムカードケース ウォレット 財布</t>
        </is>
      </c>
      <c r="E1639" s="8" t="inlineStr">
        <is>
          <t>820692 FAD6L 9741</t>
        </is>
      </c>
      <c r="G1639" s="10" t="inlineStr">
        <is>
          <t>OneSize</t>
        </is>
      </c>
      <c r="H1639" s="17" t="inlineStr">
        <is>
          <t>OneSize</t>
        </is>
      </c>
      <c r="I1639" s="18" t="n">
        <v>74800</v>
      </c>
      <c r="J1639" s="19" t="n">
        <v>74800</v>
      </c>
      <c r="K1639" s="20" t="n">
        <v>5</v>
      </c>
      <c r="L1639" s="4" t="inlineStr">
        <is>
          <t>https://www.gucci.com/jp/ja/pr/women/small-leather-goods-for-women/folded-wallets-for-women/gg-emblem-mini-wallet-p-820692FAD6L9741</t>
        </is>
      </c>
      <c r="M1639" s="5">
        <f t="array" ref="M1639">_xlfn.IFS(J1639="NOTFOUND",I1639,J1639&gt;=I1639,J1639)</f>
        <v/>
      </c>
    </row>
    <row r="1640" ht="18" customHeight="1" s="16">
      <c r="A1640" s="5" t="n">
        <v>1639</v>
      </c>
      <c r="B1640" s="8" t="inlineStr">
        <is>
          <t>GU-3891</t>
        </is>
      </c>
      <c r="C1640" s="2" t="n"/>
      <c r="D1640" s="8" t="inlineStr">
        <is>
          <t>GGエンブレムカードケース ウォレット 財布</t>
        </is>
      </c>
      <c r="E1640" s="8" t="inlineStr">
        <is>
          <t>820692 FAD6L 9641</t>
        </is>
      </c>
      <c r="G1640" s="10" t="inlineStr">
        <is>
          <t>OneSize</t>
        </is>
      </c>
      <c r="H1640" s="17" t="inlineStr">
        <is>
          <t>OneSize</t>
        </is>
      </c>
      <c r="I1640" s="18" t="n">
        <v>74800</v>
      </c>
      <c r="J1640" s="19" t="n">
        <v>74800</v>
      </c>
      <c r="K1640" s="20" t="n">
        <v>5</v>
      </c>
      <c r="L1640" s="4" t="inlineStr">
        <is>
          <t>https://www.gucci.com/jp/ja/pr/women/small-leather-goods-for-women/folded-wallets-for-women/gg-emblem-mini-wallet-p-820692FAD6L9641</t>
        </is>
      </c>
      <c r="M1640" s="5">
        <f t="array" ref="M1640">_xlfn.IFS(J1640="NOTFOUND",I1640,J1640&gt;=I1640,J1640)</f>
        <v/>
      </c>
    </row>
    <row r="1641" ht="18" customHeight="1" s="16">
      <c r="A1641" s="5" t="n">
        <v>1640</v>
      </c>
      <c r="B1641" s="8" t="inlineStr">
        <is>
          <t>GU-3892</t>
        </is>
      </c>
      <c r="C1641" s="2" t="n"/>
      <c r="D1641" s="8" t="inlineStr">
        <is>
          <t>GGエンブレムミディアム ウォレット 財布</t>
        </is>
      </c>
      <c r="E1641" s="8" t="inlineStr">
        <is>
          <t>826718 AAEQ7 6941</t>
        </is>
      </c>
      <c r="G1641" s="11" t="inlineStr">
        <is>
          <t>SOLD</t>
        </is>
      </c>
      <c r="H1641" s="22" t="inlineStr">
        <is>
          <t>SOLD</t>
        </is>
      </c>
      <c r="I1641" s="18" t="n">
        <v>82500</v>
      </c>
      <c r="J1641" s="23" t="inlineStr">
        <is>
          <t>NOTFOUND</t>
        </is>
      </c>
      <c r="K1641" s="20" t="n">
        <v>0</v>
      </c>
      <c r="L1641" s="4" t="inlineStr">
        <is>
          <t>https://www.gucci.com/jp/ja/pr/women/small-leather-goods-for-women/card-coin-cases-for-women/gg-emblem-medium-wallet-p-826718AAEQ76941</t>
        </is>
      </c>
      <c r="M1641" s="5">
        <f t="array" ref="M1641">_xlfn.IFS(J1641="NOTFOUND",I1641,J1641&gt;=I1641,J1641)</f>
        <v/>
      </c>
    </row>
    <row r="1642" ht="18" customHeight="1" s="16">
      <c r="A1642" s="5" t="n">
        <v>1641</v>
      </c>
      <c r="B1642" s="8" t="inlineStr">
        <is>
          <t>GU-3893</t>
        </is>
      </c>
      <c r="C1642" s="2" t="n"/>
      <c r="D1642" s="8" t="inlineStr">
        <is>
          <t>GGエンブレムミディアム ウォレット 財布</t>
        </is>
      </c>
      <c r="E1642" s="8" t="inlineStr">
        <is>
          <t>826718 AAEQ7 3441</t>
        </is>
      </c>
      <c r="G1642" s="11" t="inlineStr">
        <is>
          <t>SOLD</t>
        </is>
      </c>
      <c r="H1642" s="22" t="inlineStr">
        <is>
          <t>SOLD</t>
        </is>
      </c>
      <c r="I1642" s="18" t="n">
        <v>82500</v>
      </c>
      <c r="J1642" s="23" t="inlineStr">
        <is>
          <t>NOTFOUND</t>
        </is>
      </c>
      <c r="K1642" s="20" t="n">
        <v>0</v>
      </c>
      <c r="L1642" s="4" t="inlineStr">
        <is>
          <t>https://www.gucci.com/jp/ja/pr/women/small-leather-goods-for-women/card-coin-cases-for-women/gg-emblem-medium-wallet-p-826718AAEQ73441</t>
        </is>
      </c>
      <c r="M1642" s="5">
        <f t="array" ref="M1642">_xlfn.IFS(J1642="NOTFOUND",I1642,J1642&gt;=I1642,J1642)</f>
        <v/>
      </c>
    </row>
    <row r="1643" ht="18" customHeight="1" s="16">
      <c r="A1643" s="5" t="n">
        <v>1642</v>
      </c>
      <c r="B1643" s="8" t="inlineStr">
        <is>
          <t>GU-3894</t>
        </is>
      </c>
      <c r="C1643" s="2" t="n"/>
      <c r="D1643" s="8" t="inlineStr">
        <is>
          <t>GGエンブレムミディアム ウォレット 財布</t>
        </is>
      </c>
      <c r="E1643" s="8" t="inlineStr">
        <is>
          <t>826718 AAEQ7 4943</t>
        </is>
      </c>
      <c r="G1643" s="11" t="inlineStr">
        <is>
          <t>SOLD</t>
        </is>
      </c>
      <c r="H1643" s="22" t="inlineStr">
        <is>
          <t>SOLD</t>
        </is>
      </c>
      <c r="I1643" s="18" t="n">
        <v>82500</v>
      </c>
      <c r="J1643" s="23" t="inlineStr">
        <is>
          <t>NOTFOUND</t>
        </is>
      </c>
      <c r="K1643" s="20" t="n">
        <v>0</v>
      </c>
      <c r="L1643" s="4" t="inlineStr">
        <is>
          <t>https://www.gucci.com/jp/ja/pr/women/small-leather-goods-for-women/card-coin-cases-for-women/gg-emblem-medium-wallet-p-826718AAEQ74943</t>
        </is>
      </c>
      <c r="M1643" s="5">
        <f t="array" ref="M1643">_xlfn.IFS(J1643="NOTFOUND",I1643,J1643&gt;=I1643,J1643)</f>
        <v/>
      </c>
    </row>
    <row r="1644" ht="18" customHeight="1" s="16">
      <c r="A1644" s="5" t="n">
        <v>1643</v>
      </c>
      <c r="B1644" s="8" t="inlineStr">
        <is>
          <t>GU-3895</t>
        </is>
      </c>
      <c r="C1644" s="2" t="n"/>
      <c r="D1644" s="8" t="inlineStr">
        <is>
          <t>GGエンブレムカードケース ウォレット 財布</t>
        </is>
      </c>
      <c r="E1644" s="8" t="inlineStr">
        <is>
          <t>820692 FAD6L 8458</t>
        </is>
      </c>
      <c r="G1644" s="10" t="inlineStr">
        <is>
          <t>OneSize</t>
        </is>
      </c>
      <c r="H1644" s="17" t="inlineStr">
        <is>
          <t>OneSize</t>
        </is>
      </c>
      <c r="I1644" s="18" t="n">
        <v>74800</v>
      </c>
      <c r="J1644" s="19" t="n">
        <v>74800</v>
      </c>
      <c r="K1644" s="20" t="n">
        <v>5</v>
      </c>
      <c r="L1644" s="4" t="inlineStr">
        <is>
          <t>https://www.gucci.com/jp/ja/pr/women/small-leather-goods-for-women/folded-wallets-for-women/gg-emblem-mini-wallet-p-820692FAD6L8458</t>
        </is>
      </c>
      <c r="M1644" s="5">
        <f t="array" ref="M1644">_xlfn.IFS(J1644="NOTFOUND",I1644,J1644&gt;=I1644,J1644)</f>
        <v/>
      </c>
    </row>
    <row r="1645" ht="18" customHeight="1" s="16">
      <c r="A1645" s="5" t="n">
        <v>1644</v>
      </c>
      <c r="B1645" s="8" t="inlineStr">
        <is>
          <t>GU-3896</t>
        </is>
      </c>
      <c r="C1645" s="2" t="n"/>
      <c r="D1645" s="8" t="inlineStr">
        <is>
          <t>GGエンブレムカードケース ウォレット 財布</t>
        </is>
      </c>
      <c r="E1645" s="8" t="inlineStr">
        <is>
          <t>820692 FAD6L 8462</t>
        </is>
      </c>
      <c r="G1645" s="10" t="inlineStr">
        <is>
          <t>OneSize</t>
        </is>
      </c>
      <c r="H1645" s="17" t="inlineStr">
        <is>
          <t>OneSize</t>
        </is>
      </c>
      <c r="I1645" s="18" t="n">
        <v>74800</v>
      </c>
      <c r="J1645" s="19" t="n">
        <v>74800</v>
      </c>
      <c r="K1645" s="20" t="n">
        <v>5</v>
      </c>
      <c r="L1645" s="4" t="inlineStr">
        <is>
          <t>https://www.gucci.com/jp/ja/pr/women/small-leather-goods-for-women/folded-wallets-for-women/gg-emblem-mini-wallet-p-820692FAD6L8462</t>
        </is>
      </c>
      <c r="M1645" s="5">
        <f t="array" ref="M1645">_xlfn.IFS(J1645="NOTFOUND",I1645,J1645&gt;=I1645,J1645)</f>
        <v/>
      </c>
    </row>
    <row r="1646" ht="18" customHeight="1" s="16">
      <c r="A1646" s="5" t="n">
        <v>1645</v>
      </c>
      <c r="B1646" s="8" t="inlineStr">
        <is>
          <t>GU-3897</t>
        </is>
      </c>
      <c r="C1646" s="2" t="n"/>
      <c r="D1646" s="8" t="inlineStr">
        <is>
          <t>GGエンブレムストラップ付き パスケース</t>
        </is>
      </c>
      <c r="E1646" s="8" t="inlineStr">
        <is>
          <t>819121 FAD6L 8458</t>
        </is>
      </c>
      <c r="G1646" s="10" t="inlineStr">
        <is>
          <t>OneSize</t>
        </is>
      </c>
      <c r="H1646" s="17" t="inlineStr">
        <is>
          <t>OneSize</t>
        </is>
      </c>
      <c r="I1646" s="18" t="n">
        <v>49500</v>
      </c>
      <c r="J1646" s="19" t="n">
        <v>49500</v>
      </c>
      <c r="K1646" s="20" t="n">
        <v>5</v>
      </c>
      <c r="L1646" s="4" t="inlineStr">
        <is>
          <t>https://www.gucci.com/jp/ja/pr/women/small-leather-goods-for-women/card-coin-cases-for-women/gg-emblem-card-case-with-strap-p-819121FAD6L8458</t>
        </is>
      </c>
      <c r="M1646" s="5">
        <f t="array" ref="M1646">_xlfn.IFS(J1646="NOTFOUND",I1646,J1646&gt;=I1646,J1646)</f>
        <v/>
      </c>
    </row>
    <row r="1647" ht="18" customHeight="1" s="16">
      <c r="A1647" s="5" t="n">
        <v>1646</v>
      </c>
      <c r="B1647" s="8" t="inlineStr">
        <is>
          <t>GU-3898</t>
        </is>
      </c>
      <c r="C1647" s="2" t="n"/>
      <c r="D1647" s="8" t="inlineStr">
        <is>
          <t>GGエンブレムストラップ付き パスケース</t>
        </is>
      </c>
      <c r="E1647" s="8" t="inlineStr">
        <is>
          <t>819121 FAD6L 8462</t>
        </is>
      </c>
      <c r="G1647" s="10" t="inlineStr">
        <is>
          <t>OneSize</t>
        </is>
      </c>
      <c r="H1647" s="17" t="inlineStr">
        <is>
          <t>OneSize</t>
        </is>
      </c>
      <c r="I1647" s="18" t="n">
        <v>49500</v>
      </c>
      <c r="J1647" s="19" t="n">
        <v>49500</v>
      </c>
      <c r="K1647" s="20" t="n">
        <v>5</v>
      </c>
      <c r="L1647" s="4" t="inlineStr">
        <is>
          <t>https://www.gucci.com/jp/ja/pr/women/small-leather-goods-for-women/card-coin-cases-for-women/gg-emblem-card-case-with-strap-p-819121FAD6L8462</t>
        </is>
      </c>
      <c r="M1647" s="5">
        <f t="array" ref="M1647">_xlfn.IFS(J1647="NOTFOUND",I1647,J1647&gt;=I1647,J1647)</f>
        <v/>
      </c>
    </row>
    <row r="1648" ht="18" customHeight="1" s="16">
      <c r="A1648" s="5" t="n">
        <v>1647</v>
      </c>
      <c r="B1648" s="8" t="inlineStr">
        <is>
          <t>GU-3899</t>
        </is>
      </c>
      <c r="C1648" s="2" t="n"/>
      <c r="D1648" s="8" t="inlineStr">
        <is>
          <t>バンブー付き ジップアラウンドウォレット 財布</t>
        </is>
      </c>
      <c r="E1648" s="8" t="inlineStr">
        <is>
          <t>828177 AAEVJ 6207</t>
        </is>
      </c>
      <c r="G1648" s="10" t="inlineStr">
        <is>
          <t>OneSize</t>
        </is>
      </c>
      <c r="H1648" s="17" t="inlineStr">
        <is>
          <t>OneSize</t>
        </is>
      </c>
      <c r="I1648" s="18" t="n">
        <v>148500</v>
      </c>
      <c r="J1648" s="19" t="n">
        <v>148500</v>
      </c>
      <c r="K1648" s="20" t="n">
        <v>5</v>
      </c>
      <c r="L1648" s="4" t="inlineStr">
        <is>
          <t>https://www.gucci.com/jp/ja/pr/women/small-leather-goods-for-women/zip-around-wallets-for-women/zip-around-wallet-with-bamboo-p-828177AAEVJ6207</t>
        </is>
      </c>
      <c r="M1648" s="5">
        <f t="array" ref="M1648">_xlfn.IFS(J1648="NOTFOUND",I1648,J1648&gt;=I1648,J1648)</f>
        <v/>
      </c>
    </row>
    <row r="1649" ht="18" customHeight="1" s="16">
      <c r="A1649" s="5" t="n">
        <v>1648</v>
      </c>
      <c r="B1649" s="8" t="inlineStr">
        <is>
          <t>GU-3900</t>
        </is>
      </c>
      <c r="C1649" s="2" t="n"/>
      <c r="D1649" s="8" t="inlineStr">
        <is>
          <t>バンブー付き ジップアラウンドウォレット 財布</t>
        </is>
      </c>
      <c r="E1649" s="8" t="inlineStr">
        <is>
          <t>828177 AAEVJ 1000</t>
        </is>
      </c>
      <c r="G1649" s="10" t="inlineStr">
        <is>
          <t>OneSize</t>
        </is>
      </c>
      <c r="H1649" s="17" t="inlineStr">
        <is>
          <t>OneSize</t>
        </is>
      </c>
      <c r="I1649" s="18" t="n">
        <v>148500</v>
      </c>
      <c r="J1649" s="19" t="n">
        <v>148500</v>
      </c>
      <c r="K1649" s="20" t="n">
        <v>5</v>
      </c>
      <c r="L1649" s="4" t="inlineStr">
        <is>
          <t>https://www.gucci.com/jp/ja/pr/women/small-leather-goods-for-women/zip-around-wallets-for-women/zip-around-wallet-with-bamboo-p-828177AAEVJ1000</t>
        </is>
      </c>
      <c r="M1649" s="5">
        <f t="array" ref="M1649">_xlfn.IFS(J1649="NOTFOUND",I1649,J1649&gt;=I1649,J1649)</f>
        <v/>
      </c>
    </row>
    <row r="1650" ht="18" customHeight="1" s="16">
      <c r="A1650" s="5" t="n">
        <v>1649</v>
      </c>
      <c r="B1650" s="8" t="inlineStr">
        <is>
          <t>GU-3901</t>
        </is>
      </c>
      <c r="C1650" s="2" t="n"/>
      <c r="D1650" s="8" t="inlineStr">
        <is>
          <t>バンブー付き カードケース</t>
        </is>
      </c>
      <c r="E1650" s="8" t="inlineStr">
        <is>
          <t>828174 AAE4X 1000</t>
        </is>
      </c>
      <c r="G1650" s="10" t="inlineStr">
        <is>
          <t>OneSize</t>
        </is>
      </c>
      <c r="H1650" s="17" t="inlineStr">
        <is>
          <t>OneSize</t>
        </is>
      </c>
      <c r="I1650" s="18" t="n">
        <v>71500</v>
      </c>
      <c r="J1650" s="19" t="n">
        <v>71500</v>
      </c>
      <c r="K1650" s="20" t="n">
        <v>5</v>
      </c>
      <c r="L1650" s="4" t="inlineStr">
        <is>
          <t>https://www.gucci.com/jp/ja/pr/women/small-leather-goods-for-women/card-coin-cases-for-women/card-case-with-bamboo-p-828174AAE4X1000</t>
        </is>
      </c>
      <c r="M1650" s="5">
        <f t="array" ref="M1650">_xlfn.IFS(J1650="NOTFOUND",I1650,J1650&gt;=I1650,J1650)</f>
        <v/>
      </c>
    </row>
    <row r="1651" ht="18" customHeight="1" s="16">
      <c r="A1651" s="5" t="n">
        <v>1650</v>
      </c>
      <c r="B1651" s="8" t="inlineStr">
        <is>
          <t>GU-3902</t>
        </is>
      </c>
      <c r="C1651" s="2" t="n"/>
      <c r="D1651" s="8" t="inlineStr">
        <is>
          <t>バンブー付き カードケース</t>
        </is>
      </c>
      <c r="E1651" s="8" t="inlineStr">
        <is>
          <t>828174 AAEVB 5637</t>
        </is>
      </c>
      <c r="G1651" s="11" t="inlineStr">
        <is>
          <t>SOLD</t>
        </is>
      </c>
      <c r="H1651" s="22" t="inlineStr">
        <is>
          <t>SOLD</t>
        </is>
      </c>
      <c r="I1651" s="18" t="n">
        <v>71500</v>
      </c>
      <c r="J1651" s="23" t="inlineStr">
        <is>
          <t>NOTFOUND</t>
        </is>
      </c>
      <c r="K1651" s="20" t="n">
        <v>0</v>
      </c>
      <c r="L1651" s="4" t="inlineStr">
        <is>
          <t>https://www.gucci.com/jp/ja/pr/women/small-leather-goods-for-women/card-coin-cases-for-women/card-case-with-bamboo-p-828174AAEVB5637</t>
        </is>
      </c>
      <c r="M1651" s="5">
        <f t="array" ref="M1651">_xlfn.IFS(J1651="NOTFOUND",I1651,J1651&gt;=I1651,J1651)</f>
        <v/>
      </c>
    </row>
    <row r="1652" ht="18" customHeight="1" s="16">
      <c r="A1652" s="5" t="n">
        <v>1651</v>
      </c>
      <c r="B1652" s="8" t="inlineStr">
        <is>
          <t>GU-3903</t>
        </is>
      </c>
      <c r="C1652" s="2" t="n"/>
      <c r="D1652" s="8" t="inlineStr">
        <is>
          <t>バンブー付き カードケース</t>
        </is>
      </c>
      <c r="E1652" s="8" t="inlineStr">
        <is>
          <t>828174 AAEVB 3520</t>
        </is>
      </c>
      <c r="G1652" s="11" t="inlineStr">
        <is>
          <t>SOLD</t>
        </is>
      </c>
      <c r="H1652" s="22" t="inlineStr">
        <is>
          <t>SOLD</t>
        </is>
      </c>
      <c r="I1652" s="18" t="n">
        <v>71500</v>
      </c>
      <c r="J1652" s="23" t="inlineStr">
        <is>
          <t>NOTFOUND</t>
        </is>
      </c>
      <c r="K1652" s="20" t="n">
        <v>0</v>
      </c>
      <c r="L1652" s="4" t="inlineStr">
        <is>
          <t>https://www.gucci.com/jp/ja/pr/women/small-leather-goods-for-women/card-coin-cases-for-women/card-case-with-bamboo-p-828174AAEVB3520</t>
        </is>
      </c>
      <c r="M1652" s="5">
        <f t="array" ref="M1652">_xlfn.IFS(J1652="NOTFOUND",I1652,J1652&gt;=I1652,J1652)</f>
        <v/>
      </c>
    </row>
    <row r="1653" ht="18" customHeight="1" s="16">
      <c r="A1653" s="5" t="n">
        <v>1652</v>
      </c>
      <c r="B1653" s="8" t="inlineStr">
        <is>
          <t>GU-3904</t>
        </is>
      </c>
      <c r="C1653" s="2" t="n"/>
      <c r="D1653" s="8" t="inlineStr">
        <is>
          <t>バンブー付き スモールウォレット 財布</t>
        </is>
      </c>
      <c r="E1653" s="8" t="inlineStr">
        <is>
          <t>828171 AAE4X 1000</t>
        </is>
      </c>
      <c r="G1653" s="10" t="inlineStr">
        <is>
          <t>OneSize</t>
        </is>
      </c>
      <c r="H1653" s="17" t="inlineStr">
        <is>
          <t>OneSize</t>
        </is>
      </c>
      <c r="I1653" s="18" t="n">
        <v>117700</v>
      </c>
      <c r="J1653" s="19" t="n">
        <v>117700</v>
      </c>
      <c r="K1653" s="20" t="n">
        <v>5</v>
      </c>
      <c r="L1653" s="4" t="inlineStr">
        <is>
          <t>https://www.gucci.com/jp/ja/pr/women/small-leather-goods-for-women/card-coin-cases-for-women/small-wallet-with-bamboo-p-828171AAE4X1000</t>
        </is>
      </c>
      <c r="M1653" s="5">
        <f t="array" ref="M1653">_xlfn.IFS(J1653="NOTFOUND",I1653,J1653&gt;=I1653,J1653)</f>
        <v/>
      </c>
    </row>
    <row r="1654" ht="18" customHeight="1" s="16">
      <c r="A1654" s="5" t="n">
        <v>1653</v>
      </c>
      <c r="B1654" s="8" t="inlineStr">
        <is>
          <t>GU-3905</t>
        </is>
      </c>
      <c r="C1654" s="2" t="n"/>
      <c r="D1654" s="8" t="inlineStr">
        <is>
          <t>バンブー付き スモールウォレット 財布</t>
        </is>
      </c>
      <c r="E1654" s="8" t="inlineStr">
        <is>
          <t>828171 AAEVB 5637</t>
        </is>
      </c>
      <c r="G1654" s="11" t="inlineStr">
        <is>
          <t>SOLD</t>
        </is>
      </c>
      <c r="H1654" s="22" t="inlineStr">
        <is>
          <t>SOLD</t>
        </is>
      </c>
      <c r="I1654" s="18" t="n">
        <v>117700</v>
      </c>
      <c r="J1654" s="23" t="inlineStr">
        <is>
          <t>NOTFOUND</t>
        </is>
      </c>
      <c r="K1654" s="20" t="n">
        <v>0</v>
      </c>
      <c r="L1654" s="4" t="inlineStr">
        <is>
          <t>https://www.gucci.com/jp/ja/pr/women/small-leather-goods-for-women/card-coin-cases-for-women/small-wallet-with-bamboo-p-828171AAEVB5637</t>
        </is>
      </c>
      <c r="M1654" s="5">
        <f t="array" ref="M1654">_xlfn.IFS(J1654="NOTFOUND",I1654,J1654&gt;=I1654,J1654)</f>
        <v/>
      </c>
    </row>
    <row r="1655" ht="18" customHeight="1" s="16">
      <c r="A1655" s="5" t="n">
        <v>1654</v>
      </c>
      <c r="B1655" s="8" t="inlineStr">
        <is>
          <t>GU-3906</t>
        </is>
      </c>
      <c r="C1655" s="2" t="n"/>
      <c r="D1655" s="8" t="inlineStr">
        <is>
          <t>バンブー付き スモールウォレット 財布</t>
        </is>
      </c>
      <c r="E1655" s="8" t="inlineStr">
        <is>
          <t>828171 AAEVB 3520</t>
        </is>
      </c>
      <c r="G1655" s="11" t="inlineStr">
        <is>
          <t>SOLD</t>
        </is>
      </c>
      <c r="H1655" s="22" t="inlineStr">
        <is>
          <t>SOLD</t>
        </is>
      </c>
      <c r="I1655" s="18" t="n">
        <v>117700</v>
      </c>
      <c r="J1655" s="23" t="inlineStr">
        <is>
          <t>NOTFOUND</t>
        </is>
      </c>
      <c r="K1655" s="20" t="n">
        <v>0</v>
      </c>
      <c r="L1655" s="4" t="inlineStr">
        <is>
          <t>https://www.gucci.com/jp/ja/pr/women/small-leather-goods-for-women/card-coin-cases-for-women/small-wallet-with-bamboo-p-828171AAEVB3520</t>
        </is>
      </c>
      <c r="M1655" s="5">
        <f t="array" ref="M1655">_xlfn.IFS(J1655="NOTFOUND",I1655,J1655&gt;=I1655,J1655)</f>
        <v/>
      </c>
    </row>
    <row r="1656" ht="18" customHeight="1" s="16">
      <c r="A1656" s="5" t="n">
        <v>1655</v>
      </c>
      <c r="B1656" s="8" t="inlineStr">
        <is>
          <t>GU-3907</t>
        </is>
      </c>
      <c r="C1656" s="2" t="n"/>
      <c r="D1656" s="8" t="inlineStr">
        <is>
          <t>バンブー付き ジップアラウンドウォレット 財布</t>
        </is>
      </c>
      <c r="E1656" s="8" t="inlineStr">
        <is>
          <t>739499 AABXM 3401</t>
        </is>
      </c>
      <c r="G1656" s="10" t="inlineStr">
        <is>
          <t>OneSize</t>
        </is>
      </c>
      <c r="H1656" s="17" t="inlineStr">
        <is>
          <t>OneSize</t>
        </is>
      </c>
      <c r="I1656" s="18" t="n">
        <v>115500</v>
      </c>
      <c r="J1656" s="19" t="n">
        <v>115500</v>
      </c>
      <c r="K1656" s="20" t="n">
        <v>5</v>
      </c>
      <c r="L1656" s="4" t="inlineStr">
        <is>
          <t>https://www.gucci.com/jp/ja/pr/women/small-leather-goods-for-women/zip-around-wallets-for-women/zip-around-wallet-with-bamboo-p-739499AABXM3401</t>
        </is>
      </c>
      <c r="M1656" s="5">
        <f t="array" ref="M1656">_xlfn.IFS(J1656="NOTFOUND",I1656,J1656&gt;=I1656,J1656)</f>
        <v/>
      </c>
    </row>
    <row r="1657" ht="18" customHeight="1" s="16">
      <c r="A1657" s="5" t="n">
        <v>1656</v>
      </c>
      <c r="B1657" s="8" t="inlineStr">
        <is>
          <t>GU-3908</t>
        </is>
      </c>
      <c r="C1657" s="2" t="n"/>
      <c r="D1657" s="8" t="inlineStr">
        <is>
          <t>バンブー付き ジップアラウンドウォレット 財布</t>
        </is>
      </c>
      <c r="E1657" s="8" t="inlineStr">
        <is>
          <t>739499 AABXM 1000</t>
        </is>
      </c>
      <c r="G1657" s="10" t="inlineStr">
        <is>
          <t>OneSize</t>
        </is>
      </c>
      <c r="H1657" s="17" t="inlineStr">
        <is>
          <t>OneSize</t>
        </is>
      </c>
      <c r="I1657" s="18" t="n">
        <v>115500</v>
      </c>
      <c r="J1657" s="19" t="n">
        <v>115500</v>
      </c>
      <c r="K1657" s="20" t="n">
        <v>5</v>
      </c>
      <c r="L1657" s="4" t="inlineStr">
        <is>
          <t>https://www.gucci.com/jp/ja/pr/women/small-leather-goods-for-women/zip-around-wallets-for-women/zip-around-wallet-with-bamboo-p-739499AABXM1000</t>
        </is>
      </c>
      <c r="M1657" s="5">
        <f t="array" ref="M1657">_xlfn.IFS(J1657="NOTFOUND",I1657,J1657&gt;=I1657,J1657)</f>
        <v/>
      </c>
    </row>
    <row r="1658" ht="18" customHeight="1" s="16">
      <c r="A1658" s="5" t="n">
        <v>1657</v>
      </c>
      <c r="B1658" s="8" t="inlineStr">
        <is>
          <t>GU-3909</t>
        </is>
      </c>
      <c r="C1658" s="2" t="n"/>
      <c r="D1658" s="8" t="inlineStr">
        <is>
          <t>バンブー付き ダブルG ミディアム ウォレット 財布</t>
        </is>
      </c>
      <c r="E1658" s="8" t="inlineStr">
        <is>
          <t>739498 AABXM 3401</t>
        </is>
      </c>
      <c r="G1658" s="11" t="inlineStr">
        <is>
          <t>SOLD</t>
        </is>
      </c>
      <c r="H1658" s="22" t="inlineStr">
        <is>
          <t>SOLD</t>
        </is>
      </c>
      <c r="I1658" s="18" t="n">
        <v>86900</v>
      </c>
      <c r="J1658" s="19" t="n">
        <v>86900</v>
      </c>
      <c r="K1658" s="20" t="n">
        <v>0</v>
      </c>
      <c r="L1658" s="4" t="inlineStr">
        <is>
          <t>https://www.gucci.com/jp/ja/pr/women/small-leather-goods-for-women/card-coin-cases-for-women/medium-double-g-wallet-with-bamboo-p-739498AABXM3401</t>
        </is>
      </c>
      <c r="M1658" s="5">
        <f t="array" ref="M1658">_xlfn.IFS(J1658="NOTFOUND",I1658,J1658&gt;=I1658,J1658)</f>
        <v/>
      </c>
    </row>
    <row r="1659" ht="18" customHeight="1" s="16">
      <c r="A1659" s="5" t="n">
        <v>1658</v>
      </c>
      <c r="B1659" s="8" t="inlineStr">
        <is>
          <t>GU-3910</t>
        </is>
      </c>
      <c r="C1659" s="2" t="n"/>
      <c r="D1659" s="8" t="inlineStr">
        <is>
          <t>バンブー付き ダブルG ミディアム ウォレット 財布</t>
        </is>
      </c>
      <c r="E1659" s="8" t="inlineStr">
        <is>
          <t>739498 AABXM 2535</t>
        </is>
      </c>
      <c r="G1659" s="10" t="inlineStr">
        <is>
          <t>OneSize</t>
        </is>
      </c>
      <c r="H1659" s="17" t="inlineStr">
        <is>
          <t>OneSize</t>
        </is>
      </c>
      <c r="I1659" s="18" t="n">
        <v>86900</v>
      </c>
      <c r="J1659" s="19" t="n">
        <v>86900</v>
      </c>
      <c r="K1659" s="20" t="n">
        <v>5</v>
      </c>
      <c r="L1659" s="4" t="inlineStr">
        <is>
          <t>https://www.gucci.com/jp/ja/pr/women/small-leather-goods-for-women/card-coin-cases-for-women/medium-double-g-wallet-with-bamboo-p-739498AABXM2535</t>
        </is>
      </c>
      <c r="M1659" s="5">
        <f t="array" ref="M1659">_xlfn.IFS(J1659="NOTFOUND",I1659,J1659&gt;=I1659,J1659)</f>
        <v/>
      </c>
    </row>
    <row r="1660" ht="18" customHeight="1" s="16">
      <c r="A1660" s="5" t="n">
        <v>1659</v>
      </c>
      <c r="B1660" s="8" t="inlineStr">
        <is>
          <t>GU-3911</t>
        </is>
      </c>
      <c r="C1660" s="2" t="n"/>
      <c r="D1660" s="8" t="inlineStr">
        <is>
          <t>バンブー付き ダブルG ミディアム ウォレット 財布</t>
        </is>
      </c>
      <c r="E1660" s="8" t="inlineStr">
        <is>
          <t>739498 AABXM 1000</t>
        </is>
      </c>
      <c r="G1660" s="10" t="inlineStr">
        <is>
          <t>OneSize</t>
        </is>
      </c>
      <c r="H1660" s="17" t="inlineStr">
        <is>
          <t>OneSize</t>
        </is>
      </c>
      <c r="I1660" s="18" t="n">
        <v>86900</v>
      </c>
      <c r="J1660" s="19" t="n">
        <v>86900</v>
      </c>
      <c r="K1660" s="20" t="n">
        <v>5</v>
      </c>
      <c r="L1660" s="4" t="inlineStr">
        <is>
          <t>https://www.gucci.com/jp/ja/pr/women/small-leather-goods-for-women/card-coin-cases-for-women/medium-double-g-wallet-with-bamboo-p-739498AABXM1000</t>
        </is>
      </c>
      <c r="M1660" s="5">
        <f t="array" ref="M1660">_xlfn.IFS(J1660="NOTFOUND",I1660,J1660&gt;=I1660,J1660)</f>
        <v/>
      </c>
    </row>
    <row r="1661" ht="18" customHeight="1" s="16">
      <c r="A1661" s="5" t="n">
        <v>1660</v>
      </c>
      <c r="B1661" s="8" t="inlineStr">
        <is>
          <t>GU-3912</t>
        </is>
      </c>
      <c r="C1661" s="2" t="n"/>
      <c r="D1661" s="8" t="inlineStr">
        <is>
          <t>GGエンブレムジップ コインパスケース</t>
        </is>
      </c>
      <c r="E1661" s="8" t="inlineStr">
        <is>
          <t>815936 AAEEM 1000</t>
        </is>
      </c>
      <c r="G1661" s="10" t="inlineStr">
        <is>
          <t>OneSize</t>
        </is>
      </c>
      <c r="H1661" s="17" t="inlineStr">
        <is>
          <t>OneSize</t>
        </is>
      </c>
      <c r="I1661" s="18" t="n">
        <v>95700</v>
      </c>
      <c r="J1661" s="19" t="n">
        <v>95700</v>
      </c>
      <c r="K1661" s="20" t="n">
        <v>5</v>
      </c>
      <c r="L1661" s="4" t="inlineStr">
        <is>
          <t>https://www.gucci.com/jp/ja/pr/women/small-leather-goods-for-women/card-coin-cases-for-women/gg-emblem-zip-card-case-p-815936AAEEM1000</t>
        </is>
      </c>
      <c r="M1661" s="5">
        <f t="array" ref="M1661">_xlfn.IFS(J1661="NOTFOUND",I1661,J1661&gt;=I1661,J1661)</f>
        <v/>
      </c>
    </row>
    <row r="1662" ht="18" customHeight="1" s="16">
      <c r="A1662" s="5" t="n">
        <v>1661</v>
      </c>
      <c r="B1662" s="8" t="inlineStr">
        <is>
          <t>GU-3913</t>
        </is>
      </c>
      <c r="C1662" s="2" t="n"/>
      <c r="D1662" s="8" t="inlineStr">
        <is>
          <t>GGエンブレムパスケース</t>
        </is>
      </c>
      <c r="E1662" s="8" t="inlineStr">
        <is>
          <t>815883 AAEEM 1000</t>
        </is>
      </c>
      <c r="G1662" s="10" t="inlineStr">
        <is>
          <t>OneSize</t>
        </is>
      </c>
      <c r="H1662" s="17" t="inlineStr">
        <is>
          <t>OneSize</t>
        </is>
      </c>
      <c r="I1662" s="18" t="n">
        <v>61600</v>
      </c>
      <c r="J1662" s="19" t="n">
        <v>61600</v>
      </c>
      <c r="K1662" s="20" t="n">
        <v>5</v>
      </c>
      <c r="L1662" s="4" t="inlineStr">
        <is>
          <t>https://www.gucci.com/jp/ja/pr/women/small-leather-goods-for-women/card-coin-cases-for-women/gg-emblem-card-case-p-815883AAEEM1000</t>
        </is>
      </c>
      <c r="M1662" s="5">
        <f t="array" ref="M1662">_xlfn.IFS(J1662="NOTFOUND",I1662,J1662&gt;=I1662,J1662)</f>
        <v/>
      </c>
    </row>
    <row r="1663" ht="18" customHeight="1" s="16">
      <c r="A1663" s="5" t="n">
        <v>1662</v>
      </c>
      <c r="B1663" s="8" t="inlineStr">
        <is>
          <t>GU-3914</t>
        </is>
      </c>
      <c r="C1663" s="2" t="n"/>
      <c r="D1663" s="8" t="inlineStr">
        <is>
          <t>GGエンブレムミディアム ウォレット 財布</t>
        </is>
      </c>
      <c r="E1663" s="8" t="inlineStr">
        <is>
          <t>815874 AAEEM 9540</t>
        </is>
      </c>
      <c r="G1663" s="10" t="inlineStr">
        <is>
          <t>OneSize</t>
        </is>
      </c>
      <c r="H1663" s="17" t="inlineStr">
        <is>
          <t>OneSize</t>
        </is>
      </c>
      <c r="I1663" s="18" t="n">
        <v>99000</v>
      </c>
      <c r="J1663" s="19" t="n">
        <v>99000</v>
      </c>
      <c r="K1663" s="20" t="n">
        <v>5</v>
      </c>
      <c r="L1663" s="4" t="inlineStr">
        <is>
          <t>https://www.gucci.com/jp/ja/pr/women/small-leather-goods-for-women/folded-wallets-for-women/gg-emblem-medium-wallet-p-815874AAEEM9540</t>
        </is>
      </c>
      <c r="M1663" s="5">
        <f t="array" ref="M1663">_xlfn.IFS(J1663="NOTFOUND",I1663,J1663&gt;=I1663,J1663)</f>
        <v/>
      </c>
    </row>
    <row r="1664" ht="18" customHeight="1" s="16">
      <c r="A1664" s="5" t="n">
        <v>1663</v>
      </c>
      <c r="B1664" s="8" t="inlineStr">
        <is>
          <t>GU-3915</t>
        </is>
      </c>
      <c r="C1664" s="2" t="n"/>
      <c r="D1664" s="8" t="inlineStr">
        <is>
          <t>GGエンブレムミディアム ウォレット 財布</t>
        </is>
      </c>
      <c r="E1664" s="8" t="inlineStr">
        <is>
          <t>815874 AAEEM 1000</t>
        </is>
      </c>
      <c r="G1664" s="10" t="inlineStr">
        <is>
          <t>OneSize</t>
        </is>
      </c>
      <c r="H1664" s="17" t="inlineStr">
        <is>
          <t>OneSize</t>
        </is>
      </c>
      <c r="I1664" s="18" t="n">
        <v>99000</v>
      </c>
      <c r="J1664" s="19" t="n">
        <v>99000</v>
      </c>
      <c r="K1664" s="20" t="n">
        <v>5</v>
      </c>
      <c r="L1664" s="4" t="inlineStr">
        <is>
          <t>https://www.gucci.com/jp/ja/pr/women/small-leather-goods-for-women/folded-wallets-for-women/gg-emblem-medium-wallet-p-815874AAEEM1000</t>
        </is>
      </c>
      <c r="M1664" s="5">
        <f t="array" ref="M1664">_xlfn.IFS(J1664="NOTFOUND",I1664,J1664&gt;=I1664,J1664)</f>
        <v/>
      </c>
    </row>
    <row r="1665" ht="18" customHeight="1" s="16">
      <c r="A1665" s="5" t="n">
        <v>1664</v>
      </c>
      <c r="B1665" s="8" t="inlineStr">
        <is>
          <t>GU-3916</t>
        </is>
      </c>
      <c r="C1665" s="2" t="n"/>
      <c r="D1665" s="8" t="inlineStr">
        <is>
          <t>GGエンブレムカードケース ウォレット 財布</t>
        </is>
      </c>
      <c r="E1665" s="8" t="inlineStr">
        <is>
          <t>815901 AAEEM 3411</t>
        </is>
      </c>
      <c r="G1665" s="11" t="inlineStr">
        <is>
          <t>SOLD</t>
        </is>
      </c>
      <c r="H1665" s="22" t="inlineStr">
        <is>
          <t>SOLD</t>
        </is>
      </c>
      <c r="I1665" s="18" t="n">
        <v>85800</v>
      </c>
      <c r="J1665" s="23" t="inlineStr">
        <is>
          <t>NOTFOUND</t>
        </is>
      </c>
      <c r="K1665" s="20" t="n">
        <v>0</v>
      </c>
      <c r="L1665" s="4" t="inlineStr">
        <is>
          <t>https://www.gucci.com/jp/ja/pr/women/small-leather-goods-for-women/folded-wallets-for-women/gg-emblem-mini-wallet-p-815901AAEEM3411</t>
        </is>
      </c>
      <c r="M1665" s="5">
        <f t="array" ref="M1665">_xlfn.IFS(J1665="NOTFOUND",I1665,J1665&gt;=I1665,J1665)</f>
        <v/>
      </c>
    </row>
    <row r="1666" ht="18" customHeight="1" s="16">
      <c r="A1666" s="5" t="n">
        <v>1665</v>
      </c>
      <c r="B1666" s="8" t="inlineStr">
        <is>
          <t>GU-3917</t>
        </is>
      </c>
      <c r="C1666" s="2" t="n"/>
      <c r="D1666" s="8" t="inlineStr">
        <is>
          <t>GGエンブレムパスケース</t>
        </is>
      </c>
      <c r="E1666" s="8" t="inlineStr">
        <is>
          <t>815883 AAEEM 4950</t>
        </is>
      </c>
      <c r="G1666" s="10" t="inlineStr">
        <is>
          <t>OneSize</t>
        </is>
      </c>
      <c r="H1666" s="17" t="inlineStr">
        <is>
          <t>OneSize</t>
        </is>
      </c>
      <c r="I1666" s="18" t="n">
        <v>61600</v>
      </c>
      <c r="J1666" s="19" t="n">
        <v>61600</v>
      </c>
      <c r="K1666" s="20" t="n">
        <v>5</v>
      </c>
      <c r="L1666" s="4" t="inlineStr">
        <is>
          <t>https://www.gucci.com/jp/ja/pr/women/small-leather-goods-for-women/card-coin-cases-for-women/gg-emblem-card-case-p-815883AAEEM4950</t>
        </is>
      </c>
      <c r="M1666" s="5">
        <f t="array" ref="M1666">_xlfn.IFS(J1666="NOTFOUND",I1666,J1666&gt;=I1666,J1666)</f>
        <v/>
      </c>
    </row>
    <row r="1667" ht="18" customHeight="1" s="16">
      <c r="A1667" s="5" t="n">
        <v>1666</v>
      </c>
      <c r="B1667" s="8" t="inlineStr">
        <is>
          <t>GU-3918</t>
        </is>
      </c>
      <c r="C1667" s="2" t="n"/>
      <c r="D1667" s="8" t="inlineStr">
        <is>
          <t>GGエンブレムパスケース</t>
        </is>
      </c>
      <c r="E1667" s="8" t="inlineStr">
        <is>
          <t>815883 AAEEM 6802</t>
        </is>
      </c>
      <c r="G1667" s="10" t="inlineStr">
        <is>
          <t>OneSize</t>
        </is>
      </c>
      <c r="H1667" s="17" t="inlineStr">
        <is>
          <t>OneSize</t>
        </is>
      </c>
      <c r="I1667" s="18" t="n">
        <v>61600</v>
      </c>
      <c r="J1667" s="19" t="n">
        <v>61600</v>
      </c>
      <c r="K1667" s="20" t="n">
        <v>5</v>
      </c>
      <c r="L1667" s="4" t="inlineStr">
        <is>
          <t>https://www.gucci.com/jp/ja/pr/women/small-leather-goods-for-women/card-coin-cases-for-women/gg-emblem-card-case-p-815883AAEEM6802</t>
        </is>
      </c>
      <c r="M1667" s="5">
        <f t="array" ref="M1667">_xlfn.IFS(J1667="NOTFOUND",I1667,J1667&gt;=I1667,J1667)</f>
        <v/>
      </c>
    </row>
    <row r="1668" ht="18" customHeight="1" s="16">
      <c r="A1668" s="5" t="n">
        <v>1667</v>
      </c>
      <c r="B1668" s="8" t="inlineStr">
        <is>
          <t>GU-3919</t>
        </is>
      </c>
      <c r="C1668" s="2" t="n"/>
      <c r="D1668" s="8" t="inlineStr">
        <is>
          <t>GGエンブレムパスケース</t>
        </is>
      </c>
      <c r="E1668" s="8" t="inlineStr">
        <is>
          <t>815883 AAEEM 3411</t>
        </is>
      </c>
      <c r="G1668" s="11" t="inlineStr">
        <is>
          <t>SOLD</t>
        </is>
      </c>
      <c r="H1668" s="22" t="inlineStr">
        <is>
          <t>SOLD</t>
        </is>
      </c>
      <c r="I1668" s="18" t="n">
        <v>61600</v>
      </c>
      <c r="J1668" s="23" t="inlineStr">
        <is>
          <t>NOTFOUND</t>
        </is>
      </c>
      <c r="K1668" s="20" t="n">
        <v>0</v>
      </c>
      <c r="L1668" s="4" t="inlineStr">
        <is>
          <t>https://www.gucci.com/jp/ja/pr/women/small-leather-goods-for-women/card-coin-cases-for-women/gg-emblem-card-case-p-815883AAEEM3411</t>
        </is>
      </c>
      <c r="M1668" s="5">
        <f t="array" ref="M1668">_xlfn.IFS(J1668="NOTFOUND",I1668,J1668&gt;=I1668,J1668)</f>
        <v/>
      </c>
    </row>
    <row r="1669" ht="18" customHeight="1" s="16">
      <c r="A1669" s="5" t="n">
        <v>1668</v>
      </c>
      <c r="B1669" s="8" t="inlineStr">
        <is>
          <t>GU-3920</t>
        </is>
      </c>
      <c r="C1669" s="2" t="n"/>
      <c r="D1669" s="8" t="inlineStr">
        <is>
          <t>オフィディアスモール バニティバッグ</t>
        </is>
      </c>
      <c r="E1669" s="8" t="inlineStr">
        <is>
          <t>816357 96IWG 8745</t>
        </is>
      </c>
      <c r="G1669" s="10" t="inlineStr">
        <is>
          <t>OneSize</t>
        </is>
      </c>
      <c r="H1669" s="17" t="inlineStr">
        <is>
          <t>OneSize</t>
        </is>
      </c>
      <c r="I1669" s="18" t="n">
        <v>209000</v>
      </c>
      <c r="J1669" s="19" t="n">
        <v>209000</v>
      </c>
      <c r="K1669" s="20" t="n">
        <v>5</v>
      </c>
      <c r="L1669" s="4" t="inlineStr">
        <is>
          <t>https://www.gucci.com/jp/ja/pr/women/handbags/mini-bags-for-women/ophidia-small-vanity-bag-p-81635796IWG8745</t>
        </is>
      </c>
      <c r="M1669" s="5">
        <f t="array" ref="M1669">_xlfn.IFS(J1669="NOTFOUND",I1669,J1669&gt;=I1669,J1669)</f>
        <v/>
      </c>
    </row>
    <row r="1670" ht="18" customHeight="1" s="16">
      <c r="A1670" s="5" t="n">
        <v>1669</v>
      </c>
      <c r="B1670" s="8" t="inlineStr">
        <is>
          <t>GU-3921</t>
        </is>
      </c>
      <c r="C1670" s="2" t="n"/>
      <c r="D1670" s="8" t="inlineStr">
        <is>
          <t>オフィディアミニバッグ</t>
        </is>
      </c>
      <c r="E1670" s="8" t="inlineStr">
        <is>
          <t>795466 FABIA 9741</t>
        </is>
      </c>
      <c r="G1670" s="10" t="inlineStr">
        <is>
          <t>OneSize</t>
        </is>
      </c>
      <c r="H1670" s="17" t="inlineStr">
        <is>
          <t>OneSize</t>
        </is>
      </c>
      <c r="I1670" s="18" t="n">
        <v>214500</v>
      </c>
      <c r="J1670" s="19" t="n">
        <v>214500</v>
      </c>
      <c r="K1670" s="20" t="n">
        <v>5</v>
      </c>
      <c r="L1670" s="4" t="inlineStr">
        <is>
          <t>https://www.gucci.com/jp/ja/pr/women/small-leather-goods-for-women/strap-chain-wallets/ophidia-mini-bag-p-795466FABIA9741</t>
        </is>
      </c>
      <c r="M1670" s="5">
        <f t="array" ref="M1670">_xlfn.IFS(J1670="NOTFOUND",I1670,J1670&gt;=I1670,J1670)</f>
        <v/>
      </c>
    </row>
    <row r="1671" ht="18" customHeight="1" s="16">
      <c r="A1671" s="5" t="n">
        <v>1670</v>
      </c>
      <c r="B1671" s="8" t="inlineStr">
        <is>
          <t>GU-3922</t>
        </is>
      </c>
      <c r="C1671" s="2" t="n"/>
      <c r="D1671" s="8" t="inlineStr">
        <is>
          <t>オフィディアスモール ショルダーバッグ</t>
        </is>
      </c>
      <c r="E1671" s="8" t="inlineStr">
        <is>
          <t>795170 96IWG 8745</t>
        </is>
      </c>
      <c r="G1671" s="11" t="inlineStr">
        <is>
          <t>SOLD</t>
        </is>
      </c>
      <c r="H1671" s="22" t="inlineStr">
        <is>
          <t>SOLD</t>
        </is>
      </c>
      <c r="I1671" s="18" t="n">
        <v>201300</v>
      </c>
      <c r="J1671" s="23" t="inlineStr">
        <is>
          <t>NOTFOUND</t>
        </is>
      </c>
      <c r="K1671" s="20" t="n">
        <v>0</v>
      </c>
      <c r="L1671" s="4" t="inlineStr">
        <is>
          <t>https://www.gucci.com/jp/ja/pr/women/handbags/mini-bags-for-women/ophidia-small-shoulder-bag-p-79517096IWG8745</t>
        </is>
      </c>
      <c r="M1671" s="5">
        <f t="array" ref="M1671">_xlfn.IFS(J1671="NOTFOUND",I1671,J1671&gt;=I1671,J1671)</f>
        <v/>
      </c>
    </row>
    <row r="1672" ht="18" customHeight="1" s="16">
      <c r="A1672" s="5" t="n">
        <v>1671</v>
      </c>
      <c r="B1672" s="8" t="inlineStr">
        <is>
          <t>GU-3923</t>
        </is>
      </c>
      <c r="C1672" s="2" t="n"/>
      <c r="D1672" s="8" t="inlineStr">
        <is>
          <t>オフィディアパスポートケース</t>
        </is>
      </c>
      <c r="E1672" s="8" t="inlineStr">
        <is>
          <t>795158 96IWG 8745</t>
        </is>
      </c>
      <c r="G1672" s="10" t="inlineStr">
        <is>
          <t>OneSize</t>
        </is>
      </c>
      <c r="H1672" s="17" t="inlineStr">
        <is>
          <t>OneSize</t>
        </is>
      </c>
      <c r="I1672" s="18" t="n">
        <v>62700</v>
      </c>
      <c r="J1672" s="19" t="n">
        <v>62700</v>
      </c>
      <c r="K1672" s="20" t="n">
        <v>5</v>
      </c>
      <c r="L1672" s="4" t="inlineStr">
        <is>
          <t>https://www.gucci.com/jp/ja/pr/women/small-leather-goods-for-women/card-coin-cases-for-women/ophidia-passport-case-p-79515896IWG8745</t>
        </is>
      </c>
      <c r="M1672" s="5">
        <f t="array" ref="M1672">_xlfn.IFS(J1672="NOTFOUND",I1672,J1672&gt;=I1672,J1672)</f>
        <v/>
      </c>
    </row>
    <row r="1673" ht="18" customHeight="1" s="16">
      <c r="A1673" s="5" t="n">
        <v>1672</v>
      </c>
      <c r="B1673" s="8" t="inlineStr">
        <is>
          <t>GU-3924</t>
        </is>
      </c>
      <c r="C1673" s="2" t="n"/>
      <c r="D1673" s="8" t="inlineStr">
        <is>
          <t>オフィディアチェーン付き コンチネンタルウォレット 財布</t>
        </is>
      </c>
      <c r="E1673" s="8" t="inlineStr">
        <is>
          <t>772309 96IWG 8745</t>
        </is>
      </c>
      <c r="G1673" s="10" t="inlineStr">
        <is>
          <t>OneSize</t>
        </is>
      </c>
      <c r="H1673" s="17" t="inlineStr">
        <is>
          <t>OneSize</t>
        </is>
      </c>
      <c r="I1673" s="18" t="n">
        <v>140800</v>
      </c>
      <c r="J1673" s="19" t="n">
        <v>140800</v>
      </c>
      <c r="K1673" s="20" t="n">
        <v>5</v>
      </c>
      <c r="L1673" s="4" t="inlineStr">
        <is>
          <t>https://www.gucci.com/jp/ja/pr/women/small-leather-goods-for-women/continental-wallets-for-women/ophidia-wallet-on-chain-p-77230996IWG8745</t>
        </is>
      </c>
      <c r="M1673" s="5">
        <f t="array" ref="M1673">_xlfn.IFS(J1673="NOTFOUND",I1673,J1673&gt;=I1673,J1673)</f>
        <v/>
      </c>
    </row>
    <row r="1674" ht="18" customHeight="1" s="16">
      <c r="A1674" s="5" t="n">
        <v>1673</v>
      </c>
      <c r="B1674" s="8" t="inlineStr">
        <is>
          <t>GU-3925</t>
        </is>
      </c>
      <c r="C1674" s="2" t="n"/>
      <c r="D1674" s="8" t="inlineStr">
        <is>
          <t>オフィディアカードケース ウォレット財布</t>
        </is>
      </c>
      <c r="E1674" s="8" t="inlineStr">
        <is>
          <t>725662 96IWG 8745</t>
        </is>
      </c>
      <c r="G1674" s="10" t="inlineStr">
        <is>
          <t>OneSize</t>
        </is>
      </c>
      <c r="H1674" s="17" t="inlineStr">
        <is>
          <t>OneSize</t>
        </is>
      </c>
      <c r="I1674" s="18" t="n">
        <v>80300</v>
      </c>
      <c r="J1674" s="19" t="n">
        <v>80300</v>
      </c>
      <c r="K1674" s="20" t="n">
        <v>5</v>
      </c>
      <c r="L1674" s="4" t="inlineStr">
        <is>
          <t>https://www.gucci.com/jp/ja/pr/women/small-leather-goods-for-women/card-coin-cases-for-women/ophidia-card-case-wallet-p-72566296IWG8745</t>
        </is>
      </c>
      <c r="M1674" s="5">
        <f t="array" ref="M1674">_xlfn.IFS(J1674="NOTFOUND",I1674,J1674&gt;=I1674,J1674)</f>
        <v/>
      </c>
    </row>
    <row r="1675" ht="18" customHeight="1" s="16">
      <c r="A1675" s="5" t="n">
        <v>1674</v>
      </c>
      <c r="B1675" s="8" t="inlineStr">
        <is>
          <t>GU-3926</t>
        </is>
      </c>
      <c r="C1675" s="2" t="n"/>
      <c r="D1675" s="8" t="inlineStr">
        <is>
          <t>オフィディアカードケース ウォレット財布</t>
        </is>
      </c>
      <c r="E1675" s="8" t="inlineStr">
        <is>
          <t>658552 96IWG 8745</t>
        </is>
      </c>
      <c r="G1675" s="11" t="inlineStr">
        <is>
          <t>SOLD</t>
        </is>
      </c>
      <c r="H1675" s="22" t="inlineStr">
        <is>
          <t>SOLD</t>
        </is>
      </c>
      <c r="I1675" s="18" t="n">
        <v>75350</v>
      </c>
      <c r="J1675" s="23" t="inlineStr">
        <is>
          <t>NOTFOUND</t>
        </is>
      </c>
      <c r="K1675" s="20" t="n">
        <v>0</v>
      </c>
      <c r="L1675" s="4" t="inlineStr">
        <is>
          <t>https://www.gucci.com/jp/ja/pr/women/small-leather-goods-for-women/card-coin-cases-for-women/ophidia-card-case-wallet-p-65855296IWG8745</t>
        </is>
      </c>
      <c r="M1675" s="5">
        <f t="array" ref="M1675">_xlfn.IFS(J1675="NOTFOUND",I1675,J1675&gt;=I1675,J1675)</f>
        <v/>
      </c>
    </row>
    <row r="1676" ht="18" customHeight="1" s="16">
      <c r="A1676" s="5" t="n">
        <v>1675</v>
      </c>
      <c r="B1676" s="8" t="inlineStr">
        <is>
          <t>GU-3927</t>
        </is>
      </c>
      <c r="C1676" s="2" t="n"/>
      <c r="D1676" s="8" t="inlineStr">
        <is>
          <t>オフィディアコスメティックケース</t>
        </is>
      </c>
      <c r="E1676" s="8" t="inlineStr">
        <is>
          <t>625551 96IWG 8745</t>
        </is>
      </c>
      <c r="G1676" s="10" t="inlineStr">
        <is>
          <t>OneSize</t>
        </is>
      </c>
      <c r="H1676" s="17" t="inlineStr">
        <is>
          <t>OneSize</t>
        </is>
      </c>
      <c r="I1676" s="18" t="n">
        <v>70400</v>
      </c>
      <c r="J1676" s="19" t="n">
        <v>70400</v>
      </c>
      <c r="K1676" s="20" t="n">
        <v>5</v>
      </c>
      <c r="L1676" s="4" t="inlineStr">
        <is>
          <t>https://www.gucci.com/jp/ja/pr/women/travel-bags-for-women/accessories-for-women/ophidia-small-case-p-62555196IWG8745</t>
        </is>
      </c>
      <c r="M1676" s="5">
        <f t="array" ref="M1676">_xlfn.IFS(J1676="NOTFOUND",I1676,J1676&gt;=I1676,J1676)</f>
        <v/>
      </c>
    </row>
    <row r="1677" ht="18" customHeight="1" s="16">
      <c r="A1677" s="5" t="n">
        <v>1676</v>
      </c>
      <c r="B1677" s="8" t="inlineStr">
        <is>
          <t>GU-3928</t>
        </is>
      </c>
      <c r="C1677" s="2" t="n"/>
      <c r="D1677" s="8" t="inlineStr">
        <is>
          <t>オフィディアGG ウォレット 財布</t>
        </is>
      </c>
      <c r="E1677" s="8" t="inlineStr">
        <is>
          <t>598662 96IWG 8745</t>
        </is>
      </c>
      <c r="G1677" s="10" t="inlineStr">
        <is>
          <t>OneSize</t>
        </is>
      </c>
      <c r="H1677" s="22" t="inlineStr">
        <is>
          <t>SOLD</t>
        </is>
      </c>
      <c r="I1677" s="18" t="n">
        <v>95700</v>
      </c>
      <c r="J1677" s="19" t="n">
        <v>95700</v>
      </c>
      <c r="K1677" s="20" t="n">
        <v>0</v>
      </c>
      <c r="L1677" s="4" t="inlineStr">
        <is>
          <t>https://www.gucci.com/jp/ja/pr/women/small-leather-goods-for-women/folded-wallets-for-women/ophidia-card-case-wallet-p-59866296IWG8745</t>
        </is>
      </c>
      <c r="M1677" s="5">
        <f t="array" ref="M1677">_xlfn.IFS(J1677="NOTFOUND",I1677,J1677&gt;=I1677,J1677)</f>
        <v/>
      </c>
    </row>
    <row r="1678" ht="18" customHeight="1" s="16">
      <c r="A1678" s="5" t="n">
        <v>1677</v>
      </c>
      <c r="B1678" s="8" t="inlineStr">
        <is>
          <t>GU-3929</t>
        </is>
      </c>
      <c r="C1678" s="2" t="n"/>
      <c r="D1678" s="8" t="inlineStr">
        <is>
          <t>オフィディアミディアム ポーチ</t>
        </is>
      </c>
      <c r="E1678" s="8" t="inlineStr">
        <is>
          <t>598234 96IWT 8745</t>
        </is>
      </c>
      <c r="G1678" s="10" t="inlineStr">
        <is>
          <t>OneSize</t>
        </is>
      </c>
      <c r="H1678" s="17" t="inlineStr">
        <is>
          <t>OneSize</t>
        </is>
      </c>
      <c r="I1678" s="18" t="n">
        <v>127600</v>
      </c>
      <c r="J1678" s="19" t="n">
        <v>127600</v>
      </c>
      <c r="K1678" s="20" t="n">
        <v>5</v>
      </c>
      <c r="L1678" s="4" t="inlineStr">
        <is>
          <t>https://www.gucci.com/jp/ja/pr/men/bags-for-men/clutches-for-men/ophidia-medium-pouch-p-59823496IWT8745</t>
        </is>
      </c>
      <c r="M1678" s="5">
        <f t="array" ref="M1678">_xlfn.IFS(J1678="NOTFOUND",I1678,J1678&gt;=I1678,J1678)</f>
        <v/>
      </c>
    </row>
    <row r="1679" ht="18" customHeight="1" s="16">
      <c r="A1679" s="5" t="n">
        <v>1678</v>
      </c>
      <c r="B1679" s="8" t="inlineStr">
        <is>
          <t>GU-3930</t>
        </is>
      </c>
      <c r="C1679" s="2" t="n"/>
      <c r="D1679" s="8" t="inlineStr">
        <is>
          <t>オフィディアGG パスケース</t>
        </is>
      </c>
      <c r="E1679" s="8" t="inlineStr">
        <is>
          <t>523159 96IWG 8745</t>
        </is>
      </c>
      <c r="G1679" s="11" t="inlineStr">
        <is>
          <t>SOLD</t>
        </is>
      </c>
      <c r="H1679" s="22" t="inlineStr">
        <is>
          <t>SOLD</t>
        </is>
      </c>
      <c r="I1679" s="18" t="n">
        <v>42900</v>
      </c>
      <c r="J1679" s="23" t="inlineStr">
        <is>
          <t>NOTFOUND</t>
        </is>
      </c>
      <c r="K1679" s="20" t="n">
        <v>0</v>
      </c>
      <c r="L1679" s="4" t="inlineStr">
        <is>
          <t>https://www.gucci.com/jp/ja/pr/women/small-leather-goods-for-women/card-coin-cases-for-women/ophidia-card-case-p-52315996IWG8745</t>
        </is>
      </c>
      <c r="M1679" s="5">
        <f t="array" ref="M1679">_xlfn.IFS(J1679="NOTFOUND",I1679,J1679&gt;=I1679,J1679)</f>
        <v/>
      </c>
    </row>
    <row r="1680" ht="18" customHeight="1" s="16">
      <c r="A1680" s="5" t="n">
        <v>1679</v>
      </c>
      <c r="B1680" s="8" t="inlineStr">
        <is>
          <t>GU-3931</t>
        </is>
      </c>
      <c r="C1680" s="2" t="n"/>
      <c r="D1680" s="8" t="inlineStr">
        <is>
          <t>オフィディアGG ジップアラウンドウォレット 財布</t>
        </is>
      </c>
      <c r="E1680" s="8" t="inlineStr">
        <is>
          <t>523154 96IWG 8745</t>
        </is>
      </c>
      <c r="G1680" s="10" t="inlineStr">
        <is>
          <t>OneSize</t>
        </is>
      </c>
      <c r="H1680" s="17" t="inlineStr">
        <is>
          <t>OneSize</t>
        </is>
      </c>
      <c r="I1680" s="18" t="n">
        <v>101200</v>
      </c>
      <c r="J1680" s="19" t="n">
        <v>101200</v>
      </c>
      <c r="K1680" s="20" t="n">
        <v>5</v>
      </c>
      <c r="L1680" s="4" t="inlineStr">
        <is>
          <t>https://www.gucci.com/jp/ja/pr/women/small-leather-goods-for-women/zip-around-wallets-for-women/ophidia-zip-around-wallet-p-52315496IWG8745</t>
        </is>
      </c>
      <c r="M1680" s="5">
        <f t="array" ref="M1680">_xlfn.IFS(J1680="NOTFOUND",I1680,J1680&gt;=I1680,J1680)</f>
        <v/>
      </c>
    </row>
    <row r="1681" ht="18" customHeight="1" s="16">
      <c r="A1681" s="5" t="n">
        <v>1680</v>
      </c>
      <c r="B1681" s="8" t="inlineStr">
        <is>
          <t>GU-3932</t>
        </is>
      </c>
      <c r="C1681" s="2" t="n"/>
      <c r="D1681" s="8" t="inlineStr">
        <is>
          <t>オフィディアGG コンチネンタルウォレット 財布</t>
        </is>
      </c>
      <c r="E1681" s="8" t="inlineStr">
        <is>
          <t>523153 96IWG 8745</t>
        </is>
      </c>
      <c r="G1681" s="10" t="inlineStr">
        <is>
          <t>OneSize</t>
        </is>
      </c>
      <c r="H1681" s="17" t="inlineStr">
        <is>
          <t>OneSize</t>
        </is>
      </c>
      <c r="I1681" s="18" t="n">
        <v>106700</v>
      </c>
      <c r="J1681" s="19" t="n">
        <v>106700</v>
      </c>
      <c r="K1681" s="20" t="n">
        <v>5</v>
      </c>
      <c r="L1681" s="4" t="inlineStr">
        <is>
          <t>https://www.gucci.com/jp/ja/pr/women/small-leather-goods-for-women/continental-wallets-for-women/ophidia-continental-wallet-p-52315396IWG8745</t>
        </is>
      </c>
      <c r="M1681" s="5">
        <f t="array" ref="M1681">_xlfn.IFS(J1681="NOTFOUND",I1681,J1681&gt;=I1681,J1681)</f>
        <v/>
      </c>
    </row>
    <row r="1682" ht="18" customHeight="1" s="16">
      <c r="A1682" s="5" t="n">
        <v>1681</v>
      </c>
      <c r="B1682" s="8" t="inlineStr">
        <is>
          <t>GU-3933</t>
        </is>
      </c>
      <c r="C1682" s="2" t="n"/>
      <c r="D1682" s="8" t="inlineStr">
        <is>
          <t>オフィディアバニティバッグ</t>
        </is>
      </c>
      <c r="E1682" s="8" t="inlineStr">
        <is>
          <t>816357 2ZGMN 9643</t>
        </is>
      </c>
      <c r="G1682" s="10" t="inlineStr">
        <is>
          <t>OneSize</t>
        </is>
      </c>
      <c r="H1682" s="17" t="inlineStr">
        <is>
          <t>OneSize</t>
        </is>
      </c>
      <c r="I1682" s="18" t="n">
        <v>209000</v>
      </c>
      <c r="J1682" s="19" t="n">
        <v>209000</v>
      </c>
      <c r="K1682" s="20" t="n">
        <v>5</v>
      </c>
      <c r="L1682" s="4" t="inlineStr">
        <is>
          <t>https://www.gucci.com/jp/ja/pr/women/handbags/mini-bags-for-women/ophdia-small-vanity-bag-p-8163572ZGMN9643</t>
        </is>
      </c>
      <c r="M1682" s="5">
        <f t="array" ref="M1682">_xlfn.IFS(J1682="NOTFOUND",I1682,J1682&gt;=I1682,J1682)</f>
        <v/>
      </c>
    </row>
    <row r="1683" ht="18" customHeight="1" s="16">
      <c r="A1683" s="5" t="n">
        <v>1682</v>
      </c>
      <c r="B1683" s="8" t="inlineStr">
        <is>
          <t>GU-3934</t>
        </is>
      </c>
      <c r="C1683" s="2" t="n"/>
      <c r="D1683" s="8" t="inlineStr">
        <is>
          <t>オフィディアミディアム ウォレット財布</t>
        </is>
      </c>
      <c r="E1683" s="8" t="inlineStr">
        <is>
          <t>813296 2ZGMN 9643</t>
        </is>
      </c>
      <c r="G1683" s="10" t="inlineStr">
        <is>
          <t>OneSize</t>
        </is>
      </c>
      <c r="H1683" s="17" t="inlineStr">
        <is>
          <t>OneSize</t>
        </is>
      </c>
      <c r="I1683" s="18" t="n">
        <v>91300</v>
      </c>
      <c r="J1683" s="19" t="n">
        <v>91300</v>
      </c>
      <c r="K1683" s="20" t="n">
        <v>5</v>
      </c>
      <c r="L1683" s="4" t="inlineStr">
        <is>
          <t>https://www.gucci.com/jp/ja/pr/women/small-leather-goods-for-women/folded-wallets-for-women/ophidia-medium-wallet-p-8132962ZGMN9643</t>
        </is>
      </c>
      <c r="M1683" s="5">
        <f t="array" ref="M1683">_xlfn.IFS(J1683="NOTFOUND",I1683,J1683&gt;=I1683,J1683)</f>
        <v/>
      </c>
    </row>
    <row r="1684" ht="18" customHeight="1" s="16">
      <c r="A1684" s="5" t="n">
        <v>1683</v>
      </c>
      <c r="B1684" s="8" t="inlineStr">
        <is>
          <t>GU-3935</t>
        </is>
      </c>
      <c r="C1684" s="2" t="n"/>
      <c r="D1684" s="8" t="inlineStr">
        <is>
          <t>オフィディア GG カードケース ウォレット 財布</t>
        </is>
      </c>
      <c r="E1684" s="8" t="inlineStr">
        <is>
          <t>523155 UULAG 9682</t>
        </is>
      </c>
      <c r="G1684" s="10" t="inlineStr">
        <is>
          <t>OneSize</t>
        </is>
      </c>
      <c r="H1684" s="17" t="inlineStr">
        <is>
          <t>OneSize</t>
        </is>
      </c>
      <c r="I1684" s="18" t="n">
        <v>68200</v>
      </c>
      <c r="J1684" s="19" t="n">
        <v>68200</v>
      </c>
      <c r="K1684" s="20" t="n">
        <v>5</v>
      </c>
      <c r="L1684" s="4" t="inlineStr">
        <is>
          <t>https://www.gucci.com/jp/ja/pr/women/small-leather-goods-for-women/folded-wallets-for-women/ophidia-card-case-wallet-p-523155UULAG9682</t>
        </is>
      </c>
      <c r="M1684" s="5">
        <f t="array" ref="M1684">_xlfn.IFS(J1684="NOTFOUND",I1684,J1684&gt;=I1684,J1684)</f>
        <v/>
      </c>
    </row>
    <row r="1685" ht="18" customHeight="1" s="16">
      <c r="A1685" s="5" t="n">
        <v>1684</v>
      </c>
      <c r="B1685" s="8" t="inlineStr">
        <is>
          <t>GU-3936</t>
        </is>
      </c>
      <c r="C1685" s="2" t="n"/>
      <c r="D1685" s="8" t="inlineStr">
        <is>
          <t>オフィディアIPHONE 15 PRO ケース</t>
        </is>
      </c>
      <c r="E1685" s="8" t="inlineStr">
        <is>
          <t>763801 K5I0G 9742</t>
        </is>
      </c>
      <c r="G1685" s="11" t="inlineStr">
        <is>
          <t>SOLD</t>
        </is>
      </c>
      <c r="H1685" s="22" t="inlineStr">
        <is>
          <t>SOLD</t>
        </is>
      </c>
      <c r="I1685" s="18" t="n">
        <v>46200</v>
      </c>
      <c r="J1685" s="19" t="n">
        <v>46200</v>
      </c>
      <c r="K1685" s="20" t="n">
        <v>0</v>
      </c>
      <c r="L1685" s="4" t="inlineStr">
        <is>
          <t>https://www.gucci.com/jp/ja/pr/men/small-leather-goods-for-men/tech-accessories-for-men/ophidia-case-for-iphone-15-pro-p-763801K5I0G9742</t>
        </is>
      </c>
      <c r="M1685" s="5">
        <f t="array" ref="M1685">_xlfn.IFS(J1685="NOTFOUND",I1685,J1685&gt;=I1685,J1685)</f>
        <v/>
      </c>
    </row>
    <row r="1686" ht="18" customHeight="1" s="16">
      <c r="A1686" s="5" t="n">
        <v>1685</v>
      </c>
      <c r="B1686" s="8" t="inlineStr">
        <is>
          <t>GU-3937</t>
        </is>
      </c>
      <c r="C1686" s="2" t="n"/>
      <c r="D1686" s="8" t="inlineStr">
        <is>
          <t>オフィディアIPHONE 15 ケース</t>
        </is>
      </c>
      <c r="E1686" s="8" t="inlineStr">
        <is>
          <t>763787 K5I0G 9742</t>
        </is>
      </c>
      <c r="G1686" s="11" t="inlineStr">
        <is>
          <t>SOLD</t>
        </is>
      </c>
      <c r="H1686" s="22" t="inlineStr">
        <is>
          <t>SOLD</t>
        </is>
      </c>
      <c r="I1686" s="18" t="n">
        <v>46200</v>
      </c>
      <c r="J1686" s="23" t="inlineStr">
        <is>
          <t>NOTFOUND</t>
        </is>
      </c>
      <c r="K1686" s="20" t="n">
        <v>0</v>
      </c>
      <c r="L1686" s="4" t="inlineStr">
        <is>
          <t>https://www.gucci.com/jp/ja/pr/men/small-leather-goods-for-men/tech-accessories-for-men/ophidia-case-for-iphone-15-p-763787K5I0G9742</t>
        </is>
      </c>
      <c r="M1686" s="5">
        <f t="array" ref="M1686">_xlfn.IFS(J1686="NOTFOUND",I1686,J1686&gt;=I1686,J1686)</f>
        <v/>
      </c>
    </row>
    <row r="1687" ht="18" customHeight="1" s="16">
      <c r="A1687" s="5" t="n">
        <v>1686</v>
      </c>
      <c r="B1687" s="8" t="inlineStr">
        <is>
          <t>GU-3938</t>
        </is>
      </c>
      <c r="C1687" s="2" t="n"/>
      <c r="D1687" s="8" t="inlineStr">
        <is>
          <t>ソフトビットコンチネンタルウォレット 財布</t>
        </is>
      </c>
      <c r="E1687" s="8" t="inlineStr">
        <is>
          <t>828147 AAEAO 1000</t>
        </is>
      </c>
      <c r="G1687" s="10" t="inlineStr">
        <is>
          <t>OneSize</t>
        </is>
      </c>
      <c r="H1687" s="17" t="inlineStr">
        <is>
          <t>OneSize</t>
        </is>
      </c>
      <c r="I1687" s="18" t="n">
        <v>176000</v>
      </c>
      <c r="J1687" s="19" t="n">
        <v>176000</v>
      </c>
      <c r="K1687" s="20" t="n">
        <v>5</v>
      </c>
      <c r="L1687" s="4" t="inlineStr">
        <is>
          <t>https://www.gucci.com/jp/ja/pr/women/small-leather-goods-for-women/continental-wallets-for-women/gucci-softbit-continental-wallet-p-828147AAEAO1000</t>
        </is>
      </c>
      <c r="M1687" s="5">
        <f t="array" ref="M1687">_xlfn.IFS(J1687="NOTFOUND",I1687,J1687&gt;=I1687,J1687)</f>
        <v/>
      </c>
    </row>
    <row r="1688" ht="18" customHeight="1" s="16">
      <c r="A1688" s="5" t="n">
        <v>1687</v>
      </c>
      <c r="B1688" s="8" t="inlineStr">
        <is>
          <t>GU-3939</t>
        </is>
      </c>
      <c r="C1688" s="2" t="n"/>
      <c r="D1688" s="8" t="inlineStr">
        <is>
          <t>ダブルG スナップボタン カードケース</t>
        </is>
      </c>
      <c r="E1688" s="8" t="inlineStr">
        <is>
          <t>813300 CAO0G 1000</t>
        </is>
      </c>
      <c r="G1688" s="11" t="inlineStr">
        <is>
          <t>SOLD</t>
        </is>
      </c>
      <c r="H1688" s="22" t="inlineStr">
        <is>
          <t>SOLD</t>
        </is>
      </c>
      <c r="I1688" s="18" t="n">
        <v>89100</v>
      </c>
      <c r="J1688" s="23" t="inlineStr">
        <is>
          <t>NOTFOUND</t>
        </is>
      </c>
      <c r="K1688" s="20" t="n">
        <v>0</v>
      </c>
      <c r="L1688" s="4" t="inlineStr">
        <is>
          <t>https://www.gucci.com/jp/ja/pr/women/small-leather-goods-for-women/card-coin-cases-for-women/gg-marmont-snap-button-card-case-p-813300CAO0G1000</t>
        </is>
      </c>
      <c r="M1688" s="5">
        <f t="array" ref="M1688">_xlfn.IFS(J1688="NOTFOUND",I1688,J1688&gt;=I1688,J1688)</f>
        <v/>
      </c>
    </row>
    <row r="1689" ht="18" customHeight="1" s="16">
      <c r="A1689" s="5" t="n">
        <v>1688</v>
      </c>
      <c r="B1689" s="8" t="inlineStr">
        <is>
          <t>GU-3940</t>
        </is>
      </c>
      <c r="C1689" s="2" t="n"/>
      <c r="D1689" s="8" t="inlineStr">
        <is>
          <t>ダブルG ウォレット 財布</t>
        </is>
      </c>
      <c r="E1689" s="8" t="inlineStr">
        <is>
          <t>790063 CAO0G 1000</t>
        </is>
      </c>
      <c r="G1689" s="10" t="inlineStr">
        <is>
          <t>OneSize</t>
        </is>
      </c>
      <c r="H1689" s="17" t="inlineStr">
        <is>
          <t>OneSize</t>
        </is>
      </c>
      <c r="I1689" s="18" t="n">
        <v>89100</v>
      </c>
      <c r="J1689" s="19" t="n">
        <v>89100</v>
      </c>
      <c r="K1689" s="20" t="n">
        <v>5</v>
      </c>
      <c r="L1689" s="4" t="inlineStr">
        <is>
          <t>https://www.gucci.com/jp/ja/pr/women/small-leather-goods-for-women/folded-wallets-for-women/gg-marmont-wallet-p-790063CAO0G1000</t>
        </is>
      </c>
      <c r="M1689" s="5">
        <f t="array" ref="M1689">_xlfn.IFS(J1689="NOTFOUND",I1689,J1689&gt;=I1689,J1689)</f>
        <v/>
      </c>
    </row>
    <row r="1690" ht="18" customHeight="1" s="16">
      <c r="A1690" s="5" t="n">
        <v>1689</v>
      </c>
      <c r="B1690" s="8" t="inlineStr">
        <is>
          <t>GU-3941</t>
        </is>
      </c>
      <c r="C1690" s="2" t="n"/>
      <c r="D1690" s="8" t="inlineStr">
        <is>
          <t>ダブルG カードケース</t>
        </is>
      </c>
      <c r="E1690" s="8" t="inlineStr">
        <is>
          <t>739525 AAC1P 1061</t>
        </is>
      </c>
      <c r="G1690" s="10" t="inlineStr">
        <is>
          <t>OneSize</t>
        </is>
      </c>
      <c r="H1690" s="17" t="inlineStr">
        <is>
          <t>OneSize</t>
        </is>
      </c>
      <c r="I1690" s="18" t="n">
        <v>46750</v>
      </c>
      <c r="J1690" s="19" t="n">
        <v>46750</v>
      </c>
      <c r="K1690" s="20" t="n">
        <v>5</v>
      </c>
      <c r="L1690" s="4" t="inlineStr">
        <is>
          <t>https://www.gucci.com/jp/ja/pr/women/small-leather-goods-for-women/card-coin-cases-for-women/gg-marmont-card-case-p-739525AAC1P1061</t>
        </is>
      </c>
      <c r="M1690" s="5">
        <f t="array" ref="M1690">_xlfn.IFS(J1690="NOTFOUND",I1690,J1690&gt;=I1690,J1690)</f>
        <v/>
      </c>
    </row>
    <row r="1691" ht="18" customHeight="1" s="16">
      <c r="A1691" s="5" t="n">
        <v>1690</v>
      </c>
      <c r="B1691" s="8" t="inlineStr">
        <is>
          <t>GU-3942</t>
        </is>
      </c>
      <c r="C1691" s="2" t="n"/>
      <c r="D1691" s="8" t="inlineStr">
        <is>
          <t>ダブルG ミディアム ウォレット 財布</t>
        </is>
      </c>
      <c r="E1691" s="8" t="inlineStr">
        <is>
          <t>598587 AAC1P 1061</t>
        </is>
      </c>
      <c r="G1691" s="10" t="inlineStr">
        <is>
          <t>OneSize</t>
        </is>
      </c>
      <c r="H1691" s="17" t="inlineStr">
        <is>
          <t>OneSize</t>
        </is>
      </c>
      <c r="I1691" s="18" t="n">
        <v>82500</v>
      </c>
      <c r="J1691" s="19" t="n">
        <v>82500</v>
      </c>
      <c r="K1691" s="20" t="n">
        <v>5</v>
      </c>
      <c r="L1691" s="4" t="inlineStr">
        <is>
          <t>https://www.gucci.com/jp/ja/pr/women/small-leather-goods-for-women/folded-wallets-for-women/gg-marmont-medium-wallet-p-598587AAC1P1061</t>
        </is>
      </c>
      <c r="M1691" s="5">
        <f t="array" ref="M1691">_xlfn.IFS(J1691="NOTFOUND",I1691,J1691&gt;=I1691,J1691)</f>
        <v/>
      </c>
    </row>
    <row r="1692" ht="18" customHeight="1" s="16">
      <c r="A1692" s="5" t="n">
        <v>1691</v>
      </c>
      <c r="B1692" s="8" t="inlineStr">
        <is>
          <t>GU-3943</t>
        </is>
      </c>
      <c r="C1692" s="2" t="n"/>
      <c r="D1692" s="8" t="inlineStr">
        <is>
          <t>ダブルG バイカラー ミディアム ウォレット 財布</t>
        </is>
      </c>
      <c r="E1692" s="8" t="inlineStr">
        <is>
          <t>598587 17WAG 1283</t>
        </is>
      </c>
      <c r="G1692" s="10" t="inlineStr">
        <is>
          <t>OneSize</t>
        </is>
      </c>
      <c r="H1692" s="17" t="inlineStr">
        <is>
          <t>OneSize</t>
        </is>
      </c>
      <c r="I1692" s="18" t="n">
        <v>82500</v>
      </c>
      <c r="J1692" s="19" t="n">
        <v>82500</v>
      </c>
      <c r="K1692" s="20" t="n">
        <v>5</v>
      </c>
      <c r="L1692" s="4" t="inlineStr">
        <is>
          <t>https://www.gucci.com/jp/ja/pr/women/small-leather-goods-for-women/folded-wallets-for-women/gg-marmont-bi-color-medium-wallet-p-59858717WAG1283</t>
        </is>
      </c>
      <c r="M1692" s="5">
        <f t="array" ref="M1692">_xlfn.IFS(J1692="NOTFOUND",I1692,J1692&gt;=I1692,J1692)</f>
        <v/>
      </c>
    </row>
    <row r="1693" ht="18" customHeight="1" s="16">
      <c r="A1693" s="5" t="n">
        <v>1692</v>
      </c>
      <c r="B1693" s="8" t="inlineStr">
        <is>
          <t>GU-3944</t>
        </is>
      </c>
      <c r="C1693" s="2" t="n"/>
      <c r="D1693" s="8" t="inlineStr">
        <is>
          <t>ダブルG キーケース</t>
        </is>
      </c>
      <c r="E1693" s="8" t="inlineStr">
        <is>
          <t>456118 CAO0G 1000</t>
        </is>
      </c>
      <c r="G1693" s="10" t="inlineStr">
        <is>
          <t>OneSize</t>
        </is>
      </c>
      <c r="H1693" s="17" t="inlineStr">
        <is>
          <t>OneSize</t>
        </is>
      </c>
      <c r="I1693" s="18" t="n">
        <v>38500</v>
      </c>
      <c r="J1693" s="19" t="n">
        <v>38500</v>
      </c>
      <c r="K1693" s="20" t="n">
        <v>5</v>
      </c>
      <c r="L1693" s="4" t="inlineStr">
        <is>
          <t>https://www.gucci.com/jp/ja/pr/women/small-leather-goods-for-women/gucci-reccomendation/gg-marmont-key-case-p-456118CAO0G1000</t>
        </is>
      </c>
      <c r="M1693" s="5">
        <f t="array" ref="M1693">_xlfn.IFS(J1693="NOTFOUND",I1693,J1693&gt;=I1693,J1693)</f>
        <v/>
      </c>
    </row>
    <row r="1694" ht="18" customHeight="1" s="16">
      <c r="A1694" s="5" t="n">
        <v>1693</v>
      </c>
      <c r="B1694" s="8" t="inlineStr">
        <is>
          <t>GU-3945</t>
        </is>
      </c>
      <c r="C1694" s="2" t="n"/>
      <c r="D1694" s="8" t="inlineStr">
        <is>
          <t>ダブルG バイカラー キーケース</t>
        </is>
      </c>
      <c r="E1694" s="8" t="inlineStr">
        <is>
          <t>456118 17WAG 1283</t>
        </is>
      </c>
      <c r="G1694" s="10" t="inlineStr">
        <is>
          <t>OneSize</t>
        </is>
      </c>
      <c r="H1694" s="17" t="inlineStr">
        <is>
          <t>OneSize</t>
        </is>
      </c>
      <c r="I1694" s="18" t="n">
        <v>38500</v>
      </c>
      <c r="J1694" s="19" t="n">
        <v>38500</v>
      </c>
      <c r="K1694" s="20" t="n">
        <v>5</v>
      </c>
      <c r="L1694" s="4" t="inlineStr">
        <is>
          <t>https://www.gucci.com/jp/ja/pr/women/small-leather-goods-for-women/gucci-reccomendation/gg-marmont-bi-color-key-case-p-45611817WAG1283</t>
        </is>
      </c>
      <c r="M1694" s="5">
        <f t="array" ref="M1694">_xlfn.IFS(J1694="NOTFOUND",I1694,J1694&gt;=I1694,J1694)</f>
        <v/>
      </c>
    </row>
    <row r="1695" ht="18" customHeight="1" s="16">
      <c r="A1695" s="5" t="n">
        <v>1694</v>
      </c>
      <c r="B1695" s="8" t="inlineStr">
        <is>
          <t>GU-3946</t>
        </is>
      </c>
      <c r="C1695" s="2" t="n"/>
      <c r="D1695" s="8" t="inlineStr">
        <is>
          <t>ダブルG ジップアラウンドウォレット 財布</t>
        </is>
      </c>
      <c r="E1695" s="8" t="inlineStr">
        <is>
          <t>456117 AAC1P 1061</t>
        </is>
      </c>
      <c r="G1695" s="10" t="inlineStr">
        <is>
          <t>OneSize</t>
        </is>
      </c>
      <c r="H1695" s="17" t="inlineStr">
        <is>
          <t>OneSize</t>
        </is>
      </c>
      <c r="I1695" s="18" t="n">
        <v>93500</v>
      </c>
      <c r="J1695" s="19" t="n">
        <v>93500</v>
      </c>
      <c r="K1695" s="20" t="n">
        <v>5</v>
      </c>
      <c r="L1695" s="4" t="inlineStr">
        <is>
          <t>https://www.gucci.com/jp/ja/pr/women/small-leather-goods-for-women/zip-around-wallets-for-women/gg-marmont-zip-around-wallet-p-456117AAC1P1061</t>
        </is>
      </c>
      <c r="M1695" s="5">
        <f t="array" ref="M1695">_xlfn.IFS(J1695="NOTFOUND",I1695,J1695&gt;=I1695,J1695)</f>
        <v/>
      </c>
    </row>
    <row r="1696" ht="18" customHeight="1" s="16">
      <c r="A1696" s="5" t="n">
        <v>1695</v>
      </c>
      <c r="B1696" s="8" t="inlineStr">
        <is>
          <t>GU-3947</t>
        </is>
      </c>
      <c r="C1696" s="2" t="n"/>
      <c r="D1696" s="8" t="inlineStr">
        <is>
          <t>ダブルG コンチネンタルウォレット 財布</t>
        </is>
      </c>
      <c r="E1696" s="8" t="inlineStr">
        <is>
          <t>456116 CAO0G 1000</t>
        </is>
      </c>
      <c r="G1696" s="10" t="inlineStr">
        <is>
          <t>OneSize</t>
        </is>
      </c>
      <c r="H1696" s="17" t="inlineStr">
        <is>
          <t>OneSize</t>
        </is>
      </c>
      <c r="I1696" s="18" t="n">
        <v>97900</v>
      </c>
      <c r="J1696" s="19" t="n">
        <v>97900</v>
      </c>
      <c r="K1696" s="20" t="n">
        <v>5</v>
      </c>
      <c r="L1696" s="4" t="inlineStr">
        <is>
          <t>https://www.gucci.com/jp/ja/pr/women/small-leather-goods-for-women/continental-wallets-for-women/gg-marmont-continental-wallet-p-456116CAO0G1000</t>
        </is>
      </c>
      <c r="M1696" s="5">
        <f t="array" ref="M1696">_xlfn.IFS(J1696="NOTFOUND",I1696,J1696&gt;=I1696,J1696)</f>
        <v/>
      </c>
    </row>
    <row r="1697" ht="18" customHeight="1" s="16">
      <c r="A1697" s="5" t="n">
        <v>1696</v>
      </c>
      <c r="B1697" s="8" t="inlineStr">
        <is>
          <t>GU-3948</t>
        </is>
      </c>
      <c r="C1697" s="2" t="n"/>
      <c r="D1697" s="8" t="inlineStr">
        <is>
          <t>ダブルG ウォレット 財布ピンク インテリア</t>
        </is>
      </c>
      <c r="E1697" s="8" t="inlineStr">
        <is>
          <t>790063 CAO2G 1544</t>
        </is>
      </c>
      <c r="G1697" s="10" t="inlineStr">
        <is>
          <t>OneSize</t>
        </is>
      </c>
      <c r="H1697" s="17" t="inlineStr">
        <is>
          <t>OneSize</t>
        </is>
      </c>
      <c r="I1697" s="18" t="n">
        <v>89100</v>
      </c>
      <c r="J1697" s="19" t="n">
        <v>89100</v>
      </c>
      <c r="K1697" s="20" t="n">
        <v>5</v>
      </c>
      <c r="L1697" s="4" t="inlineStr">
        <is>
          <t>https://www.gucci.com/jp/ja/pr/women/small-leather-goods-for-women/folded-wallets-for-women/gg-marmont-pink-interior-wallet-p-790063CAO2G1544</t>
        </is>
      </c>
      <c r="M1697" s="5">
        <f t="array" ref="M1697">_xlfn.IFS(J1697="NOTFOUND",I1697,J1697&gt;=I1697,J1697)</f>
        <v/>
      </c>
    </row>
    <row r="1698" ht="18" customHeight="1" s="16">
      <c r="A1698" s="5" t="n">
        <v>1697</v>
      </c>
      <c r="B1698" s="8" t="inlineStr">
        <is>
          <t>GU-3949</t>
        </is>
      </c>
      <c r="C1698" s="2" t="n"/>
      <c r="D1698" s="8" t="inlineStr">
        <is>
          <t>ダブルG バイカラー カードケース</t>
        </is>
      </c>
      <c r="E1698" s="8" t="inlineStr">
        <is>
          <t>739525 AACFE 9543</t>
        </is>
      </c>
      <c r="G1698" s="10" t="inlineStr">
        <is>
          <t>OneSize</t>
        </is>
      </c>
      <c r="H1698" s="17" t="inlineStr">
        <is>
          <t>OneSize</t>
        </is>
      </c>
      <c r="I1698" s="18" t="n">
        <v>46750</v>
      </c>
      <c r="J1698" s="19" t="n">
        <v>46750</v>
      </c>
      <c r="K1698" s="20" t="n">
        <v>5</v>
      </c>
      <c r="L1698" s="4" t="inlineStr">
        <is>
          <t>https://www.gucci.com/jp/ja/pr/women/small-leather-goods-for-women/card-coin-cases-for-women/gg-marmont-bi-color-card-case-p-739525AACFE9543</t>
        </is>
      </c>
      <c r="M1698" s="5">
        <f t="array" ref="M1698">_xlfn.IFS(J1698="NOTFOUND",I1698,J1698&gt;=I1698,J1698)</f>
        <v/>
      </c>
    </row>
    <row r="1699" ht="18" customHeight="1" s="16">
      <c r="A1699" s="5" t="n">
        <v>1698</v>
      </c>
      <c r="B1699" s="8" t="inlineStr">
        <is>
          <t>GU-3950</t>
        </is>
      </c>
      <c r="C1699" s="2" t="n"/>
      <c r="D1699" s="8" t="inlineStr">
        <is>
          <t>ダブルG カードケース ウォレット 財布</t>
        </is>
      </c>
      <c r="E1699" s="8" t="inlineStr">
        <is>
          <t>658610 AACFE 9543</t>
        </is>
      </c>
      <c r="G1699" s="11" t="inlineStr">
        <is>
          <t>SOLD</t>
        </is>
      </c>
      <c r="H1699" s="22" t="inlineStr">
        <is>
          <t>SOLD</t>
        </is>
      </c>
      <c r="I1699" s="18" t="n">
        <v>63800</v>
      </c>
      <c r="J1699" s="19" t="n">
        <v>63800</v>
      </c>
      <c r="K1699" s="20" t="n">
        <v>0</v>
      </c>
      <c r="L1699" s="4" t="inlineStr">
        <is>
          <t>https://www.gucci.com/jp/ja/pr/women/small-leather-goods-for-women/folded-wallets-for-women/gg-marmont-bi-color-card-case-wallet-p-658610AACFE9543</t>
        </is>
      </c>
      <c r="M1699" s="5">
        <f t="array" ref="M1699">_xlfn.IFS(J1699="NOTFOUND",I1699,J1699&gt;=I1699,J1699)</f>
        <v/>
      </c>
    </row>
    <row r="1700" ht="18" customHeight="1" s="16">
      <c r="A1700" s="5" t="n">
        <v>1699</v>
      </c>
      <c r="B1700" s="8" t="inlineStr">
        <is>
          <t>GU-3951</t>
        </is>
      </c>
      <c r="C1700" s="2" t="n"/>
      <c r="D1700" s="8" t="inlineStr">
        <is>
          <t>ダブルG ウォレット 財布ピンク インテリア</t>
        </is>
      </c>
      <c r="E1700" s="8" t="inlineStr">
        <is>
          <t>598587 CAO2G 1544</t>
        </is>
      </c>
      <c r="G1700" s="10" t="inlineStr">
        <is>
          <t>OneSize</t>
        </is>
      </c>
      <c r="H1700" s="17" t="inlineStr">
        <is>
          <t>OneSize</t>
        </is>
      </c>
      <c r="I1700" s="18" t="n">
        <v>82500</v>
      </c>
      <c r="J1700" s="19" t="n">
        <v>82500</v>
      </c>
      <c r="K1700" s="20" t="n">
        <v>5</v>
      </c>
      <c r="L1700" s="4" t="inlineStr">
        <is>
          <t>https://www.gucci.com/jp/ja/pr/women/small-leather-goods-for-women/folded-wallets-for-women/gg-marmont-pink-interior-wallet-p-598587CAO2G1544</t>
        </is>
      </c>
      <c r="M1700" s="5">
        <f t="array" ref="M1700">_xlfn.IFS(J1700="NOTFOUND",I1700,J1700&gt;=I1700,J1700)</f>
        <v/>
      </c>
    </row>
    <row r="1701" ht="18" customHeight="1" s="16">
      <c r="A1701" s="5" t="n">
        <v>1700</v>
      </c>
      <c r="B1701" s="8" t="inlineStr">
        <is>
          <t>GU-3952</t>
        </is>
      </c>
      <c r="C1701" s="2" t="n"/>
      <c r="D1701" s="8" t="inlineStr">
        <is>
          <t>ダブルG ミディアム ウォレット財布</t>
        </is>
      </c>
      <c r="E1701" s="8" t="inlineStr">
        <is>
          <t>598587 CAO2G 9561</t>
        </is>
      </c>
      <c r="G1701" s="11" t="inlineStr">
        <is>
          <t>SOLD</t>
        </is>
      </c>
      <c r="H1701" s="22" t="inlineStr">
        <is>
          <t>SOLD</t>
        </is>
      </c>
      <c r="I1701" s="18" t="n">
        <v>82500</v>
      </c>
      <c r="J1701" s="23" t="inlineStr">
        <is>
          <t>NOTFOUND</t>
        </is>
      </c>
      <c r="K1701" s="20" t="n">
        <v>0</v>
      </c>
      <c r="L1701" s="4" t="inlineStr">
        <is>
          <t>https://www.gucci.com/jp/ja/pr/women/small-leather-goods-for-women/folded-wallets-for-women/gg-marmont-medium-wallet-p-598587CAO2G9561</t>
        </is>
      </c>
      <c r="M1701" s="5">
        <f t="array" ref="M1701">_xlfn.IFS(J1701="NOTFOUND",I1701,J1701&gt;=I1701,J1701)</f>
        <v/>
      </c>
    </row>
    <row r="1702" ht="18" customHeight="1" s="16">
      <c r="A1702" s="5" t="n">
        <v>1701</v>
      </c>
      <c r="B1702" s="8" t="inlineStr">
        <is>
          <t>GU-3953</t>
        </is>
      </c>
      <c r="C1702" s="2" t="n"/>
      <c r="D1702" s="8" t="inlineStr">
        <is>
          <t xml:space="preserve">ダブルG カードケース </t>
        </is>
      </c>
      <c r="E1702" s="8" t="inlineStr">
        <is>
          <t>739525 CAO2G 1544</t>
        </is>
      </c>
      <c r="G1702" s="10" t="inlineStr">
        <is>
          <t>OneSize</t>
        </is>
      </c>
      <c r="H1702" s="17" t="inlineStr">
        <is>
          <t>OneSize</t>
        </is>
      </c>
      <c r="I1702" s="18" t="n">
        <v>46750</v>
      </c>
      <c r="J1702" s="19" t="n">
        <v>46750</v>
      </c>
      <c r="K1702" s="20" t="n">
        <v>5</v>
      </c>
      <c r="L1702" s="4" t="inlineStr">
        <is>
          <t>https://www.gucci.com/jp/ja/pr/women/small-leather-goods-for-women/card-coin-cases-for-women/gg-marmont-pink-interior-card-case-p-739525CAO2G1544</t>
        </is>
      </c>
      <c r="M1702" s="5">
        <f t="array" ref="M1702">_xlfn.IFS(J1702="NOTFOUND",I1702,J1702&gt;=I1702,J1702)</f>
        <v/>
      </c>
    </row>
    <row r="1703" ht="18" customHeight="1" s="16">
      <c r="A1703" s="5" t="n">
        <v>1702</v>
      </c>
      <c r="B1703" s="8" t="inlineStr">
        <is>
          <t>GU-3954</t>
        </is>
      </c>
      <c r="C1703" s="2" t="n"/>
      <c r="D1703" s="8" t="inlineStr">
        <is>
          <t>ダブルG バイカラー キーケース</t>
        </is>
      </c>
      <c r="E1703" s="8" t="inlineStr">
        <is>
          <t>456118 17WAG 5788</t>
        </is>
      </c>
      <c r="G1703" s="10" t="inlineStr">
        <is>
          <t>OneSize</t>
        </is>
      </c>
      <c r="H1703" s="17" t="inlineStr">
        <is>
          <t>OneSize</t>
        </is>
      </c>
      <c r="I1703" s="18" t="n">
        <v>38500</v>
      </c>
      <c r="J1703" s="19" t="n">
        <v>38500</v>
      </c>
      <c r="K1703" s="20" t="n">
        <v>5</v>
      </c>
      <c r="L1703" s="4" t="inlineStr">
        <is>
          <t>https://www.gucci.com/jp/ja/pr/women/small-leather-goods-for-women/gucci-reccomendation/gg-marmont-bi-color-key-case-p-45611817WAG5788</t>
        </is>
      </c>
      <c r="M1703" s="5">
        <f t="array" ref="M1703">_xlfn.IFS(J1703="NOTFOUND",I1703,J1703&gt;=I1703,J1703)</f>
        <v/>
      </c>
    </row>
    <row r="1704" ht="18" customHeight="1" s="16">
      <c r="A1704" s="5" t="n">
        <v>1703</v>
      </c>
      <c r="B1704" s="8" t="inlineStr">
        <is>
          <t>GU-3955</t>
        </is>
      </c>
      <c r="C1704" s="2" t="n"/>
      <c r="D1704" s="8" t="inlineStr">
        <is>
          <t>ダブルG ジップアラウンドウォレット 財布ピンク インテリア</t>
        </is>
      </c>
      <c r="E1704" s="8" t="inlineStr">
        <is>
          <t>456117 CAO2G 1544</t>
        </is>
      </c>
      <c r="G1704" s="10" t="inlineStr">
        <is>
          <t>OneSize</t>
        </is>
      </c>
      <c r="H1704" s="17" t="inlineStr">
        <is>
          <t>OneSize</t>
        </is>
      </c>
      <c r="I1704" s="18" t="n">
        <v>93500</v>
      </c>
      <c r="J1704" s="19" t="n">
        <v>93500</v>
      </c>
      <c r="K1704" s="20" t="n">
        <v>5</v>
      </c>
      <c r="L1704" s="4" t="inlineStr">
        <is>
          <t>https://www.gucci.com/jp/ja/pr/women/small-leather-goods-for-women/zip-around-wallets-for-women/gg-marmont-pink-interior-zip-around-wallet-p-456117CAO2G1544</t>
        </is>
      </c>
      <c r="M1704" s="5">
        <f t="array" ref="M1704">_xlfn.IFS(J1704="NOTFOUND",I1704,J1704&gt;=I1704,J1704)</f>
        <v/>
      </c>
    </row>
    <row r="1705" ht="18" customHeight="1" s="16">
      <c r="A1705" s="5" t="n">
        <v>1704</v>
      </c>
      <c r="B1705" s="8" t="inlineStr">
        <is>
          <t>GU-3956</t>
        </is>
      </c>
      <c r="C1705" s="2" t="n"/>
      <c r="D1705" s="8" t="inlineStr">
        <is>
          <t>ダブルG バイカラー コンチネンタルウォレット 財布</t>
        </is>
      </c>
      <c r="E1705" s="8" t="inlineStr">
        <is>
          <t>456116 17WAG 5788</t>
        </is>
      </c>
      <c r="G1705" s="10" t="inlineStr">
        <is>
          <t>OneSize</t>
        </is>
      </c>
      <c r="H1705" s="17" t="inlineStr">
        <is>
          <t>OneSize</t>
        </is>
      </c>
      <c r="I1705" s="18" t="n">
        <v>97900</v>
      </c>
      <c r="J1705" s="19" t="n">
        <v>97900</v>
      </c>
      <c r="K1705" s="20" t="n">
        <v>5</v>
      </c>
      <c r="L1705" s="4" t="inlineStr">
        <is>
          <t>https://www.gucci.com/jp/ja/pr/women/small-leather-goods-for-women/continental-wallets-for-women/gg-marmont-bi-color-continental-wallet-p-45611617WAG5788</t>
        </is>
      </c>
      <c r="M1705" s="5">
        <f t="array" ref="M1705">_xlfn.IFS(J1705="NOTFOUND",I1705,J1705&gt;=I1705,J1705)</f>
        <v/>
      </c>
    </row>
    <row r="1706" ht="18" customHeight="1" s="16">
      <c r="A1706" s="5" t="n">
        <v>1705</v>
      </c>
      <c r="B1706" s="8" t="inlineStr">
        <is>
          <t>GU-3957</t>
        </is>
      </c>
      <c r="C1706" s="2" t="n"/>
      <c r="D1706" s="8" t="inlineStr">
        <is>
          <t>ダブルG オーストリッチ カードケース ウォレット 財布</t>
        </is>
      </c>
      <c r="E1706" s="8" t="inlineStr">
        <is>
          <t>456126 EAA02 7439</t>
        </is>
      </c>
      <c r="G1706" s="10" t="inlineStr">
        <is>
          <t>OneSize</t>
        </is>
      </c>
      <c r="H1706" s="17" t="inlineStr">
        <is>
          <t>OneSize</t>
        </is>
      </c>
      <c r="I1706" s="18" t="n">
        <v>217800</v>
      </c>
      <c r="J1706" s="19" t="n">
        <v>217800</v>
      </c>
      <c r="K1706" s="20" t="n">
        <v>5</v>
      </c>
      <c r="L1706" s="4" t="inlineStr">
        <is>
          <t>https://www.gucci.com/jp/ja/pr/women/small-leather-goods-for-women/folded-wallets-for-women/gg-marmont-ostrich-card-case-wallet-p-456126EAA027439</t>
        </is>
      </c>
      <c r="M1706" s="5">
        <f t="array" ref="M1706">_xlfn.IFS(J1706="NOTFOUND",I1706,J1706&gt;=I1706,J1706)</f>
        <v/>
      </c>
    </row>
    <row r="1707" ht="18" customHeight="1" s="16">
      <c r="A1707" s="5" t="n">
        <v>1706</v>
      </c>
      <c r="B1707" s="8" t="inlineStr">
        <is>
          <t>GU-3958</t>
        </is>
      </c>
      <c r="C1707" s="2" t="n"/>
      <c r="D1707" s="8" t="inlineStr">
        <is>
          <t>ダブルG オーストリッチ カードケース ウォレット</t>
        </is>
      </c>
      <c r="E1707" s="8" t="inlineStr">
        <is>
          <t>456126 EAA02 3838</t>
        </is>
      </c>
      <c r="G1707" s="10" t="inlineStr">
        <is>
          <t>OneSize</t>
        </is>
      </c>
      <c r="H1707" s="17" t="inlineStr">
        <is>
          <t>OneSize</t>
        </is>
      </c>
      <c r="I1707" s="18" t="n">
        <v>217800</v>
      </c>
      <c r="J1707" s="19" t="n">
        <v>217800</v>
      </c>
      <c r="K1707" s="20" t="n">
        <v>5</v>
      </c>
      <c r="L1707" s="4" t="inlineStr">
        <is>
          <t>https://www.gucci.com/jp/ja/pr/women/small-leather-goods-for-women/folded-wallets-for-women/gg-marmont-ostrich-card-case-wallet-p-456126EAA023838</t>
        </is>
      </c>
      <c r="M1707" s="5">
        <f t="array" ref="M1707">_xlfn.IFS(J1707="NOTFOUND",I1707,J1707&gt;=I1707,J1707)</f>
        <v/>
      </c>
    </row>
    <row r="1708" ht="18" customHeight="1" s="16">
      <c r="A1708" s="5" t="n">
        <v>1707</v>
      </c>
      <c r="B1708" s="8" t="inlineStr">
        <is>
          <t>GU-3959</t>
        </is>
      </c>
      <c r="C1708" s="2" t="n"/>
      <c r="D1708" s="8" t="inlineStr">
        <is>
          <t>ダブルG スナップボタン カードケース</t>
        </is>
      </c>
      <c r="E1708" s="8" t="inlineStr">
        <is>
          <t>813300 CAO2G 4941</t>
        </is>
      </c>
      <c r="G1708" s="11" t="inlineStr">
        <is>
          <t>SOLD</t>
        </is>
      </c>
      <c r="H1708" s="22" t="inlineStr">
        <is>
          <t>SOLD</t>
        </is>
      </c>
      <c r="I1708" s="18" t="n">
        <v>89100</v>
      </c>
      <c r="J1708" s="23" t="inlineStr">
        <is>
          <t>NOTFOUND</t>
        </is>
      </c>
      <c r="K1708" s="20" t="n">
        <v>0</v>
      </c>
      <c r="L1708" s="4" t="inlineStr">
        <is>
          <t>https://www.gucci.com/jp/ja/pr/women/small-leather-goods-for-women/card-coin-cases-for-women/gg-marmont-snap-button-card-case-p-813300CAO2G4941</t>
        </is>
      </c>
      <c r="M1708" s="5">
        <f t="array" ref="M1708">_xlfn.IFS(J1708="NOTFOUND",I1708,J1708&gt;=I1708,J1708)</f>
        <v/>
      </c>
    </row>
    <row r="1709" ht="18" customHeight="1" s="16">
      <c r="A1709" s="5" t="n">
        <v>1708</v>
      </c>
      <c r="B1709" s="8" t="inlineStr">
        <is>
          <t>GU-3960</t>
        </is>
      </c>
      <c r="C1709" s="2" t="n"/>
      <c r="D1709" s="8" t="inlineStr">
        <is>
          <t>ダブルG ウォレット 財布ピンク インテリア</t>
        </is>
      </c>
      <c r="E1709" s="8" t="inlineStr">
        <is>
          <t>790063 CAAAR 5241</t>
        </is>
      </c>
      <c r="G1709" s="10" t="inlineStr">
        <is>
          <t>OneSize</t>
        </is>
      </c>
      <c r="H1709" s="17" t="inlineStr">
        <is>
          <t>OneSize</t>
        </is>
      </c>
      <c r="I1709" s="18" t="n">
        <v>89100</v>
      </c>
      <c r="J1709" s="19" t="n">
        <v>89100</v>
      </c>
      <c r="K1709" s="20" t="n">
        <v>5</v>
      </c>
      <c r="L1709" s="4" t="inlineStr">
        <is>
          <t>https://www.gucci.com/jp/ja/pr/women/small-leather-goods-for-women/folded-wallets-for-women/gg-marmont-pink-interior-wallet-p-790063CAAAR5241</t>
        </is>
      </c>
      <c r="M1709" s="5">
        <f t="array" ref="M1709">_xlfn.IFS(J1709="NOTFOUND",I1709,J1709&gt;=I1709,J1709)</f>
        <v/>
      </c>
    </row>
    <row r="1710" ht="18" customHeight="1" s="16">
      <c r="A1710" s="5" t="n">
        <v>1709</v>
      </c>
      <c r="B1710" s="8" t="inlineStr">
        <is>
          <t>GU-3961</t>
        </is>
      </c>
      <c r="C1710" s="2" t="n"/>
      <c r="D1710" s="8" t="inlineStr">
        <is>
          <t>ダブルG ウォレット財布</t>
        </is>
      </c>
      <c r="E1710" s="8" t="inlineStr">
        <is>
          <t>790063 CAO2G 4941</t>
        </is>
      </c>
      <c r="G1710" s="10" t="inlineStr">
        <is>
          <t>OneSize</t>
        </is>
      </c>
      <c r="H1710" s="17" t="inlineStr">
        <is>
          <t>OneSize</t>
        </is>
      </c>
      <c r="I1710" s="18" t="n">
        <v>89100</v>
      </c>
      <c r="J1710" s="19" t="n">
        <v>89100</v>
      </c>
      <c r="K1710" s="20" t="n">
        <v>5</v>
      </c>
      <c r="L1710" s="4" t="inlineStr">
        <is>
          <t>https://www.gucci.com/jp/ja/pr/women/small-leather-goods-for-women/folded-wallets-for-women/gg-marmont-wallet-p-790063CAO2G4941</t>
        </is>
      </c>
      <c r="M1710" s="5">
        <f t="array" ref="M1710">_xlfn.IFS(J1710="NOTFOUND",I1710,J1710&gt;=I1710,J1710)</f>
        <v/>
      </c>
    </row>
    <row r="1711" ht="18" customHeight="1" s="16">
      <c r="A1711" s="5" t="n">
        <v>1710</v>
      </c>
      <c r="B1711" s="8" t="inlineStr">
        <is>
          <t>GU-3962</t>
        </is>
      </c>
      <c r="C1711" s="2" t="n"/>
      <c r="D1711" s="8" t="inlineStr">
        <is>
          <t>ダブルG カードケース</t>
        </is>
      </c>
      <c r="E1711" s="8" t="inlineStr">
        <is>
          <t>739525 CAAAR 5241</t>
        </is>
      </c>
      <c r="G1711" s="11" t="inlineStr">
        <is>
          <t>SOLD</t>
        </is>
      </c>
      <c r="H1711" s="22" t="inlineStr">
        <is>
          <t>SOLD</t>
        </is>
      </c>
      <c r="I1711" s="18" t="n">
        <v>46750</v>
      </c>
      <c r="J1711" s="19" t="n">
        <v>46750</v>
      </c>
      <c r="K1711" s="20" t="n">
        <v>0</v>
      </c>
      <c r="L1711" s="4" t="inlineStr">
        <is>
          <t>https://www.gucci.com/jp/ja/pr/women/small-leather-goods-for-women/card-coin-cases-for-women/gg-marmont-pink-interior-card-case-p-739525CAAAR5241</t>
        </is>
      </c>
      <c r="M1711" s="5">
        <f t="array" ref="M1711">_xlfn.IFS(J1711="NOTFOUND",I1711,J1711&gt;=I1711,J1711)</f>
        <v/>
      </c>
    </row>
    <row r="1712" ht="18" customHeight="1" s="16">
      <c r="A1712" s="5" t="n">
        <v>1711</v>
      </c>
      <c r="B1712" s="8" t="inlineStr">
        <is>
          <t>GU-3963</t>
        </is>
      </c>
      <c r="C1712" s="2" t="n"/>
      <c r="D1712" s="8" t="inlineStr">
        <is>
          <t>ダブルG バイカラー カードケース ウォレット財布</t>
        </is>
      </c>
      <c r="E1712" s="8" t="inlineStr">
        <is>
          <t>658610 17WAG 4041</t>
        </is>
      </c>
      <c r="G1712" s="10" t="inlineStr">
        <is>
          <t>OneSize</t>
        </is>
      </c>
      <c r="H1712" s="17" t="inlineStr">
        <is>
          <t>OneSize</t>
        </is>
      </c>
      <c r="I1712" s="18" t="n">
        <v>63800</v>
      </c>
      <c r="J1712" s="19" t="n">
        <v>63800</v>
      </c>
      <c r="K1712" s="20" t="n">
        <v>5</v>
      </c>
      <c r="L1712" s="4" t="inlineStr">
        <is>
          <t>https://www.gucci.com/jp/ja/pr/women/small-leather-goods-for-women/folded-wallets-for-women/gg-marmont-bi-color-mini-wallet-p-65861017WAG4041</t>
        </is>
      </c>
      <c r="M1712" s="5">
        <f t="array" ref="M1712">_xlfn.IFS(J1712="NOTFOUND",I1712,J1712&gt;=I1712,J1712)</f>
        <v/>
      </c>
    </row>
    <row r="1713" ht="18" customHeight="1" s="16">
      <c r="A1713" s="5" t="n">
        <v>1712</v>
      </c>
      <c r="B1713" s="8" t="inlineStr">
        <is>
          <t>GU-3964</t>
        </is>
      </c>
      <c r="C1713" s="2" t="n"/>
      <c r="D1713" s="8" t="inlineStr">
        <is>
          <t>ダブルG ウォレット 財布ピンク インテリア</t>
        </is>
      </c>
      <c r="E1713" s="8" t="inlineStr">
        <is>
          <t>598587 CAAAR 5241</t>
        </is>
      </c>
      <c r="G1713" s="10" t="inlineStr">
        <is>
          <t>OneSize</t>
        </is>
      </c>
      <c r="H1713" s="17" t="inlineStr">
        <is>
          <t>OneSize</t>
        </is>
      </c>
      <c r="I1713" s="18" t="n">
        <v>82500</v>
      </c>
      <c r="J1713" s="19" t="n">
        <v>82500</v>
      </c>
      <c r="K1713" s="20" t="n">
        <v>5</v>
      </c>
      <c r="L1713" s="4" t="inlineStr">
        <is>
          <t>https://www.gucci.com/jp/ja/pr/women/small-leather-goods-for-women/folded-wallets-for-women/gg-marmont-pink-interior-wallet-p-598587CAAAR5241</t>
        </is>
      </c>
      <c r="M1713" s="5">
        <f t="array" ref="M1713">_xlfn.IFS(J1713="NOTFOUND",I1713,J1713&gt;=I1713,J1713)</f>
        <v/>
      </c>
    </row>
    <row r="1714" ht="18" customHeight="1" s="16">
      <c r="A1714" s="5" t="n">
        <v>1713</v>
      </c>
      <c r="B1714" s="8" t="inlineStr">
        <is>
          <t>GU-3965</t>
        </is>
      </c>
      <c r="C1714" s="2" t="n"/>
      <c r="D1714" s="8" t="inlineStr">
        <is>
          <t>ダブルG ミディアム ウォレット財布</t>
        </is>
      </c>
      <c r="E1714" s="8" t="inlineStr">
        <is>
          <t>598587 CAO2G 4941</t>
        </is>
      </c>
      <c r="G1714" s="10" t="inlineStr">
        <is>
          <t>OneSize</t>
        </is>
      </c>
      <c r="H1714" s="17" t="inlineStr">
        <is>
          <t>OneSize</t>
        </is>
      </c>
      <c r="I1714" s="18" t="n">
        <v>82500</v>
      </c>
      <c r="J1714" s="19" t="n">
        <v>82500</v>
      </c>
      <c r="K1714" s="20" t="n">
        <v>5</v>
      </c>
      <c r="L1714" s="4" t="inlineStr">
        <is>
          <t>https://www.gucci.com/jp/ja/pr/women/small-leather-goods-for-women/folded-wallets-for-women/gg-marmont-medium-wallet-p-598587CAO2G4941</t>
        </is>
      </c>
      <c r="M1714" s="5">
        <f t="array" ref="M1714">_xlfn.IFS(J1714="NOTFOUND",I1714,J1714&gt;=I1714,J1714)</f>
        <v/>
      </c>
    </row>
    <row r="1715" ht="18" customHeight="1" s="16">
      <c r="A1715" s="5" t="n">
        <v>1714</v>
      </c>
      <c r="B1715" s="8" t="inlineStr">
        <is>
          <t>GU-3966</t>
        </is>
      </c>
      <c r="C1715" s="2" t="n"/>
      <c r="D1715" s="8" t="inlineStr">
        <is>
          <t>スクリプト パイソン ジップアラウンドウォレット財布</t>
        </is>
      </c>
      <c r="E1715" s="8" t="inlineStr">
        <is>
          <t>772642 EAAYH 5909</t>
        </is>
      </c>
      <c r="G1715" s="10" t="inlineStr">
        <is>
          <t>OneSize</t>
        </is>
      </c>
      <c r="H1715" s="17" t="inlineStr">
        <is>
          <t>OneSize</t>
        </is>
      </c>
      <c r="I1715" s="18" t="n">
        <v>215600</v>
      </c>
      <c r="J1715" s="19" t="n">
        <v>215600</v>
      </c>
      <c r="K1715" s="20" t="n">
        <v>5</v>
      </c>
      <c r="L1715" s="4" t="inlineStr">
        <is>
          <t>https://www.gucci.com/jp/ja/pr/women/small-leather-goods-for-women/zip-around-wallets-for-women/zip-around-python-wallet-with-gucci-script-p-772642EAAYH5909</t>
        </is>
      </c>
      <c r="M1715" s="5">
        <f t="array" ref="M1715">_xlfn.IFS(J1715="NOTFOUND",I1715,J1715&gt;=I1715,J1715)</f>
        <v/>
      </c>
    </row>
    <row r="1716" ht="18" customHeight="1" s="16">
      <c r="A1716" s="5" t="n">
        <v>1715</v>
      </c>
      <c r="B1716" s="8" t="inlineStr">
        <is>
          <t>GU-3967</t>
        </is>
      </c>
      <c r="C1716" s="2" t="n"/>
      <c r="D1716" s="8" t="inlineStr">
        <is>
          <t>ドッグ ディテール付き バイカラー GG パスケース</t>
        </is>
      </c>
      <c r="E1716" s="8" t="inlineStr">
        <is>
          <t>818769 FAEC8 8577</t>
        </is>
      </c>
      <c r="G1716" s="11" t="inlineStr">
        <is>
          <t>SOLD</t>
        </is>
      </c>
      <c r="H1716" s="22" t="inlineStr">
        <is>
          <t>SOLD</t>
        </is>
      </c>
      <c r="I1716" s="18" t="n">
        <v>47300</v>
      </c>
      <c r="J1716" s="23" t="inlineStr">
        <is>
          <t>NOTFOUND</t>
        </is>
      </c>
      <c r="K1716" s="20" t="n">
        <v>0</v>
      </c>
      <c r="L1716" s="4" t="inlineStr">
        <is>
          <t>https://www.gucci.com/jp/ja/pr/women/small-leather-goods-for-women/card-coin-cases-for-women/bi-color-gg-card-case-with-dog-detail-p-818769FAEC88577</t>
        </is>
      </c>
      <c r="M1716" s="5">
        <f t="array" ref="M1716">_xlfn.IFS(J1716="NOTFOUND",I1716,J1716&gt;=I1716,J1716)</f>
        <v/>
      </c>
    </row>
    <row r="1717" ht="18" customHeight="1" s="16">
      <c r="A1717" s="5" t="n">
        <v>1716</v>
      </c>
      <c r="B1717" s="8" t="inlineStr">
        <is>
          <t>GU-3968</t>
        </is>
      </c>
      <c r="C1717" s="2" t="n"/>
      <c r="D1717" s="8" t="inlineStr">
        <is>
          <t>パンダ ディテール付き バイカラー GG パスケース</t>
        </is>
      </c>
      <c r="E1717" s="8" t="inlineStr">
        <is>
          <t>818769 FAEEO 8575</t>
        </is>
      </c>
      <c r="G1717" s="11" t="inlineStr">
        <is>
          <t>SOLD</t>
        </is>
      </c>
      <c r="H1717" s="22" t="inlineStr">
        <is>
          <t>SOLD</t>
        </is>
      </c>
      <c r="I1717" s="18" t="n">
        <v>47300</v>
      </c>
      <c r="J1717" s="23" t="inlineStr">
        <is>
          <t>NOTFOUND</t>
        </is>
      </c>
      <c r="K1717" s="20" t="n">
        <v>0</v>
      </c>
      <c r="L1717" s="4" t="inlineStr">
        <is>
          <t>https://www.gucci.com/jp/ja/pr/women/small-leather-goods-for-women/card-coin-cases-for-women/bi-color-gg-card-case-with-panda-detail-p-818769FAEEO8575</t>
        </is>
      </c>
      <c r="M1717" s="5">
        <f t="array" ref="M1717">_xlfn.IFS(J1717="NOTFOUND",I1717,J1717&gt;=I1717,J1717)</f>
        <v/>
      </c>
    </row>
    <row r="1718" ht="18" customHeight="1" s="16">
      <c r="A1718" s="5" t="n">
        <v>1717</v>
      </c>
      <c r="B1718" s="8" t="inlineStr">
        <is>
          <t>GU-3969</t>
        </is>
      </c>
      <c r="C1718" s="2" t="n"/>
      <c r="D1718" s="8" t="inlineStr">
        <is>
          <t>オウル（ふくろう） ディテール付き GG カードケース ウォレット財布</t>
        </is>
      </c>
      <c r="E1718" s="8" t="inlineStr">
        <is>
          <t>818767 FAEC3 8570</t>
        </is>
      </c>
      <c r="G1718" s="11" t="inlineStr">
        <is>
          <t>SOLD</t>
        </is>
      </c>
      <c r="H1718" s="22" t="inlineStr">
        <is>
          <t>SOLD</t>
        </is>
      </c>
      <c r="I1718" s="18" t="n">
        <v>84700</v>
      </c>
      <c r="J1718" s="23" t="inlineStr">
        <is>
          <t>NOTFOUND</t>
        </is>
      </c>
      <c r="K1718" s="20" t="n">
        <v>0</v>
      </c>
      <c r="L1718" s="4" t="inlineStr">
        <is>
          <t>https://www.gucci.com/jp/ja/pr/women/small-leather-goods-for-women/folded-wallets-for-women/gg-mini-wallet-with-owl-detail-p-818767FAEC38570</t>
        </is>
      </c>
      <c r="M1718" s="5">
        <f t="array" ref="M1718">_xlfn.IFS(J1718="NOTFOUND",I1718,J1718&gt;=I1718,J1718)</f>
        <v/>
      </c>
    </row>
    <row r="1719" ht="18" customHeight="1" s="16">
      <c r="A1719" s="5" t="n">
        <v>1718</v>
      </c>
      <c r="B1719" s="8" t="inlineStr">
        <is>
          <t>GU-3970</t>
        </is>
      </c>
      <c r="C1719" s="2" t="n"/>
      <c r="D1719" s="8" t="inlineStr">
        <is>
          <t>ドッグ ディテール GG カードケース ウォレット財布</t>
        </is>
      </c>
      <c r="E1719" s="8" t="inlineStr">
        <is>
          <t>818767 FAEEQ 8561</t>
        </is>
      </c>
      <c r="G1719" s="11" t="inlineStr">
        <is>
          <t>SOLD</t>
        </is>
      </c>
      <c r="H1719" s="22" t="inlineStr">
        <is>
          <t>SOLD</t>
        </is>
      </c>
      <c r="I1719" s="18" t="n">
        <v>84700</v>
      </c>
      <c r="J1719" s="23" t="inlineStr">
        <is>
          <t>NOTFOUND</t>
        </is>
      </c>
      <c r="K1719" s="20" t="n">
        <v>0</v>
      </c>
      <c r="L1719" s="4" t="inlineStr">
        <is>
          <t>https://www.gucci.com/jp/ja/pr/women/small-leather-goods-for-women/folded-wallets-for-women/gg-mini-wallet-with-dog-detail-p-818767FAEEQ8561</t>
        </is>
      </c>
      <c r="M1719" s="5">
        <f t="array" ref="M1719">_xlfn.IFS(J1719="NOTFOUND",I1719,J1719&gt;=I1719,J1719)</f>
        <v/>
      </c>
    </row>
    <row r="1720" ht="18" customHeight="1" s="16">
      <c r="A1720" s="5" t="n">
        <v>1719</v>
      </c>
      <c r="B1720" s="8" t="inlineStr">
        <is>
          <t>GU-3971</t>
        </is>
      </c>
      <c r="C1720" s="2" t="n"/>
      <c r="D1720" s="8" t="inlineStr">
        <is>
          <t>パンダ シェイプ GG コインケース</t>
        </is>
      </c>
      <c r="E1720" s="8" t="inlineStr">
        <is>
          <t>818765 FAEDD 8573</t>
        </is>
      </c>
      <c r="G1720" s="11" t="inlineStr">
        <is>
          <t>SOLD</t>
        </is>
      </c>
      <c r="H1720" s="22" t="inlineStr">
        <is>
          <t>SOLD</t>
        </is>
      </c>
      <c r="I1720" s="18" t="n">
        <v>84700</v>
      </c>
      <c r="J1720" s="23" t="inlineStr">
        <is>
          <t>NOTFOUND</t>
        </is>
      </c>
      <c r="K1720" s="20" t="n">
        <v>0</v>
      </c>
      <c r="L1720" s="4" t="inlineStr">
        <is>
          <t>https://www.gucci.com/jp/ja/pr/women/small-leather-goods-for-women/card-coin-cases-for-women/panda-shape-gg-coin-purse-p-818765FAEDD8573</t>
        </is>
      </c>
      <c r="M1720" s="5">
        <f t="array" ref="M1720">_xlfn.IFS(J1720="NOTFOUND",I1720,J1720&gt;=I1720,J1720)</f>
        <v/>
      </c>
    </row>
    <row r="1721" ht="18" customHeight="1" s="16">
      <c r="A1721" s="5" t="n">
        <v>1720</v>
      </c>
      <c r="B1721" s="8" t="inlineStr">
        <is>
          <t>GU-3972</t>
        </is>
      </c>
      <c r="C1721" s="2" t="n"/>
      <c r="D1721" s="8" t="inlineStr">
        <is>
          <t>ダイアナジップアラウンドウォレット財布</t>
        </is>
      </c>
      <c r="E1721" s="8" t="inlineStr">
        <is>
          <t>658634 DJ20T 1000</t>
        </is>
      </c>
      <c r="G1721" s="11" t="inlineStr">
        <is>
          <t>SOLD</t>
        </is>
      </c>
      <c r="H1721" s="22" t="inlineStr">
        <is>
          <t>SOLD</t>
        </is>
      </c>
      <c r="I1721" s="18" t="n">
        <v>113300</v>
      </c>
      <c r="J1721" s="23" t="inlineStr">
        <is>
          <t>NOTFOUND</t>
        </is>
      </c>
      <c r="K1721" s="20" t="n">
        <v>0</v>
      </c>
      <c r="L1721" s="4" t="inlineStr">
        <is>
          <t>https://www.gucci.com/jp/ja/pr/women/small-leather-goods-for-women/zip-around-wallets-for-women/gucci-diana-continental-wallet-p-658634DJ20T1000</t>
        </is>
      </c>
      <c r="M1721" s="5">
        <f t="array" ref="M1721">_xlfn.IFS(J1721="NOTFOUND",I1721,J1721&gt;=I1721,J1721)</f>
        <v/>
      </c>
    </row>
    <row r="1722" ht="18" customHeight="1" s="16">
      <c r="A1722" s="5" t="n">
        <v>1721</v>
      </c>
      <c r="B1722" s="8" t="inlineStr">
        <is>
          <t>GU-3973</t>
        </is>
      </c>
      <c r="C1722" s="2" t="n"/>
      <c r="D1722" s="8" t="inlineStr">
        <is>
          <t>オフィディアGG カードケース ウォレット 財布</t>
        </is>
      </c>
      <c r="E1722" s="8" t="inlineStr">
        <is>
          <t>523155 96IWN 4076</t>
        </is>
      </c>
      <c r="G1722" s="11" t="inlineStr">
        <is>
          <t>SOLD</t>
        </is>
      </c>
      <c r="H1722" s="22" t="inlineStr">
        <is>
          <t>SOLD</t>
        </is>
      </c>
      <c r="I1722" s="18" t="n">
        <v>68200</v>
      </c>
      <c r="J1722" s="23" t="inlineStr">
        <is>
          <t>NOTFOUND</t>
        </is>
      </c>
      <c r="K1722" s="20" t="n">
        <v>0</v>
      </c>
      <c r="L1722" s="4" t="inlineStr">
        <is>
          <t>https://www.gucci.com/jp/ja/pr/women/small-leather-goods-for-women/folded-wallets-for-women/ophidia-card-case-wallet-p-52315596IWN4076</t>
        </is>
      </c>
      <c r="M1722" s="5">
        <f t="array" ref="M1722">_xlfn.IFS(J1722="NOTFOUND",I1722,J1722&gt;=I1722,J1722)</f>
        <v/>
      </c>
    </row>
    <row r="1723" ht="18" customHeight="1" s="16">
      <c r="A1723" s="5" t="n">
        <v>1722</v>
      </c>
      <c r="B1723" s="8" t="inlineStr">
        <is>
          <t>GU-3974</t>
        </is>
      </c>
      <c r="C1723" s="2" t="n"/>
      <c r="D1723" s="8" t="inlineStr">
        <is>
          <t>ダブルG ミディアム ウォレット財布</t>
        </is>
      </c>
      <c r="E1723" s="8" t="inlineStr">
        <is>
          <t>598587 CAO2G 1443</t>
        </is>
      </c>
      <c r="G1723" s="11" t="inlineStr">
        <is>
          <t>SOLD</t>
        </is>
      </c>
      <c r="H1723" s="22" t="inlineStr">
        <is>
          <t>SOLD</t>
        </is>
      </c>
      <c r="I1723" s="18" t="n">
        <v>82500</v>
      </c>
      <c r="J1723" s="23" t="inlineStr">
        <is>
          <t>NOTFOUND</t>
        </is>
      </c>
      <c r="K1723" s="20" t="n">
        <v>0</v>
      </c>
      <c r="L1723" s="4" t="inlineStr">
        <is>
          <t>https://www.gucci.com/jp/ja/pr/women/small-leather-goods-for-women/folded-wallets-for-women/gg-marmont-medium-wallet-p-598587CAO2G1443</t>
        </is>
      </c>
      <c r="M1723" s="5">
        <f t="array" ref="M1723">_xlfn.IFS(J1723="NOTFOUND",I1723,J1723&gt;=I1723,J1723)</f>
        <v/>
      </c>
    </row>
    <row r="1724" ht="18" customHeight="1" s="16">
      <c r="A1724" s="5" t="n">
        <v>1723</v>
      </c>
      <c r="B1724" s="8" t="inlineStr">
        <is>
          <t>GU-3975</t>
        </is>
      </c>
      <c r="C1724" s="2" t="n"/>
      <c r="D1724" s="8" t="inlineStr">
        <is>
          <t>スクリプト キーチェーン</t>
        </is>
      </c>
      <c r="E1724" s="8" t="inlineStr">
        <is>
          <t>773970 JAAFS 8043</t>
        </is>
      </c>
      <c r="G1724" s="11" t="inlineStr">
        <is>
          <t>SOLD</t>
        </is>
      </c>
      <c r="H1724" s="22" t="inlineStr">
        <is>
          <t>SOLD</t>
        </is>
      </c>
      <c r="I1724" s="18" t="n">
        <v>55000</v>
      </c>
      <c r="J1724" s="23" t="inlineStr">
        <is>
          <t>NOTFOUND</t>
        </is>
      </c>
      <c r="K1724" s="20" t="n">
        <v>0</v>
      </c>
      <c r="L1724" s="4" t="inlineStr">
        <is>
          <t>https://www.gucci.com/jp/ja/pr/women/small-leather-goods-for-women/gucci-reccomendation/keychain-with-gucci-script-p-773970JAAFS8043</t>
        </is>
      </c>
      <c r="M1724" s="5">
        <f t="array" ref="M1724">_xlfn.IFS(J1724="NOTFOUND",I1724,J1724&gt;=I1724,J1724)</f>
        <v/>
      </c>
    </row>
    <row r="1725" ht="18" customHeight="1" s="16">
      <c r="A1725" s="5" t="n">
        <v>1724</v>
      </c>
      <c r="B1725" s="8" t="inlineStr">
        <is>
          <t>GU-3976</t>
        </is>
      </c>
      <c r="C1725" s="2" t="n"/>
      <c r="D1725" s="8" t="inlineStr">
        <is>
          <t>ウェブ ストライプ付き スマートフォン用ネックストラップ</t>
        </is>
      </c>
      <c r="E1725" s="8" t="inlineStr">
        <is>
          <t>817376 HAAKK 8558</t>
        </is>
      </c>
      <c r="G1725" s="10" t="inlineStr">
        <is>
          <t>OneSize</t>
        </is>
      </c>
      <c r="H1725" s="22" t="inlineStr">
        <is>
          <t>SOLD</t>
        </is>
      </c>
      <c r="I1725" s="18" t="n">
        <v>50600</v>
      </c>
      <c r="J1725" s="19" t="n">
        <v>50600</v>
      </c>
      <c r="K1725" s="20" t="n">
        <v>0</v>
      </c>
      <c r="L1725" s="4" t="inlineStr">
        <is>
          <t>https://www.gucci.com/jp/ja/pr/men/small-leather-goods-for-men/tech-accessories-for-men/lanyard-phone-holder-with-web-p-817376HAAKK8558</t>
        </is>
      </c>
      <c r="M1725" s="5">
        <f t="array" ref="M1725">_xlfn.IFS(J1725="NOTFOUND",I1725,J1725&gt;=I1725,J1725)</f>
        <v/>
      </c>
    </row>
    <row r="1726" ht="18" customHeight="1" s="16">
      <c r="A1726" s="5" t="n">
        <v>1725</v>
      </c>
      <c r="B1726" s="8" t="inlineStr">
        <is>
          <t>GU-3977</t>
        </is>
      </c>
      <c r="C1726" s="2" t="n"/>
      <c r="D1726" s="8" t="inlineStr">
        <is>
          <t>バイカラー マグネット カードケース</t>
        </is>
      </c>
      <c r="E1726" s="8" t="inlineStr">
        <is>
          <t>817197 FACQC 9860</t>
        </is>
      </c>
      <c r="G1726" s="10" t="inlineStr">
        <is>
          <t>OneSize</t>
        </is>
      </c>
      <c r="H1726" s="17" t="inlineStr">
        <is>
          <t>OneSize</t>
        </is>
      </c>
      <c r="I1726" s="18" t="n">
        <v>57200</v>
      </c>
      <c r="J1726" s="19" t="n">
        <v>57200</v>
      </c>
      <c r="K1726" s="20" t="n">
        <v>5</v>
      </c>
      <c r="L1726" s="4" t="inlineStr">
        <is>
          <t>https://www.gucci.com/jp/ja/pr/men/small-leather-goods-for-men/card-holders-coin-cases-for-men/bi-color-magnetic-card-case-p-817197FACQC9860</t>
        </is>
      </c>
      <c r="M1726" s="5">
        <f t="array" ref="M1726">_xlfn.IFS(J1726="NOTFOUND",I1726,J1726&gt;=I1726,J1726)</f>
        <v/>
      </c>
    </row>
    <row r="1727" ht="18" customHeight="1" s="16">
      <c r="A1727" s="5" t="n">
        <v>1726</v>
      </c>
      <c r="B1727" s="8" t="inlineStr">
        <is>
          <t>GU-3978</t>
        </is>
      </c>
      <c r="C1727" s="2" t="n"/>
      <c r="D1727" s="8" t="inlineStr">
        <is>
          <t xml:space="preserve">スマートフォン用 マグネットカードケース </t>
        </is>
      </c>
      <c r="E1727" s="8" t="inlineStr">
        <is>
          <t>817197 FACQC 9773</t>
        </is>
      </c>
      <c r="G1727" s="10" t="inlineStr">
        <is>
          <t>OneSize</t>
        </is>
      </c>
      <c r="H1727" s="17" t="inlineStr">
        <is>
          <t>OneSize</t>
        </is>
      </c>
      <c r="I1727" s="18" t="n">
        <v>57200</v>
      </c>
      <c r="J1727" s="19" t="n">
        <v>57200</v>
      </c>
      <c r="K1727" s="20" t="n">
        <v>5</v>
      </c>
      <c r="L1727" s="4" t="inlineStr">
        <is>
          <t>https://www.gucci.com/jp/ja/pr/men/small-leather-goods-for-men/card-holders-coin-cases-for-men/bi-color-magnetic-card-case-p-817197FACQC9773</t>
        </is>
      </c>
      <c r="M1727" s="5">
        <f t="array" ref="M1727">_xlfn.IFS(J1727="NOTFOUND",I1727,J1727&gt;=I1727,J1727)</f>
        <v/>
      </c>
    </row>
    <row r="1728" ht="18" customHeight="1" s="16">
      <c r="A1728" s="5" t="n">
        <v>1727</v>
      </c>
      <c r="B1728" s="8" t="inlineStr">
        <is>
          <t>GU-3979</t>
        </is>
      </c>
      <c r="C1728" s="2" t="n"/>
      <c r="D1728" s="8" t="inlineStr">
        <is>
          <t>スマートフォン用 マグネットカードケース</t>
        </is>
      </c>
      <c r="E1728" s="8" t="inlineStr">
        <is>
          <t>817197 FACQC 1048</t>
        </is>
      </c>
      <c r="G1728" s="10" t="inlineStr">
        <is>
          <t>OneSize</t>
        </is>
      </c>
      <c r="H1728" s="17" t="inlineStr">
        <is>
          <t>OneSize</t>
        </is>
      </c>
      <c r="I1728" s="18" t="n">
        <v>57200</v>
      </c>
      <c r="J1728" s="19" t="n">
        <v>57200</v>
      </c>
      <c r="K1728" s="20" t="n">
        <v>5</v>
      </c>
      <c r="L1728" s="4" t="inlineStr">
        <is>
          <t>https://www.gucci.com/jp/ja/pr/men/small-leather-goods-for-men/card-holders-coin-cases-for-men/bi-color-magnetic-card-case-p-817197FACQC1048</t>
        </is>
      </c>
      <c r="M1728" s="5">
        <f t="array" ref="M1728">_xlfn.IFS(J1728="NOTFOUND",I1728,J1728&gt;=I1728,J1728)</f>
        <v/>
      </c>
    </row>
    <row r="1729" ht="18" customHeight="1" s="16">
      <c r="A1729" s="5" t="n">
        <v>1728</v>
      </c>
      <c r="B1729" s="8" t="inlineStr">
        <is>
          <t>GU-3980</t>
        </is>
      </c>
      <c r="C1729" s="2" t="n"/>
      <c r="D1729" s="8" t="inlineStr">
        <is>
          <t>ダブルG ジップ キーケース</t>
        </is>
      </c>
      <c r="E1729" s="8" t="inlineStr">
        <is>
          <t>813353 DTDHD 1000</t>
        </is>
      </c>
      <c r="G1729" s="11" t="inlineStr">
        <is>
          <t>SOLD</t>
        </is>
      </c>
      <c r="H1729" s="22" t="inlineStr">
        <is>
          <t>SOLD</t>
        </is>
      </c>
      <c r="I1729" s="18" t="n">
        <v>70400</v>
      </c>
      <c r="J1729" s="23" t="inlineStr">
        <is>
          <t>NOTFOUND</t>
        </is>
      </c>
      <c r="K1729" s="20" t="n">
        <v>0</v>
      </c>
      <c r="L1729" s="4" t="inlineStr">
        <is>
          <t>https://www.gucci.com/jp/ja/pr/women/small-leather-goods-for-women/card-coin-cases-for-women/gg-marmont-zip-key-case-p-813353DTDHD1000</t>
        </is>
      </c>
      <c r="M1729" s="5">
        <f t="array" ref="M1729">_xlfn.IFS(J1729="NOTFOUND",I1729,J1729&gt;=I1729,J1729)</f>
        <v/>
      </c>
    </row>
    <row r="1730" ht="18" customHeight="1" s="16">
      <c r="A1730" s="5" t="n">
        <v>1729</v>
      </c>
      <c r="B1730" s="8" t="inlineStr">
        <is>
          <t>GU-3981</t>
        </is>
      </c>
      <c r="C1730" s="2" t="n"/>
      <c r="D1730" s="8" t="inlineStr">
        <is>
          <t>スクリプト ジップ カードケース</t>
        </is>
      </c>
      <c r="E1730" s="8" t="inlineStr">
        <is>
          <t>813219 0OP0N 1000</t>
        </is>
      </c>
      <c r="G1730" s="11" t="inlineStr">
        <is>
          <t>SOLD</t>
        </is>
      </c>
      <c r="H1730" s="22" t="inlineStr">
        <is>
          <t>SOLD</t>
        </is>
      </c>
      <c r="I1730" s="18" t="n">
        <v>100100</v>
      </c>
      <c r="J1730" s="23" t="inlineStr">
        <is>
          <t>NOTFOUND</t>
        </is>
      </c>
      <c r="K1730" s="20" t="n">
        <v>0</v>
      </c>
      <c r="L1730" s="4" t="inlineStr">
        <is>
          <t>https://www.gucci.com/jp/ja/pr/women/small-leather-goods-for-women/card-coin-cases-for-women/zip-card-case-with-gucci-script-p-8132190OP0N1000</t>
        </is>
      </c>
      <c r="M1730" s="5">
        <f t="array" ref="M1730">_xlfn.IFS(J1730="NOTFOUND",I1730,J1730&gt;=I1730,J1730)</f>
        <v/>
      </c>
    </row>
    <row r="1731" ht="18" customHeight="1" s="16">
      <c r="A1731" s="5" t="n">
        <v>1730</v>
      </c>
      <c r="B1731" s="8" t="inlineStr">
        <is>
          <t>GU-3982</t>
        </is>
      </c>
      <c r="C1731" s="2" t="n"/>
      <c r="D1731" s="8" t="inlineStr">
        <is>
          <t>オフィディアスモール ショルダーバッグ</t>
        </is>
      </c>
      <c r="E1731" s="8" t="inlineStr">
        <is>
          <t>795467 96IWT 8745</t>
        </is>
      </c>
      <c r="G1731" s="10" t="inlineStr">
        <is>
          <t>OneSize</t>
        </is>
      </c>
      <c r="H1731" s="17" t="inlineStr">
        <is>
          <t>OneSize</t>
        </is>
      </c>
      <c r="I1731" s="18" t="n">
        <v>227700</v>
      </c>
      <c r="J1731" s="19" t="n">
        <v>227700</v>
      </c>
      <c r="K1731" s="20" t="n">
        <v>5</v>
      </c>
      <c r="L1731" s="4" t="inlineStr">
        <is>
          <t>https://www.gucci.com/jp/ja/pr/women/handbags/mini-bags-for-women/ophidia-small-shoulder-bag-p-79546796IWT8745</t>
        </is>
      </c>
      <c r="M1731" s="5">
        <f t="array" ref="M1731">_xlfn.IFS(J1731="NOTFOUND",I1731,J1731&gt;=I1731,J1731)</f>
        <v/>
      </c>
    </row>
    <row r="1732" ht="18" customHeight="1" s="16">
      <c r="A1732" s="5" t="n">
        <v>1731</v>
      </c>
      <c r="B1732" s="8" t="inlineStr">
        <is>
          <t>GU-3983</t>
        </is>
      </c>
      <c r="C1732" s="2" t="n"/>
      <c r="D1732" s="8" t="inlineStr">
        <is>
          <t>GG ジップカードケース ピンク インテリア</t>
        </is>
      </c>
      <c r="E1732" s="8" t="inlineStr">
        <is>
          <t>795233 FACQC 9860</t>
        </is>
      </c>
      <c r="G1732" s="10" t="inlineStr">
        <is>
          <t>OneSize</t>
        </is>
      </c>
      <c r="H1732" s="22" t="inlineStr">
        <is>
          <t>SOLD</t>
        </is>
      </c>
      <c r="I1732" s="18" t="n">
        <v>59400</v>
      </c>
      <c r="J1732" s="19" t="n">
        <v>59400</v>
      </c>
      <c r="K1732" s="20" t="n">
        <v>0</v>
      </c>
      <c r="L1732" s="4" t="inlineStr">
        <is>
          <t>https://www.gucci.com/jp/ja/pr/men/small-leather-goods-for-men/card-holders-coin-cases-for-men/pink-interior-gg-zip-card-case-p-795233FACQC9860</t>
        </is>
      </c>
      <c r="M1732" s="5">
        <f t="array" ref="M1732">_xlfn.IFS(J1732="NOTFOUND",I1732,J1732&gt;=I1732,J1732)</f>
        <v/>
      </c>
    </row>
    <row r="1733" ht="18" customHeight="1" s="16">
      <c r="A1733" s="5" t="n">
        <v>1732</v>
      </c>
      <c r="B1733" s="8" t="inlineStr">
        <is>
          <t>GU-3984</t>
        </is>
      </c>
      <c r="C1733" s="2" t="n"/>
      <c r="D1733" s="8" t="inlineStr">
        <is>
          <t>スクリプト ジップ キーケース</t>
        </is>
      </c>
      <c r="E1733" s="8" t="inlineStr">
        <is>
          <t>790102 0OP0N 1000</t>
        </is>
      </c>
      <c r="G1733" s="11" t="inlineStr">
        <is>
          <t>SOLD</t>
        </is>
      </c>
      <c r="H1733" s="22" t="inlineStr">
        <is>
          <t>SOLD</t>
        </is>
      </c>
      <c r="I1733" s="18" t="n">
        <v>58300</v>
      </c>
      <c r="J1733" s="23" t="inlineStr">
        <is>
          <t>NOTFOUND</t>
        </is>
      </c>
      <c r="K1733" s="20" t="n">
        <v>0</v>
      </c>
      <c r="L1733" s="4" t="inlineStr">
        <is>
          <t>https://www.gucci.com/jp/ja/pr/women/small-leather-goods-for-women/gucci-reccomendation/zip-key-case-with-gucci-script-p-7901020OP0N1000</t>
        </is>
      </c>
      <c r="M1733" s="5">
        <f t="array" ref="M1733">_xlfn.IFS(J1733="NOTFOUND",I1733,J1733&gt;=I1733,J1733)</f>
        <v/>
      </c>
    </row>
    <row r="1734" ht="18" customHeight="1" s="16">
      <c r="A1734" s="5" t="n">
        <v>1733</v>
      </c>
      <c r="B1734" s="8" t="inlineStr">
        <is>
          <t>GU-3985</t>
        </is>
      </c>
      <c r="C1734" s="2" t="n"/>
      <c r="D1734" s="8" t="inlineStr">
        <is>
          <t>スクリプト カードケース</t>
        </is>
      </c>
      <c r="E1734" s="8" t="inlineStr">
        <is>
          <t>790101 0OP0N 1000</t>
        </is>
      </c>
      <c r="G1734" s="11" t="inlineStr">
        <is>
          <t>SOLD</t>
        </is>
      </c>
      <c r="H1734" s="22" t="inlineStr">
        <is>
          <t>SOLD</t>
        </is>
      </c>
      <c r="I1734" s="18" t="n">
        <v>53900</v>
      </c>
      <c r="J1734" s="23" t="inlineStr">
        <is>
          <t>NOTFOUND</t>
        </is>
      </c>
      <c r="K1734" s="20" t="n">
        <v>0</v>
      </c>
      <c r="L1734" s="4" t="inlineStr">
        <is>
          <t>https://www.gucci.com/jp/ja/pr/women/small-leather-goods-for-women/card-coin-cases-for-women/card-case-with-gucci-script-p-7901010OP0N1000</t>
        </is>
      </c>
      <c r="M1734" s="5">
        <f t="array" ref="M1734">_xlfn.IFS(J1734="NOTFOUND",I1734,J1734&gt;=I1734,J1734)</f>
        <v/>
      </c>
    </row>
    <row r="1735" ht="18" customHeight="1" s="16">
      <c r="A1735" s="5" t="n">
        <v>1734</v>
      </c>
      <c r="B1735" s="8" t="inlineStr">
        <is>
          <t>GU-3986</t>
        </is>
      </c>
      <c r="C1735" s="2" t="n"/>
      <c r="D1735" s="8" t="inlineStr">
        <is>
          <t>ダブルG カードケースウォレット財布</t>
        </is>
      </c>
      <c r="E1735" s="8" t="inlineStr">
        <is>
          <t>781583 DTDHD 1523</t>
        </is>
      </c>
      <c r="G1735" s="10" t="inlineStr">
        <is>
          <t>OneSize</t>
        </is>
      </c>
      <c r="H1735" s="17" t="inlineStr">
        <is>
          <t>OneSize</t>
        </is>
      </c>
      <c r="I1735" s="18" t="n">
        <v>105600</v>
      </c>
      <c r="J1735" s="19" t="n">
        <v>105600</v>
      </c>
      <c r="K1735" s="20" t="n">
        <v>5</v>
      </c>
      <c r="L1735" s="4" t="inlineStr">
        <is>
          <t>https://www.gucci.com/jp/ja/pr/women/small-leather-goods-for-women/folded-wallets-for-women/gg-marmont-wallet-p-781583DTDHD1523</t>
        </is>
      </c>
      <c r="M1735" s="5">
        <f t="array" ref="M1735">_xlfn.IFS(J1735="NOTFOUND",I1735,J1735&gt;=I1735,J1735)</f>
        <v/>
      </c>
    </row>
    <row r="1736" ht="18" customHeight="1" s="16">
      <c r="A1736" s="5" t="n">
        <v>1735</v>
      </c>
      <c r="B1736" s="8" t="inlineStr">
        <is>
          <t>GU-3987</t>
        </is>
      </c>
      <c r="C1736" s="2" t="n"/>
      <c r="D1736" s="8" t="inlineStr">
        <is>
          <t>ダブルG カードケースウォレット財布</t>
        </is>
      </c>
      <c r="E1736" s="8" t="inlineStr">
        <is>
          <t>781583 DTDHT 1000</t>
        </is>
      </c>
      <c r="G1736" s="10" t="inlineStr">
        <is>
          <t>OneSize</t>
        </is>
      </c>
      <c r="H1736" s="17" t="inlineStr">
        <is>
          <t>OneSize</t>
        </is>
      </c>
      <c r="I1736" s="18" t="n">
        <v>105600</v>
      </c>
      <c r="J1736" s="19" t="n">
        <v>105600</v>
      </c>
      <c r="K1736" s="20" t="n">
        <v>5</v>
      </c>
      <c r="L1736" s="4" t="inlineStr">
        <is>
          <t>https://www.gucci.com/jp/ja/pr/women/small-leather-goods-for-women/folded-wallets-for-women/gg-marmont-wallet-p-781583DTDHT1000</t>
        </is>
      </c>
      <c r="M1736" s="5">
        <f t="array" ref="M1736">_xlfn.IFS(J1736="NOTFOUND",I1736,J1736&gt;=I1736,J1736)</f>
        <v/>
      </c>
    </row>
    <row r="1737" ht="18" customHeight="1" s="16">
      <c r="A1737" s="5" t="n">
        <v>1736</v>
      </c>
      <c r="B1737" s="8" t="inlineStr">
        <is>
          <t>GU-3988</t>
        </is>
      </c>
      <c r="C1737" s="2" t="n"/>
      <c r="D1737" s="8" t="inlineStr">
        <is>
          <t>スクリプト パスケース</t>
        </is>
      </c>
      <c r="E1737" s="8" t="inlineStr">
        <is>
          <t>773428 0OP0T 6207</t>
        </is>
      </c>
      <c r="G1737" s="11" t="inlineStr">
        <is>
          <t>SOLD</t>
        </is>
      </c>
      <c r="H1737" s="22" t="inlineStr">
        <is>
          <t>SOLD</t>
        </is>
      </c>
      <c r="I1737" s="18" t="n">
        <v>39600</v>
      </c>
      <c r="J1737" s="23" t="inlineStr">
        <is>
          <t>NOTFOUND</t>
        </is>
      </c>
      <c r="K1737" s="20" t="n">
        <v>0</v>
      </c>
      <c r="L1737" s="4" t="inlineStr">
        <is>
          <t>https://www.gucci.com/jp/ja/pr/women/small-leather-goods-for-women/card-coin-cases-for-women/card-case-with-gucci-script-p-7734280OP0T6207</t>
        </is>
      </c>
      <c r="M1737" s="5">
        <f t="array" ref="M1737">_xlfn.IFS(J1737="NOTFOUND",I1737,J1737&gt;=I1737,J1737)</f>
        <v/>
      </c>
    </row>
    <row r="1738" ht="18" customHeight="1" s="16">
      <c r="A1738" s="5" t="n">
        <v>1737</v>
      </c>
      <c r="B1738" s="8" t="inlineStr">
        <is>
          <t>GU-3989</t>
        </is>
      </c>
      <c r="C1738" s="2" t="n"/>
      <c r="D1738" s="8" t="inlineStr">
        <is>
          <t>ダブルG ウォレット</t>
        </is>
      </c>
      <c r="E1738" s="8" t="inlineStr">
        <is>
          <t>773427 DTDHT 1000</t>
        </is>
      </c>
      <c r="G1738" s="11" t="inlineStr">
        <is>
          <t>SOLD</t>
        </is>
      </c>
      <c r="H1738" s="22" t="inlineStr">
        <is>
          <t>SOLD</t>
        </is>
      </c>
      <c r="I1738" s="18" t="n">
        <v>96800</v>
      </c>
      <c r="J1738" s="23" t="inlineStr">
        <is>
          <t>NOTFOUND</t>
        </is>
      </c>
      <c r="K1738" s="20" t="n">
        <v>0</v>
      </c>
      <c r="L1738" s="4" t="inlineStr">
        <is>
          <t>https://www.gucci.com/jp/ja/pr/women/small-leather-goods-for-women/folded-wallets-for-women/gg-marmont-wallet-p-773427DTDHT1000</t>
        </is>
      </c>
      <c r="M1738" s="5">
        <f t="array" ref="M1738">_xlfn.IFS(J1738="NOTFOUND",I1738,J1738&gt;=I1738,J1738)</f>
        <v/>
      </c>
    </row>
    <row r="1739" ht="18" customHeight="1" s="16">
      <c r="A1739" s="5" t="n">
        <v>1738</v>
      </c>
      <c r="B1739" s="8" t="inlineStr">
        <is>
          <t>GU-3990</t>
        </is>
      </c>
      <c r="C1739" s="2" t="n"/>
      <c r="D1739" s="8" t="inlineStr">
        <is>
          <t>スクリプト ジップアラウンドウォレット財布</t>
        </is>
      </c>
      <c r="E1739" s="8" t="inlineStr">
        <is>
          <t>772642 0OP0N 1000</t>
        </is>
      </c>
      <c r="G1739" s="11" t="inlineStr">
        <is>
          <t>SOLD</t>
        </is>
      </c>
      <c r="H1739" s="22" t="inlineStr">
        <is>
          <t>SOLD</t>
        </is>
      </c>
      <c r="I1739" s="18" t="n">
        <v>102850</v>
      </c>
      <c r="J1739" s="23" t="inlineStr">
        <is>
          <t>NOTFOUND</t>
        </is>
      </c>
      <c r="K1739" s="20" t="n">
        <v>0</v>
      </c>
      <c r="L1739" s="4" t="inlineStr">
        <is>
          <t>https://www.gucci.com/jp/ja/pr/women/small-leather-goods-for-women/zip-around-wallets-for-women/zip-around-wallet-with-gucci-script-p-7726420OP0N1000</t>
        </is>
      </c>
      <c r="M1739" s="5">
        <f t="array" ref="M1739">_xlfn.IFS(J1739="NOTFOUND",I1739,J1739&gt;=I1739,J1739)</f>
        <v/>
      </c>
    </row>
    <row r="1740" ht="18" customHeight="1" s="16">
      <c r="A1740" s="5" t="n">
        <v>1739</v>
      </c>
      <c r="B1740" s="8" t="inlineStr">
        <is>
          <t>GU-3991</t>
        </is>
      </c>
      <c r="C1740" s="2" t="n"/>
      <c r="D1740" s="8" t="inlineStr">
        <is>
          <t>スクリプト カードケース ウォレット財布</t>
        </is>
      </c>
      <c r="E1740" s="8" t="inlineStr">
        <is>
          <t>772640 0OP0N 1000</t>
        </is>
      </c>
      <c r="G1740" s="11" t="inlineStr">
        <is>
          <t>SOLD</t>
        </is>
      </c>
      <c r="H1740" s="22" t="inlineStr">
        <is>
          <t>SOLD</t>
        </is>
      </c>
      <c r="I1740" s="18" t="n">
        <v>99550</v>
      </c>
      <c r="J1740" s="23" t="inlineStr">
        <is>
          <t>NOTFOUND</t>
        </is>
      </c>
      <c r="K1740" s="20" t="n">
        <v>0</v>
      </c>
      <c r="L1740" s="4" t="inlineStr">
        <is>
          <t>https://www.gucci.com/jp/ja/pr/women/small-leather-goods-for-women/folded-wallets-for-women/card-case-wallet-with-gucci-script-p-7726400OP0N1000</t>
        </is>
      </c>
      <c r="M1740" s="5">
        <f t="array" ref="M1740">_xlfn.IFS(J1740="NOTFOUND",I1740,J1740&gt;=I1740,J1740)</f>
        <v/>
      </c>
    </row>
    <row r="1741" ht="18" customHeight="1" s="16">
      <c r="A1741" s="5" t="n">
        <v>1740</v>
      </c>
      <c r="B1741" s="8" t="inlineStr">
        <is>
          <t>GU-3992</t>
        </is>
      </c>
      <c r="C1741" s="2" t="n"/>
      <c r="D1741" s="8" t="inlineStr">
        <is>
          <t>スクリプト ミニ ウォレット財布</t>
        </is>
      </c>
      <c r="E1741" s="8" t="inlineStr">
        <is>
          <t>772639 0OP0N 1000</t>
        </is>
      </c>
      <c r="G1741" s="11" t="inlineStr">
        <is>
          <t>SOLD</t>
        </is>
      </c>
      <c r="H1741" s="22" t="inlineStr">
        <is>
          <t>SOLD</t>
        </is>
      </c>
      <c r="I1741" s="18" t="n">
        <v>86900</v>
      </c>
      <c r="J1741" s="23" t="inlineStr">
        <is>
          <t>NOTFOUND</t>
        </is>
      </c>
      <c r="K1741" s="20" t="n">
        <v>0</v>
      </c>
      <c r="L1741" s="4" t="inlineStr">
        <is>
          <t>https://www.gucci.com/jp/ja/pr/women/small-leather-goods-for-women/card-coin-cases-for-women/mini-wallet-with-gucci-script-p-7726390OP0N1000</t>
        </is>
      </c>
      <c r="M1741" s="5">
        <f t="array" ref="M1741">_xlfn.IFS(J1741="NOTFOUND",I1741,J1741&gt;=I1741,J1741)</f>
        <v/>
      </c>
    </row>
    <row r="1742" ht="18" customHeight="1" s="16">
      <c r="A1742" s="5" t="n">
        <v>1741</v>
      </c>
      <c r="B1742" s="8" t="inlineStr">
        <is>
          <t>GU-3993</t>
        </is>
      </c>
      <c r="C1742" s="2" t="n"/>
      <c r="D1742" s="8" t="inlineStr">
        <is>
          <t>オフィディアスモール ショルダーバッグ</t>
        </is>
      </c>
      <c r="E1742" s="8" t="inlineStr">
        <is>
          <t>772308 K9GSG 8367</t>
        </is>
      </c>
      <c r="G1742" s="11" t="inlineStr">
        <is>
          <t>SOLD</t>
        </is>
      </c>
      <c r="H1742" s="22" t="inlineStr">
        <is>
          <t>SOLD</t>
        </is>
      </c>
      <c r="I1742" s="18" t="n">
        <v>183700</v>
      </c>
      <c r="J1742" s="23" t="inlineStr">
        <is>
          <t>NOTFOUND</t>
        </is>
      </c>
      <c r="K1742" s="20" t="n">
        <v>0</v>
      </c>
      <c r="L1742" s="4" t="inlineStr">
        <is>
          <t>https://www.gucci.com/jp/ja/pr/women/handbags/mini-bags-for-women/ophidia-small-shoulder-bag-p-772308K9GSG8367</t>
        </is>
      </c>
      <c r="M1742" s="5">
        <f t="array" ref="M1742">_xlfn.IFS(J1742="NOTFOUND",I1742,J1742&gt;=I1742,J1742)</f>
        <v/>
      </c>
    </row>
    <row r="1743" ht="18" customHeight="1" s="16">
      <c r="A1743" s="5" t="n">
        <v>1742</v>
      </c>
      <c r="B1743" s="8" t="inlineStr">
        <is>
          <t>GU-3994</t>
        </is>
      </c>
      <c r="C1743" s="2" t="n"/>
      <c r="D1743" s="8" t="inlineStr">
        <is>
          <t>オフィディア ミニバッグ</t>
        </is>
      </c>
      <c r="E1743" s="8" t="inlineStr">
        <is>
          <t>764961 96IWG 8745</t>
        </is>
      </c>
      <c r="G1743" s="10" t="inlineStr">
        <is>
          <t>OneSize</t>
        </is>
      </c>
      <c r="H1743" s="17" t="inlineStr">
        <is>
          <t>OneSize</t>
        </is>
      </c>
      <c r="I1743" s="18" t="n">
        <v>154000</v>
      </c>
      <c r="J1743" s="19" t="n">
        <v>154000</v>
      </c>
      <c r="K1743" s="20" t="n">
        <v>5</v>
      </c>
      <c r="L1743" s="4" t="inlineStr">
        <is>
          <t>https://www.gucci.com/jp/ja/pr/women/handbags/mini-bags-for-women/ophidia-pochette-p-76496196IWG8745</t>
        </is>
      </c>
      <c r="M1743" s="5">
        <f t="array" ref="M1743">_xlfn.IFS(J1743="NOTFOUND",I1743,J1743&gt;=I1743,J1743)</f>
        <v/>
      </c>
    </row>
    <row r="1744" ht="18" customHeight="1" s="16">
      <c r="A1744" s="5" t="n">
        <v>1743</v>
      </c>
      <c r="B1744" s="8" t="inlineStr">
        <is>
          <t>GU-3995</t>
        </is>
      </c>
      <c r="C1744" s="2" t="n"/>
      <c r="D1744" s="8" t="inlineStr">
        <is>
          <t>ホースビット 1955カードケース ウォレット財布</t>
        </is>
      </c>
      <c r="E1744" s="8" t="inlineStr">
        <is>
          <t>726846 92TCG 8563</t>
        </is>
      </c>
      <c r="G1744" s="10" t="inlineStr">
        <is>
          <t>OneSize</t>
        </is>
      </c>
      <c r="H1744" s="17" t="inlineStr">
        <is>
          <t>OneSize</t>
        </is>
      </c>
      <c r="I1744" s="18" t="n">
        <v>99000</v>
      </c>
      <c r="J1744" s="19" t="n">
        <v>99000</v>
      </c>
      <c r="K1744" s="20" t="n">
        <v>5</v>
      </c>
      <c r="L1744" s="4" t="inlineStr">
        <is>
          <t>https://www.gucci.com/jp/ja/pr/women/small-leather-goods-for-women/folded-wallets-for-women/gucci-horsebit-1955-card-case-wallet-p-72684692TCG8563</t>
        </is>
      </c>
      <c r="M1744" s="5">
        <f t="array" ref="M1744">_xlfn.IFS(J1744="NOTFOUND",I1744,J1744&gt;=I1744,J1744)</f>
        <v/>
      </c>
    </row>
    <row r="1745" ht="18" customHeight="1" s="16">
      <c r="A1745" s="5" t="n">
        <v>1744</v>
      </c>
      <c r="B1745" s="8" t="inlineStr">
        <is>
          <t>GU-3996</t>
        </is>
      </c>
      <c r="C1745" s="2" t="n"/>
      <c r="D1745" s="8" t="inlineStr">
        <is>
          <t>ホースビット 1955ミニバッグ</t>
        </is>
      </c>
      <c r="E1745" s="8" t="inlineStr">
        <is>
          <t>699296 92TCG 8563</t>
        </is>
      </c>
      <c r="G1745" s="10" t="inlineStr">
        <is>
          <t>OneSize</t>
        </is>
      </c>
      <c r="H1745" s="17" t="inlineStr">
        <is>
          <t>OneSize</t>
        </is>
      </c>
      <c r="I1745" s="18" t="n">
        <v>192500</v>
      </c>
      <c r="J1745" s="19" t="n">
        <v>192500</v>
      </c>
      <c r="K1745" s="20" t="n">
        <v>5</v>
      </c>
      <c r="L1745" s="4" t="inlineStr">
        <is>
          <t>https://www.gucci.com/jp/ja/pr/women/handbags/mini-bags-for-women/gucci-horsebit-1955-mini-bag-p-69929692TCG8563</t>
        </is>
      </c>
      <c r="M1745" s="5">
        <f t="array" ref="M1745">_xlfn.IFS(J1745="NOTFOUND",I1745,J1745&gt;=I1745,J1745)</f>
        <v/>
      </c>
    </row>
    <row r="1746" ht="18" customHeight="1" s="16">
      <c r="A1746" s="5" t="n">
        <v>1745</v>
      </c>
      <c r="B1746" s="8" t="inlineStr">
        <is>
          <t>GU-3997</t>
        </is>
      </c>
      <c r="C1746" s="2" t="n"/>
      <c r="D1746" s="8" t="inlineStr">
        <is>
          <t>ホースビット 1955ミニバッグ</t>
        </is>
      </c>
      <c r="E1746" s="8" t="inlineStr">
        <is>
          <t>699296 UULBG 9683</t>
        </is>
      </c>
      <c r="G1746" s="10" t="inlineStr">
        <is>
          <t>OneSize</t>
        </is>
      </c>
      <c r="H1746" s="17" t="inlineStr">
        <is>
          <t>OneSize</t>
        </is>
      </c>
      <c r="I1746" s="18" t="n">
        <v>192500</v>
      </c>
      <c r="J1746" s="19" t="n">
        <v>192500</v>
      </c>
      <c r="K1746" s="20" t="n">
        <v>5</v>
      </c>
      <c r="L1746" s="4" t="inlineStr">
        <is>
          <t>https://www.gucci.com/jp/ja/pr/women/handbags/mini-bags-for-women/gucci-horsebit-1955-mini-bag-p-699296UULBG9683</t>
        </is>
      </c>
      <c r="M1746" s="5">
        <f t="array" ref="M1746">_xlfn.IFS(J1746="NOTFOUND",I1746,J1746&gt;=I1746,J1746)</f>
        <v/>
      </c>
    </row>
    <row r="1747" ht="18" customHeight="1" s="16">
      <c r="A1747" s="5" t="n">
        <v>1746</v>
      </c>
      <c r="B1747" s="8" t="inlineStr">
        <is>
          <t>GU-3998</t>
        </is>
      </c>
      <c r="C1747" s="2" t="n"/>
      <c r="D1747" s="8" t="inlineStr">
        <is>
          <t>ジャッキー 1961チェーン付き コンチネンタルウォレット 財布</t>
        </is>
      </c>
      <c r="E1747" s="8" t="inlineStr">
        <is>
          <t>652681 14J0G 1000</t>
        </is>
      </c>
      <c r="G1747" s="10" t="inlineStr">
        <is>
          <t>OneSize</t>
        </is>
      </c>
      <c r="H1747" s="17" t="inlineStr">
        <is>
          <t>OneSize</t>
        </is>
      </c>
      <c r="I1747" s="18" t="n">
        <v>170500</v>
      </c>
      <c r="J1747" s="19" t="n">
        <v>170500</v>
      </c>
      <c r="K1747" s="20" t="n">
        <v>5</v>
      </c>
      <c r="L1747" s="4" t="inlineStr">
        <is>
          <t>https://www.gucci.com/jp/ja/pr/women/small-leather-goods-for-women/continental-wallets-for-women/gucci-jackie-1961-wallet-on-chain-p-65268114J0G1000</t>
        </is>
      </c>
      <c r="M1747" s="5">
        <f t="array" ref="M1747">_xlfn.IFS(J1747="NOTFOUND",I1747,J1747&gt;=I1747,J1747)</f>
        <v/>
      </c>
    </row>
    <row r="1748" ht="18" customHeight="1" s="16">
      <c r="A1748" s="5" t="n">
        <v>1747</v>
      </c>
      <c r="B1748" s="8" t="inlineStr">
        <is>
          <t>GU-3999</t>
        </is>
      </c>
      <c r="C1748" s="2" t="n"/>
      <c r="D1748" s="8" t="inlineStr">
        <is>
          <t>ジャッキー 1961チェーン付き コンチネンタルウォレット 財布</t>
        </is>
      </c>
      <c r="E1748" s="8" t="inlineStr">
        <is>
          <t>652681 HUHHG 8565</t>
        </is>
      </c>
      <c r="G1748" s="10" t="inlineStr">
        <is>
          <t>OneSize</t>
        </is>
      </c>
      <c r="H1748" s="17" t="inlineStr">
        <is>
          <t>OneSize</t>
        </is>
      </c>
      <c r="I1748" s="18" t="n">
        <v>159500</v>
      </c>
      <c r="J1748" s="19" t="n">
        <v>159500</v>
      </c>
      <c r="K1748" s="20" t="n">
        <v>5</v>
      </c>
      <c r="L1748" s="4" t="inlineStr">
        <is>
          <t>https://www.gucci.com/jp/ja/pr/women/small-leather-goods-for-women/continental-wallets-for-women/gucci-jackie-1961-wallet-on-chain-p-652681HUHHG8565</t>
        </is>
      </c>
      <c r="M1748" s="5">
        <f t="array" ref="M1748">_xlfn.IFS(J1748="NOTFOUND",I1748,J1748&gt;=I1748,J1748)</f>
        <v/>
      </c>
    </row>
    <row r="1749" ht="18" customHeight="1" s="16">
      <c r="A1749" s="5" t="n">
        <v>1748</v>
      </c>
      <c r="B1749" s="8" t="inlineStr">
        <is>
          <t>GU-4000</t>
        </is>
      </c>
      <c r="C1749" s="2" t="n"/>
      <c r="D1749" s="8" t="inlineStr">
        <is>
          <t>SAVOYジュエリーケース</t>
        </is>
      </c>
      <c r="E1749" s="8" t="inlineStr">
        <is>
          <t>649582 UVFAT 8358</t>
        </is>
      </c>
      <c r="G1749" s="10" t="inlineStr">
        <is>
          <t>OneSize</t>
        </is>
      </c>
      <c r="H1749" s="17" t="inlineStr">
        <is>
          <t>OneSize</t>
        </is>
      </c>
      <c r="I1749" s="18" t="n">
        <v>500500</v>
      </c>
      <c r="J1749" s="19" t="n">
        <v>500500</v>
      </c>
      <c r="K1749" s="20" t="n">
        <v>5</v>
      </c>
      <c r="L1749" s="4" t="inlineStr">
        <is>
          <t>https://www.gucci.com/jp/ja/pr/women/travel-bags-for-women/accessories-for-women/gucci-savoy-jewelry-case-p-649582UVFAT8358</t>
        </is>
      </c>
      <c r="M1749" s="5">
        <f t="array" ref="M1749">_xlfn.IFS(J1749="NOTFOUND",I1749,J1749&gt;=I1749,J1749)</f>
        <v/>
      </c>
    </row>
    <row r="1750" ht="18" customHeight="1" s="16">
      <c r="A1750" s="5" t="n">
        <v>1749</v>
      </c>
      <c r="B1750" s="8" t="inlineStr">
        <is>
          <t>GU-4001</t>
        </is>
      </c>
      <c r="C1750" s="2" t="n"/>
      <c r="D1750" s="8" t="inlineStr">
        <is>
          <t>ウェブ ストライプ付き SAVOYウォッチケース</t>
        </is>
      </c>
      <c r="E1750" s="8" t="inlineStr">
        <is>
          <t>649581 UVFAT 8358</t>
        </is>
      </c>
      <c r="G1750" s="10" t="inlineStr">
        <is>
          <t>OneSize</t>
        </is>
      </c>
      <c r="H1750" s="17" t="inlineStr">
        <is>
          <t>OneSize</t>
        </is>
      </c>
      <c r="I1750" s="18" t="n">
        <v>500500</v>
      </c>
      <c r="J1750" s="19" t="n">
        <v>500500</v>
      </c>
      <c r="K1750" s="20" t="n">
        <v>5</v>
      </c>
      <c r="L1750" s="4" t="inlineStr">
        <is>
          <t>https://www.gucci.com/jp/ja/pr/women/travel-bags-for-women/accessories-for-women/gucci-savoy-watch-case-with-web-p-649581UVFAT8358</t>
        </is>
      </c>
      <c r="M1750" s="5">
        <f t="array" ref="M1750">_xlfn.IFS(J1750="NOTFOUND",I1750,J1750&gt;=I1750,J1750)</f>
        <v/>
      </c>
    </row>
    <row r="1751" ht="18" customHeight="1" s="16">
      <c r="A1751" s="5" t="n">
        <v>1750</v>
      </c>
      <c r="B1751" s="8" t="inlineStr">
        <is>
          <t>GU-4002</t>
        </is>
      </c>
      <c r="C1751" s="2" t="n"/>
      <c r="D1751" s="8" t="inlineStr">
        <is>
          <t>ジャッキー 1961カードケース ウォレット 財布</t>
        </is>
      </c>
      <c r="E1751" s="8" t="inlineStr">
        <is>
          <t>645536 AABXM 1523</t>
        </is>
      </c>
      <c r="G1751" s="10" t="inlineStr">
        <is>
          <t>OneSize</t>
        </is>
      </c>
      <c r="H1751" s="17" t="inlineStr">
        <is>
          <t>OneSize</t>
        </is>
      </c>
      <c r="I1751" s="18" t="n">
        <v>117700</v>
      </c>
      <c r="J1751" s="19" t="n">
        <v>117700</v>
      </c>
      <c r="K1751" s="20" t="n">
        <v>5</v>
      </c>
      <c r="L1751" s="4" t="inlineStr">
        <is>
          <t>https://www.gucci.com/jp/ja/pr/women/small-leather-goods-for-women/folded-wallets-for-women/jackie-1961-card-case-wallet-p-645536AABXM1523</t>
        </is>
      </c>
      <c r="M1751" s="5">
        <f t="array" ref="M1751">_xlfn.IFS(J1751="NOTFOUND",I1751,J1751&gt;=I1751,J1751)</f>
        <v/>
      </c>
    </row>
    <row r="1752" ht="18" customHeight="1" s="16">
      <c r="A1752" s="5" t="n">
        <v>1751</v>
      </c>
      <c r="B1752" s="8" t="inlineStr">
        <is>
          <t>GU-4003</t>
        </is>
      </c>
      <c r="C1752" s="2" t="n"/>
      <c r="D1752" s="8" t="inlineStr">
        <is>
          <t>ジャッキー 1961カードケース ウォレット 財布</t>
        </is>
      </c>
      <c r="E1752" s="8" t="inlineStr">
        <is>
          <t>645536 AABXM 6207</t>
        </is>
      </c>
      <c r="G1752" s="10" t="inlineStr">
        <is>
          <t>OneSize</t>
        </is>
      </c>
      <c r="H1752" s="17" t="inlineStr">
        <is>
          <t>OneSize</t>
        </is>
      </c>
      <c r="I1752" s="18" t="n">
        <v>117700</v>
      </c>
      <c r="J1752" s="19" t="n">
        <v>117700</v>
      </c>
      <c r="K1752" s="20" t="n">
        <v>5</v>
      </c>
      <c r="L1752" s="4" t="inlineStr">
        <is>
          <t>https://www.gucci.com/jp/ja/pr/women/small-leather-goods-for-women/folded-wallets-for-women/jackie-1961-card-case-wallet-p-645536AABXM6207</t>
        </is>
      </c>
      <c r="M1752" s="5">
        <f t="array" ref="M1752">_xlfn.IFS(J1752="NOTFOUND",I1752,J1752&gt;=I1752,J1752)</f>
        <v/>
      </c>
    </row>
    <row r="1753" ht="18" customHeight="1" s="16">
      <c r="A1753" s="5" t="n">
        <v>1752</v>
      </c>
      <c r="B1753" s="8" t="inlineStr">
        <is>
          <t>GU-4004</t>
        </is>
      </c>
      <c r="C1753" s="2" t="n"/>
      <c r="D1753" s="8" t="inlineStr">
        <is>
          <t>ジャッキー 1961カードケース ウォレット 財布</t>
        </is>
      </c>
      <c r="E1753" s="8" t="inlineStr">
        <is>
          <t>645536 AABXM 1000</t>
        </is>
      </c>
      <c r="G1753" s="10" t="inlineStr">
        <is>
          <t>OneSize</t>
        </is>
      </c>
      <c r="H1753" s="17" t="inlineStr">
        <is>
          <t>OneSize</t>
        </is>
      </c>
      <c r="I1753" s="18" t="n">
        <v>117700</v>
      </c>
      <c r="J1753" s="19" t="n">
        <v>117700</v>
      </c>
      <c r="K1753" s="20" t="n">
        <v>5</v>
      </c>
      <c r="L1753" s="4" t="inlineStr">
        <is>
          <t>https://www.gucci.com/jp/ja/pr/women/small-leather-goods-for-women/folded-wallets-for-women/jackie-1961-card-case-wallet-p-645536AABXM1000</t>
        </is>
      </c>
      <c r="M1753" s="5">
        <f t="array" ref="M1753">_xlfn.IFS(J1753="NOTFOUND",I1753,J1753&gt;=I1753,J1753)</f>
        <v/>
      </c>
    </row>
    <row r="1754" ht="18" customHeight="1" s="16">
      <c r="A1754" s="5" t="n">
        <v>1753</v>
      </c>
      <c r="B1754" s="8" t="inlineStr">
        <is>
          <t>GU-4005</t>
        </is>
      </c>
      <c r="C1754" s="2" t="n"/>
      <c r="D1754" s="8" t="inlineStr">
        <is>
          <t>ジャッキー 1961カードケース ウォレット 財布</t>
        </is>
      </c>
      <c r="E1754" s="8" t="inlineStr">
        <is>
          <t>645536 HUHHG 8565</t>
        </is>
      </c>
      <c r="G1754" s="10" t="inlineStr">
        <is>
          <t>OneSize</t>
        </is>
      </c>
      <c r="H1754" s="17" t="inlineStr">
        <is>
          <t>OneSize</t>
        </is>
      </c>
      <c r="I1754" s="18" t="n">
        <v>82500</v>
      </c>
      <c r="J1754" s="19" t="n">
        <v>82500</v>
      </c>
      <c r="K1754" s="20" t="n">
        <v>5</v>
      </c>
      <c r="L1754" s="4" t="inlineStr">
        <is>
          <t>https://www.gucci.com/jp/ja/pr/women/small-leather-goods-for-women/folded-wallets-for-women/jackie-1961-card-case-wallet-p-645536HUHHG8565</t>
        </is>
      </c>
      <c r="M1754" s="5">
        <f t="array" ref="M1754">_xlfn.IFS(J1754="NOTFOUND",I1754,J1754&gt;=I1754,J1754)</f>
        <v/>
      </c>
    </row>
    <row r="1755" ht="18" customHeight="1" s="16">
      <c r="A1755" s="5" t="n">
        <v>1754</v>
      </c>
      <c r="B1755" s="8" t="inlineStr">
        <is>
          <t>GU-4006</t>
        </is>
      </c>
      <c r="C1755" s="2" t="n"/>
      <c r="D1755" s="8" t="inlineStr">
        <is>
          <t>ホースビット 1955ミニバッグ</t>
        </is>
      </c>
      <c r="E1755" s="8" t="inlineStr">
        <is>
          <t>625615 92TCG 8563</t>
        </is>
      </c>
      <c r="G1755" s="10" t="inlineStr">
        <is>
          <t>OneSize</t>
        </is>
      </c>
      <c r="H1755" s="17" t="inlineStr">
        <is>
          <t>OneSize</t>
        </is>
      </c>
      <c r="I1755" s="18" t="n">
        <v>171600</v>
      </c>
      <c r="J1755" s="19" t="n">
        <v>171600</v>
      </c>
      <c r="K1755" s="20" t="n">
        <v>5</v>
      </c>
      <c r="L1755" s="4" t="inlineStr">
        <is>
          <t>https://www.gucci.com/jp/ja/pr/women/handbags/mini-bags-for-women/gucci-horsebit-1955-mini-bag-p-62561592TCG8563</t>
        </is>
      </c>
      <c r="M1755" s="5">
        <f t="array" ref="M1755">_xlfn.IFS(J1755="NOTFOUND",I1755,J1755&gt;=I1755,J1755)</f>
        <v/>
      </c>
    </row>
    <row r="1756" ht="18" customHeight="1" s="16">
      <c r="A1756" s="5" t="n">
        <v>1755</v>
      </c>
      <c r="B1756" s="8" t="inlineStr">
        <is>
          <t>GU-4007</t>
        </is>
      </c>
      <c r="C1756" s="2" t="n"/>
      <c r="D1756" s="8" t="inlineStr">
        <is>
          <t>ホースビット 1955チェーン付き ウォレット 財布</t>
        </is>
      </c>
      <c r="E1756" s="8" t="inlineStr">
        <is>
          <t>621892 92TCG 8563</t>
        </is>
      </c>
      <c r="G1756" s="10" t="inlineStr">
        <is>
          <t>OneSize</t>
        </is>
      </c>
      <c r="H1756" s="17" t="inlineStr">
        <is>
          <t>OneSize</t>
        </is>
      </c>
      <c r="I1756" s="18" t="n">
        <v>150700</v>
      </c>
      <c r="J1756" s="19" t="n">
        <v>150700</v>
      </c>
      <c r="K1756" s="20" t="n">
        <v>5</v>
      </c>
      <c r="L1756" s="4" t="inlineStr">
        <is>
          <t>https://www.gucci.com/jp/ja/pr/women/small-leather-goods-for-women/continental-wallets-for-women/gucci-horsebit-1955-wallet-on-chain-p-62189292TCG8563</t>
        </is>
      </c>
      <c r="M1756" s="5">
        <f t="array" ref="M1756">_xlfn.IFS(J1756="NOTFOUND",I1756,J1756&gt;=I1756,J1756)</f>
        <v/>
      </c>
    </row>
    <row r="1757" ht="18" customHeight="1" s="16">
      <c r="A1757" s="5" t="n">
        <v>1756</v>
      </c>
      <c r="B1757" s="8" t="inlineStr">
        <is>
          <t>GU-4008</t>
        </is>
      </c>
      <c r="C1757" s="2" t="n"/>
      <c r="D1757" s="8" t="inlineStr">
        <is>
          <t>ホースビット 1955カードケース ウォレット 財布</t>
        </is>
      </c>
      <c r="E1757" s="8" t="inlineStr">
        <is>
          <t>621887 0YK0G 1000</t>
        </is>
      </c>
      <c r="G1757" s="10" t="inlineStr">
        <is>
          <t>OneSize</t>
        </is>
      </c>
      <c r="H1757" s="17" t="inlineStr">
        <is>
          <t>OneSize</t>
        </is>
      </c>
      <c r="I1757" s="18" t="n">
        <v>72600</v>
      </c>
      <c r="J1757" s="19" t="n">
        <v>72600</v>
      </c>
      <c r="K1757" s="20" t="n">
        <v>5</v>
      </c>
      <c r="L1757" s="4" t="inlineStr">
        <is>
          <t>https://www.gucci.com/jp/ja/pr/women/small-leather-goods-for-women/folded-wallets-for-women/gucci-horsebit-1955-card-case-wallet-p-6218870YK0G1000</t>
        </is>
      </c>
      <c r="M1757" s="5">
        <f t="array" ref="M1757">_xlfn.IFS(J1757="NOTFOUND",I1757,J1757&gt;=I1757,J1757)</f>
        <v/>
      </c>
    </row>
    <row r="1758" ht="18" customHeight="1" s="16">
      <c r="A1758" s="5" t="n">
        <v>1757</v>
      </c>
      <c r="B1758" s="8" t="inlineStr">
        <is>
          <t>GU-4009</t>
        </is>
      </c>
      <c r="C1758" s="2" t="n"/>
      <c r="D1758" s="8" t="inlineStr">
        <is>
          <t>ホースビット 1955カードケース ウォレット 財布</t>
        </is>
      </c>
      <c r="E1758" s="8" t="inlineStr">
        <is>
          <t>621887 92TCG 8563</t>
        </is>
      </c>
      <c r="G1758" s="10" t="inlineStr">
        <is>
          <t>OneSize</t>
        </is>
      </c>
      <c r="H1758" s="17" t="inlineStr">
        <is>
          <t>OneSize</t>
        </is>
      </c>
      <c r="I1758" s="18" t="n">
        <v>72600</v>
      </c>
      <c r="J1758" s="19" t="n">
        <v>72600</v>
      </c>
      <c r="K1758" s="20" t="n">
        <v>5</v>
      </c>
      <c r="L1758" s="4" t="inlineStr">
        <is>
          <t>https://www.gucci.com/jp/ja/pr/women/small-leather-goods-for-women/folded-wallets-for-women/gucci-horsebit-1955-card-case-wallet-p-62188792TCG8563</t>
        </is>
      </c>
      <c r="M1758" s="5">
        <f t="array" ref="M1758">_xlfn.IFS(J1758="NOTFOUND",I1758,J1758&gt;=I1758,J1758)</f>
        <v/>
      </c>
    </row>
    <row r="1759" ht="18" customHeight="1" s="16">
      <c r="A1759" s="5" t="n">
        <v>1758</v>
      </c>
      <c r="B1759" s="8" t="inlineStr">
        <is>
          <t>GU-4010</t>
        </is>
      </c>
      <c r="C1759" s="2" t="n"/>
      <c r="D1759" s="8" t="inlineStr">
        <is>
          <t>ホースビット 1955カードケース ウォレット 財布</t>
        </is>
      </c>
      <c r="E1759" s="8" t="inlineStr">
        <is>
          <t>621887 92TCG 9761</t>
        </is>
      </c>
      <c r="G1759" s="10" t="inlineStr">
        <is>
          <t>OneSize</t>
        </is>
      </c>
      <c r="H1759" s="17" t="inlineStr">
        <is>
          <t>OneSize</t>
        </is>
      </c>
      <c r="I1759" s="18" t="n">
        <v>72600</v>
      </c>
      <c r="J1759" s="19" t="n">
        <v>72600</v>
      </c>
      <c r="K1759" s="20" t="n">
        <v>5</v>
      </c>
      <c r="L1759" s="4" t="inlineStr">
        <is>
          <t>https://www.gucci.com/jp/ja/pr/women/small-leather-goods-for-women/folded-wallets-for-women/gucci-horsebit-1955-card-case-wallet-p-62188792TCG9761</t>
        </is>
      </c>
      <c r="M1759" s="5">
        <f t="array" ref="M1759">_xlfn.IFS(J1759="NOTFOUND",I1759,J1759&gt;=I1759,J1759)</f>
        <v/>
      </c>
    </row>
    <row r="1760" ht="18" customHeight="1" s="16">
      <c r="A1760" s="5" t="n">
        <v>1759</v>
      </c>
      <c r="B1760" s="8" t="inlineStr">
        <is>
          <t>GU-4011</t>
        </is>
      </c>
      <c r="C1760" s="2" t="n"/>
      <c r="D1760" s="8" t="inlineStr">
        <is>
          <t>ホースビット 1955カードケース ウォレット 財布</t>
        </is>
      </c>
      <c r="E1760" s="8" t="inlineStr">
        <is>
          <t>621887 FAD6L 9758</t>
        </is>
      </c>
      <c r="G1760" s="10" t="inlineStr">
        <is>
          <t>OneSize</t>
        </is>
      </c>
      <c r="H1760" s="17" t="inlineStr">
        <is>
          <t>OneSize</t>
        </is>
      </c>
      <c r="I1760" s="18" t="n">
        <v>72600</v>
      </c>
      <c r="J1760" s="19" t="n">
        <v>72600</v>
      </c>
      <c r="K1760" s="20" t="n">
        <v>5</v>
      </c>
      <c r="L1760" s="4" t="inlineStr">
        <is>
          <t>https://www.gucci.com/jp/ja/pr/women/small-leather-goods-for-women/folded-wallets-for-women/gucci-horsebit-1955-card-case-wallet-p-621887FAD6L9758</t>
        </is>
      </c>
      <c r="M1760" s="5">
        <f t="array" ref="M1760">_xlfn.IFS(J1760="NOTFOUND",I1760,J1760&gt;=I1760,J1760)</f>
        <v/>
      </c>
    </row>
    <row r="1761" ht="18" customHeight="1" s="16">
      <c r="A1761" s="5" t="n">
        <v>1760</v>
      </c>
      <c r="B1761" s="8" t="inlineStr">
        <is>
          <t>GU-4012</t>
        </is>
      </c>
      <c r="C1761" s="2" t="n"/>
      <c r="D1761" s="8" t="inlineStr">
        <is>
          <t>ホースビット 1955カードケース ウォレット 財布</t>
        </is>
      </c>
      <c r="E1761" s="8" t="inlineStr">
        <is>
          <t>621887 FAD6L 9741</t>
        </is>
      </c>
      <c r="G1761" s="10" t="inlineStr">
        <is>
          <t>OneSize</t>
        </is>
      </c>
      <c r="H1761" s="17" t="inlineStr">
        <is>
          <t>OneSize</t>
        </is>
      </c>
      <c r="I1761" s="18" t="n">
        <v>72600</v>
      </c>
      <c r="J1761" s="19" t="n">
        <v>72600</v>
      </c>
      <c r="K1761" s="20" t="n">
        <v>5</v>
      </c>
      <c r="L1761" s="4" t="inlineStr">
        <is>
          <t>https://www.gucci.com/jp/ja/pr/women/small-leather-goods-for-women/folded-wallets-for-women/gucci-horsebit-1955-card-case-wallet-p-621887FAD6L9741</t>
        </is>
      </c>
      <c r="M1761" s="5">
        <f t="array" ref="M1761">_xlfn.IFS(J1761="NOTFOUND",I1761,J1761&gt;=I1761,J1761)</f>
        <v/>
      </c>
    </row>
    <row r="1762" ht="18" customHeight="1" s="16">
      <c r="A1762" s="5" t="n">
        <v>1761</v>
      </c>
      <c r="B1762" s="8" t="inlineStr">
        <is>
          <t>GU-4013</t>
        </is>
      </c>
      <c r="C1762" s="2" t="n"/>
      <c r="D1762" s="8" t="inlineStr">
        <is>
          <t>ダブルG ウォレット 財布イエロー インテリア</t>
        </is>
      </c>
      <c r="E1762" s="8" t="inlineStr">
        <is>
          <t>598587 CAO2G 5341</t>
        </is>
      </c>
      <c r="G1762" s="10" t="inlineStr">
        <is>
          <t>OneSize</t>
        </is>
      </c>
      <c r="H1762" s="17" t="inlineStr">
        <is>
          <t>OneSize</t>
        </is>
      </c>
      <c r="I1762" s="18" t="n">
        <v>82500</v>
      </c>
      <c r="J1762" s="19" t="n">
        <v>82500</v>
      </c>
      <c r="K1762" s="20" t="n">
        <v>5</v>
      </c>
      <c r="L1762" s="4" t="inlineStr">
        <is>
          <t>https://www.gucci.com/jp/ja/pr/women/small-leather-goods-for-women/folded-wallets-for-women/gg-marmont-yellow-interior-wallet-p-598587CAO2G5341</t>
        </is>
      </c>
      <c r="M1762" s="5">
        <f t="array" ref="M1762">_xlfn.IFS(J1762="NOTFOUND",I1762,J1762&gt;=I1762,J1762)</f>
        <v/>
      </c>
    </row>
    <row r="1763" ht="18" customHeight="1" s="16">
      <c r="A1763" s="5" t="n">
        <v>1762</v>
      </c>
      <c r="B1763" s="8" t="inlineStr">
        <is>
          <t>GU-4014</t>
        </is>
      </c>
      <c r="C1763" s="2" t="n"/>
      <c r="D1763" s="8" t="inlineStr">
        <is>
          <t>ダブルG ミディアム ウォレット 財布</t>
        </is>
      </c>
      <c r="E1763" s="8" t="inlineStr">
        <is>
          <t>598587 CAO2G 3146</t>
        </is>
      </c>
      <c r="G1763" s="10" t="inlineStr">
        <is>
          <t>OneSize</t>
        </is>
      </c>
      <c r="H1763" s="17" t="inlineStr">
        <is>
          <t>OneSize</t>
        </is>
      </c>
      <c r="I1763" s="18" t="n">
        <v>82500</v>
      </c>
      <c r="J1763" s="19" t="n">
        <v>82500</v>
      </c>
      <c r="K1763" s="20" t="n">
        <v>5</v>
      </c>
      <c r="L1763" s="4" t="inlineStr">
        <is>
          <t>https://www.gucci.com/jp/ja/pr/women/small-leather-goods-for-women/folded-wallets-for-women/gg-marmont-medium-wallet-p-598587CAO2G3146</t>
        </is>
      </c>
      <c r="M1763" s="5">
        <f t="array" ref="M1763">_xlfn.IFS(J1763="NOTFOUND",I1763,J1763&gt;=I1763,J1763)</f>
        <v/>
      </c>
    </row>
    <row r="1764" ht="18" customHeight="1" s="16">
      <c r="A1764" s="5" t="n">
        <v>1763</v>
      </c>
      <c r="B1764" s="8" t="inlineStr">
        <is>
          <t>GU-4015</t>
        </is>
      </c>
      <c r="C1764" s="2" t="n"/>
      <c r="D1764" s="8" t="inlineStr">
        <is>
          <t>GGマーモントチェーンウォレット 財布</t>
        </is>
      </c>
      <c r="E1764" s="8" t="inlineStr">
        <is>
          <t>474575 DTD1T 1000</t>
        </is>
      </c>
      <c r="G1764" s="10" t="inlineStr">
        <is>
          <t>OneSize</t>
        </is>
      </c>
      <c r="H1764" s="17" t="inlineStr">
        <is>
          <t>OneSize</t>
        </is>
      </c>
      <c r="I1764" s="18" t="n">
        <v>258500</v>
      </c>
      <c r="J1764" s="19" t="n">
        <v>258500</v>
      </c>
      <c r="K1764" s="20" t="n">
        <v>5</v>
      </c>
      <c r="L1764" s="4" t="inlineStr">
        <is>
          <t>https://www.gucci.com/jp/ja/pr/women/small-leather-goods-for-women/strap-chain-wallets/gg-marmont-wallet-on-chain-p-474575DTD1T1000</t>
        </is>
      </c>
      <c r="M1764" s="5">
        <f t="array" ref="M1764">_xlfn.IFS(J1764="NOTFOUND",I1764,J1764&gt;=I1764,J1764)</f>
        <v/>
      </c>
    </row>
    <row r="1765" ht="18" customHeight="1" s="16">
      <c r="A1765" s="5" t="n">
        <v>1764</v>
      </c>
      <c r="B1765" s="8" t="inlineStr">
        <is>
          <t>GU-4016</t>
        </is>
      </c>
      <c r="C1765" s="2" t="n"/>
      <c r="D1765" s="8" t="inlineStr">
        <is>
          <t>ダブルG カードケース ウォレット 財布</t>
        </is>
      </c>
      <c r="E1765" s="8" t="inlineStr">
        <is>
          <t>466492 DTD1T 5729</t>
        </is>
      </c>
      <c r="G1765" s="10" t="inlineStr">
        <is>
          <t>OneSize</t>
        </is>
      </c>
      <c r="H1765" s="17" t="inlineStr">
        <is>
          <t>OneSize</t>
        </is>
      </c>
      <c r="I1765" s="18" t="n">
        <v>72600</v>
      </c>
      <c r="J1765" s="19" t="n">
        <v>72600</v>
      </c>
      <c r="K1765" s="20" t="n">
        <v>5</v>
      </c>
      <c r="L1765" s="4" t="inlineStr">
        <is>
          <t>https://www.gucci.com/jp/ja/pr/women/small-leather-goods-for-women/folded-wallets-for-women/gg-marmont-card-case-wallet-p-466492DTD1T5729</t>
        </is>
      </c>
      <c r="M1765" s="5">
        <f t="array" ref="M1765">_xlfn.IFS(J1765="NOTFOUND",I1765,J1765&gt;=I1765,J1765)</f>
        <v/>
      </c>
    </row>
    <row r="1766" ht="18" customHeight="1" s="16">
      <c r="A1766" s="5" t="n">
        <v>1765</v>
      </c>
      <c r="B1766" s="8" t="inlineStr">
        <is>
          <t>GU-4017</t>
        </is>
      </c>
      <c r="C1766" s="2" t="n"/>
      <c r="D1766" s="8" t="inlineStr">
        <is>
          <t>ダブルG カードケース ウォレット 財布</t>
        </is>
      </c>
      <c r="E1766" s="8" t="inlineStr">
        <is>
          <t>466492 DTD1T 1000</t>
        </is>
      </c>
      <c r="G1766" s="11" t="inlineStr">
        <is>
          <t>SOLD</t>
        </is>
      </c>
      <c r="H1766" s="22" t="inlineStr">
        <is>
          <t>SOLD</t>
        </is>
      </c>
      <c r="I1766" s="18" t="n">
        <v>72600</v>
      </c>
      <c r="J1766" s="23" t="inlineStr">
        <is>
          <t>NOTFOUND</t>
        </is>
      </c>
      <c r="K1766" s="20" t="n">
        <v>0</v>
      </c>
      <c r="L1766" s="4" t="inlineStr">
        <is>
          <t>https://www.gucci.com/jp/ja/pr/women/small-leather-goods-for-women/folded-wallets-for-women/gg-marmont-card-case-wallet-p-466492DTD1T1000</t>
        </is>
      </c>
      <c r="M1766" s="5">
        <f t="array" ref="M1766">_xlfn.IFS(J1766="NOTFOUND",I1766,J1766&gt;=I1766,J1766)</f>
        <v/>
      </c>
    </row>
    <row r="1767" ht="18" customHeight="1" s="16">
      <c r="A1767" s="5" t="n">
        <v>1766</v>
      </c>
      <c r="B1767" s="8" t="inlineStr">
        <is>
          <t>GU-4018</t>
        </is>
      </c>
      <c r="C1767" s="2" t="n"/>
      <c r="D1767" s="8" t="inlineStr">
        <is>
          <t>ダブルG カードケース ウォレット 財布</t>
        </is>
      </c>
      <c r="E1767" s="8" t="inlineStr">
        <is>
          <t>466492 DTDHD 6705</t>
        </is>
      </c>
      <c r="G1767" s="10" t="inlineStr">
        <is>
          <t>OneSize</t>
        </is>
      </c>
      <c r="H1767" s="17" t="inlineStr">
        <is>
          <t>OneSize</t>
        </is>
      </c>
      <c r="I1767" s="18" t="n">
        <v>72600</v>
      </c>
      <c r="J1767" s="19" t="n">
        <v>72600</v>
      </c>
      <c r="K1767" s="20" t="n">
        <v>5</v>
      </c>
      <c r="L1767" s="4" t="inlineStr">
        <is>
          <t>https://www.gucci.com/jp/ja/pr/women/small-leather-goods-for-women/folded-wallets-for-women/gg-marmont-mini-wallet-p-466492DTDHD6705</t>
        </is>
      </c>
      <c r="M1767" s="5">
        <f t="array" ref="M1767">_xlfn.IFS(J1767="NOTFOUND",I1767,J1767&gt;=I1767,J1767)</f>
        <v/>
      </c>
    </row>
    <row r="1768" ht="18" customHeight="1" s="16">
      <c r="A1768" s="5" t="n">
        <v>1767</v>
      </c>
      <c r="B1768" s="8" t="inlineStr">
        <is>
          <t>GU-4019</t>
        </is>
      </c>
      <c r="C1768" s="2" t="n"/>
      <c r="D1768" s="8" t="inlineStr">
        <is>
          <t>ダブルG カードケース ウォレット 財布</t>
        </is>
      </c>
      <c r="E1768" s="8" t="inlineStr">
        <is>
          <t>466492 DTDHD 1523</t>
        </is>
      </c>
      <c r="G1768" s="10" t="inlineStr">
        <is>
          <t>OneSize</t>
        </is>
      </c>
      <c r="H1768" s="17" t="inlineStr">
        <is>
          <t>OneSize</t>
        </is>
      </c>
      <c r="I1768" s="18" t="n">
        <v>72600</v>
      </c>
      <c r="J1768" s="19" t="n">
        <v>72600</v>
      </c>
      <c r="K1768" s="20" t="n">
        <v>5</v>
      </c>
      <c r="L1768" s="4" t="inlineStr">
        <is>
          <t>https://www.gucci.com/jp/ja/pr/women/small-leather-goods-for-women/folded-wallets-for-women/gg-marmont-mini-wallet-p-466492DTDHD1523</t>
        </is>
      </c>
      <c r="M1768" s="5">
        <f t="array" ref="M1768">_xlfn.IFS(J1768="NOTFOUND",I1768,J1768&gt;=I1768,J1768)</f>
        <v/>
      </c>
    </row>
    <row r="1769" ht="18" customHeight="1" s="16">
      <c r="A1769" s="5" t="n">
        <v>1768</v>
      </c>
      <c r="B1769" s="8" t="inlineStr">
        <is>
          <t>GU-4020</t>
        </is>
      </c>
      <c r="C1769" s="2" t="n"/>
      <c r="D1769" s="8" t="inlineStr">
        <is>
          <t>ダブルG カードケース ウォレット 財布</t>
        </is>
      </c>
      <c r="E1769" s="8" t="inlineStr">
        <is>
          <t>466492 DTDHT 1712</t>
        </is>
      </c>
      <c r="G1769" s="11" t="inlineStr">
        <is>
          <t>SOLD</t>
        </is>
      </c>
      <c r="H1769" s="22" t="inlineStr">
        <is>
          <t>SOLD</t>
        </is>
      </c>
      <c r="I1769" s="18" t="n">
        <v>72600</v>
      </c>
      <c r="J1769" s="23" t="inlineStr">
        <is>
          <t>NOTFOUND</t>
        </is>
      </c>
      <c r="K1769" s="20" t="n">
        <v>0</v>
      </c>
      <c r="L1769" s="4" t="inlineStr">
        <is>
          <t>https://www.gucci.com/jp/ja/pr/women/small-leather-goods-for-women/folded-wallets-for-women/gg-marmont-card-case-wallet-p-466492DTDHT1712</t>
        </is>
      </c>
      <c r="M1769" s="5">
        <f t="array" ref="M1769">_xlfn.IFS(J1769="NOTFOUND",I1769,J1769&gt;=I1769,J1769)</f>
        <v/>
      </c>
    </row>
    <row r="1770" ht="18" customHeight="1" s="16">
      <c r="A1770" s="5" t="n">
        <v>1769</v>
      </c>
      <c r="B1770" s="8" t="inlineStr">
        <is>
          <t>GU-4021</t>
        </is>
      </c>
      <c r="C1770" s="2" t="n"/>
      <c r="D1770" s="8" t="inlineStr">
        <is>
          <t>ダブルG ジップアラウンドウォレット財布</t>
        </is>
      </c>
      <c r="E1770" s="8" t="inlineStr">
        <is>
          <t>456117 CAO2G 3146</t>
        </is>
      </c>
      <c r="G1770" s="11" t="inlineStr">
        <is>
          <t>SOLD</t>
        </is>
      </c>
      <c r="H1770" s="22" t="inlineStr">
        <is>
          <t>SOLD</t>
        </is>
      </c>
      <c r="I1770" s="18" t="n">
        <v>93500</v>
      </c>
      <c r="J1770" s="19" t="n">
        <v>93500</v>
      </c>
      <c r="K1770" s="20" t="n">
        <v>0</v>
      </c>
      <c r="L1770" s="4" t="inlineStr">
        <is>
          <t>https://www.gucci.com/jp/ja/pr/women/small-leather-goods-for-women/zip-around-wallets-for-women/gg-marmont-zip-around-wallet-p-456117CAO2G3146</t>
        </is>
      </c>
      <c r="M1770" s="5">
        <f t="array" ref="M1770">_xlfn.IFS(J1770="NOTFOUND",I1770,J1770&gt;=I1770,J1770)</f>
        <v/>
      </c>
    </row>
    <row r="1771" ht="18" customHeight="1" s="16">
      <c r="A1771" s="5" t="n">
        <v>1770</v>
      </c>
      <c r="B1771" s="8" t="inlineStr">
        <is>
          <t>GU-4022</t>
        </is>
      </c>
      <c r="C1771" s="2" t="n"/>
      <c r="D1771" s="8" t="inlineStr">
        <is>
          <t>ダブルG コンチネンタルウォレット 財布</t>
        </is>
      </c>
      <c r="E1771" s="8" t="inlineStr">
        <is>
          <t>443436 DTD1T 1000</t>
        </is>
      </c>
      <c r="G1771" s="11" t="inlineStr">
        <is>
          <t>SOLD</t>
        </is>
      </c>
      <c r="H1771" s="22" t="inlineStr">
        <is>
          <t>SOLD</t>
        </is>
      </c>
      <c r="I1771" s="18" t="n">
        <v>119900</v>
      </c>
      <c r="J1771" s="23" t="inlineStr">
        <is>
          <t>NOTFOUND</t>
        </is>
      </c>
      <c r="K1771" s="20" t="n">
        <v>0</v>
      </c>
      <c r="L1771" s="4" t="inlineStr">
        <is>
          <t>https://www.gucci.com/jp/ja/pr/women/small-leather-goods-for-women/continental-wallets-for-women/gg-marmont-continental-wallet-p-443436DTD1T1000</t>
        </is>
      </c>
      <c r="M1771" s="5">
        <f t="array" ref="M1771">_xlfn.IFS(J1771="NOTFOUND",I1771,J1771&gt;=I1771,J1771)</f>
        <v/>
      </c>
    </row>
    <row r="1772" ht="18" customHeight="1" s="16">
      <c r="A1772" s="5" t="n">
        <v>1771</v>
      </c>
      <c r="B1772" s="8" t="inlineStr">
        <is>
          <t>GU-4023</t>
        </is>
      </c>
      <c r="C1772" s="2" t="n"/>
      <c r="D1772" s="8" t="inlineStr">
        <is>
          <t>ダブルG カードケース</t>
        </is>
      </c>
      <c r="E1772" s="8" t="inlineStr">
        <is>
          <t>443127 DTD1T 1000</t>
        </is>
      </c>
      <c r="G1772" s="11" t="inlineStr">
        <is>
          <t>SOLD</t>
        </is>
      </c>
      <c r="H1772" s="22" t="inlineStr">
        <is>
          <t>SOLD</t>
        </is>
      </c>
      <c r="I1772" s="18" t="n">
        <v>44000</v>
      </c>
      <c r="J1772" s="23" t="inlineStr">
        <is>
          <t>NOTFOUND</t>
        </is>
      </c>
      <c r="K1772" s="20" t="n">
        <v>0</v>
      </c>
      <c r="L1772" s="4" t="inlineStr">
        <is>
          <t>https://www.gucci.com/jp/ja/pr/women/small-leather-goods-for-women/card-coin-cases-for-women/gg-marmont-card-case-p-443127DTD1T1000</t>
        </is>
      </c>
      <c r="M1772" s="5">
        <f t="array" ref="M1772">_xlfn.IFS(J1772="NOTFOUND",I1772,J1772&gt;=I1772,J1772)</f>
        <v/>
      </c>
    </row>
    <row r="1773" ht="18" customHeight="1" s="16">
      <c r="A1773" s="5" t="n">
        <v>1772</v>
      </c>
      <c r="B1773" s="8" t="inlineStr">
        <is>
          <t>GU-4024</t>
        </is>
      </c>
      <c r="C1773" s="2" t="n"/>
      <c r="D1773" s="8" t="inlineStr">
        <is>
          <t>ダブルG ジップアラウンドウォレット財布</t>
        </is>
      </c>
      <c r="E1773" s="8" t="inlineStr">
        <is>
          <t>443123 DTD1T 1000</t>
        </is>
      </c>
      <c r="G1773" s="11" t="inlineStr">
        <is>
          <t>SOLD</t>
        </is>
      </c>
      <c r="H1773" s="22" t="inlineStr">
        <is>
          <t>SOLD</t>
        </is>
      </c>
      <c r="I1773" s="18" t="n">
        <v>110000</v>
      </c>
      <c r="J1773" s="23" t="inlineStr">
        <is>
          <t>NOTFOUND</t>
        </is>
      </c>
      <c r="K1773" s="20" t="n">
        <v>0</v>
      </c>
      <c r="L1773" s="4" t="inlineStr">
        <is>
          <t>https://www.gucci.com/jp/ja/pr/women/small-leather-goods-for-women/zip-around-wallets-for-women/gg-marmont-zip-around-wallet-p-443123DTD1T1000</t>
        </is>
      </c>
      <c r="M1773" s="5">
        <f t="array" ref="M1773">_xlfn.IFS(J1773="NOTFOUND",I1773,J1773&gt;=I1773,J1773)</f>
        <v/>
      </c>
    </row>
    <row r="1774" ht="18" customHeight="1" s="16">
      <c r="A1774" s="5" t="n">
        <v>1773</v>
      </c>
      <c r="B1774" s="8" t="inlineStr">
        <is>
          <t>GU-4025</t>
        </is>
      </c>
      <c r="C1774" s="2" t="n"/>
      <c r="D1774" s="8" t="inlineStr">
        <is>
          <t>ディオニュソスチェーンウォレット財布</t>
        </is>
      </c>
      <c r="E1774" s="8" t="inlineStr">
        <is>
          <t>401231 CAOGN 8176</t>
        </is>
      </c>
      <c r="G1774" s="11" t="inlineStr">
        <is>
          <t>SOLD</t>
        </is>
      </c>
      <c r="H1774" s="22" t="inlineStr">
        <is>
          <t>SOLD</t>
        </is>
      </c>
      <c r="I1774" s="18" t="n">
        <v>258500</v>
      </c>
      <c r="J1774" s="23" t="inlineStr">
        <is>
          <t>NOTFOUND</t>
        </is>
      </c>
      <c r="K1774" s="20" t="n">
        <v>0</v>
      </c>
      <c r="L1774" s="4" t="inlineStr">
        <is>
          <t>https://www.gucci.com/jp/ja/pr/women/small-leather-goods-for-women/strap-chain-wallets/dionysus-wallet-on-chain-p-401231CAOGN8176</t>
        </is>
      </c>
      <c r="M1774" s="5">
        <f t="array" ref="M1774">_xlfn.IFS(J1774="NOTFOUND",I1774,J1774&gt;=I1774,J1774)</f>
        <v/>
      </c>
    </row>
    <row r="1775" ht="18" customHeight="1" s="16">
      <c r="A1775" s="5" t="n">
        <v>1774</v>
      </c>
      <c r="B1775" s="8" t="inlineStr">
        <is>
          <t>GU-4026</t>
        </is>
      </c>
      <c r="C1775" s="2" t="n"/>
      <c r="D1775" s="8" t="inlineStr">
        <is>
          <t>ディオニュソスチェーンウォレット財布</t>
        </is>
      </c>
      <c r="E1775" s="8" t="inlineStr">
        <is>
          <t>401231 KHNSN 8642</t>
        </is>
      </c>
      <c r="G1775" s="10" t="inlineStr">
        <is>
          <t>OneSize</t>
        </is>
      </c>
      <c r="H1775" s="17" t="inlineStr">
        <is>
          <t>OneSize</t>
        </is>
      </c>
      <c r="I1775" s="18" t="n">
        <v>236500</v>
      </c>
      <c r="J1775" s="19" t="n">
        <v>236500</v>
      </c>
      <c r="K1775" s="20" t="n">
        <v>5</v>
      </c>
      <c r="L1775" s="4" t="inlineStr">
        <is>
          <t>https://www.gucci.com/jp/ja/pr/women/small-leather-goods-for-women/strap-chain-wallets/dionysus-wallet-on-chain-p-401231KHNSN8642</t>
        </is>
      </c>
      <c r="M1775" s="5">
        <f t="array" ref="M1775">_xlfn.IFS(J1775="NOTFOUND",I1775,J1775&gt;=I1775,J1775)</f>
        <v/>
      </c>
    </row>
    <row r="1776" ht="18" customHeight="1" s="16">
      <c r="A1776" s="5" t="n">
        <v>1775</v>
      </c>
      <c r="B1776" s="8" t="inlineStr">
        <is>
          <t>GU-4027</t>
        </is>
      </c>
      <c r="C1776" s="2" t="n"/>
      <c r="D1776" s="8" t="inlineStr">
        <is>
          <t>G75 スニーカー</t>
        </is>
      </c>
      <c r="E1776" s="8" t="inlineStr">
        <is>
          <t>795430 AAEFI 9110</t>
        </is>
      </c>
      <c r="G1776" s="10" t="inlineStr">
        <is>
          <t>5.5_6_6.5_7_7.5_8_8.5_9_9.5_10</t>
        </is>
      </c>
      <c r="H1776" s="17" t="inlineStr">
        <is>
          <t>5.5_6_6.5_7_7.5_8_8.5_9_9.5_10</t>
        </is>
      </c>
      <c r="I1776" s="18" t="n">
        <v>163900</v>
      </c>
      <c r="J1776" s="19" t="n">
        <v>163900</v>
      </c>
      <c r="K1776" s="20" t="n">
        <v>5</v>
      </c>
      <c r="L1776" s="4" t="inlineStr">
        <is>
          <t>https://www.gucci.com/jp/ja/pr/men/shoes-for-men/sneakers-for-men/mens-g75-sneaker-p-795430AAEFI9110</t>
        </is>
      </c>
      <c r="M1776" s="5">
        <f t="array" ref="M1776">_xlfn.IFS(J1776="NOTFOUND",I1776,J1776&gt;=I1776,J1776)</f>
        <v/>
      </c>
    </row>
    <row r="1777" ht="18" customHeight="1" s="16">
      <c r="A1777" s="5" t="n">
        <v>1776</v>
      </c>
      <c r="B1777" s="8" t="inlineStr">
        <is>
          <t>GU-4028</t>
        </is>
      </c>
      <c r="C1777" s="2" t="n"/>
      <c r="D1777" s="8" t="inlineStr">
        <is>
          <t>G75 スニーカー</t>
        </is>
      </c>
      <c r="E1777" s="8" t="inlineStr">
        <is>
          <t>791742 AADM0 4141</t>
        </is>
      </c>
      <c r="G1777" s="10" t="inlineStr">
        <is>
          <t>5_5.5_6_6.5_7_7.5_8_8.5_9_9.5_10_10.5_11</t>
        </is>
      </c>
      <c r="H1777" s="17" t="inlineStr">
        <is>
          <t>5_5.5_6_6.5_7_7.5_8_8.5_9_9.5_10_10.5_11</t>
        </is>
      </c>
      <c r="I1777" s="18" t="n">
        <v>139700</v>
      </c>
      <c r="J1777" s="19" t="n">
        <v>139700</v>
      </c>
      <c r="K1777" s="20" t="n">
        <v>5</v>
      </c>
      <c r="L1777" s="4" t="inlineStr">
        <is>
          <t>https://www.gucci.com/jp/ja/pr/men/shoes-for-men/sneakers-for-men/mens-g75-sneaker-p-791742AADM04141</t>
        </is>
      </c>
      <c r="M1777" s="5">
        <f t="array" ref="M1777">_xlfn.IFS(J1777="NOTFOUND",I1777,J1777&gt;=I1777,J1777)</f>
        <v/>
      </c>
    </row>
    <row r="1778" ht="18" customHeight="1" s="16">
      <c r="A1778" s="5" t="n">
        <v>1777</v>
      </c>
      <c r="B1778" s="8" t="inlineStr">
        <is>
          <t>GU-4029</t>
        </is>
      </c>
      <c r="C1778" s="2" t="n"/>
      <c r="D1778" s="8" t="inlineStr">
        <is>
          <t>G75 スニーカー</t>
        </is>
      </c>
      <c r="E1778" s="8" t="inlineStr">
        <is>
          <t>791742 AAECN 9548</t>
        </is>
      </c>
      <c r="G1778" s="10" t="inlineStr">
        <is>
          <t>5.5_6_6.5_7_7.5_8_8.5_9_9.5</t>
        </is>
      </c>
      <c r="H1778" s="17" t="inlineStr">
        <is>
          <t>5.5_6_6.5_7_7.5_8_8.5_9_9.5</t>
        </is>
      </c>
      <c r="I1778" s="18" t="n">
        <v>139700</v>
      </c>
      <c r="J1778" s="19" t="n">
        <v>139700</v>
      </c>
      <c r="K1778" s="20" t="n">
        <v>5</v>
      </c>
      <c r="L1778" s="4" t="inlineStr">
        <is>
          <t>https://www.gucci.com/jp/ja/pr/men/shoes-for-men/sneakers-for-men/mens-g75-sneaker-p-791742AAECN9548</t>
        </is>
      </c>
      <c r="M1778" s="5">
        <f t="array" ref="M1778">_xlfn.IFS(J1778="NOTFOUND",I1778,J1778&gt;=I1778,J1778)</f>
        <v/>
      </c>
    </row>
    <row r="1779" ht="18" customHeight="1" s="16">
      <c r="A1779" s="5" t="n">
        <v>1778</v>
      </c>
      <c r="B1779" s="8" t="inlineStr">
        <is>
          <t>GU-4030</t>
        </is>
      </c>
      <c r="C1779" s="2" t="n"/>
      <c r="D1779" s="8" t="inlineStr">
        <is>
          <t>G75 スニーカー</t>
        </is>
      </c>
      <c r="E1779" s="8" t="inlineStr">
        <is>
          <t>840330 AAE80 1066</t>
        </is>
      </c>
      <c r="G1779" s="10" t="inlineStr">
        <is>
          <t>6_6.5_7_7.5_8_8.5_9_9.5_10</t>
        </is>
      </c>
      <c r="H1779" s="17" t="inlineStr">
        <is>
          <t>6_6.5_7_7.5_8_8.5_9_9.5_10</t>
        </is>
      </c>
      <c r="I1779" s="18" t="n">
        <v>139700</v>
      </c>
      <c r="J1779" s="19" t="n">
        <v>139700</v>
      </c>
      <c r="K1779" s="20" t="n">
        <v>5</v>
      </c>
      <c r="L1779" s="4" t="inlineStr">
        <is>
          <t>https://www.gucci.com/jp/ja/pr/men/shoes-for-men/sneakers-for-men/mens-g75-sneaker-p-840330AAE801066</t>
        </is>
      </c>
      <c r="M1779" s="5">
        <f t="array" ref="M1779">_xlfn.IFS(J1779="NOTFOUND",I1779,J1779&gt;=I1779,J1779)</f>
        <v/>
      </c>
    </row>
    <row r="1780" ht="18" customHeight="1" s="16">
      <c r="A1780" s="5" t="n">
        <v>1779</v>
      </c>
      <c r="B1780" s="8" t="inlineStr">
        <is>
          <t>GU-4031</t>
        </is>
      </c>
      <c r="C1780" s="2" t="n"/>
      <c r="D1780" s="8" t="inlineStr">
        <is>
          <t>G75 スニーカー</t>
        </is>
      </c>
      <c r="E1780" s="8" t="inlineStr">
        <is>
          <t>791742 AAEGA 2242</t>
        </is>
      </c>
      <c r="G1780" s="10" t="inlineStr">
        <is>
          <t>5.5_6_6.5_7_7.5_8_8.5_9_9.5_10_10.5_11</t>
        </is>
      </c>
      <c r="H1780" s="17" t="inlineStr">
        <is>
          <t>5.5_6_6.5_7_7.5_8_8.5_9_9.5_10_10.5_11</t>
        </is>
      </c>
      <c r="I1780" s="18" t="n">
        <v>139700</v>
      </c>
      <c r="J1780" s="19" t="n">
        <v>139700</v>
      </c>
      <c r="K1780" s="20" t="n">
        <v>5</v>
      </c>
      <c r="L1780" s="4" t="inlineStr">
        <is>
          <t>https://www.gucci.com/jp/ja/pr/men/shoes-for-men/sneakers-for-men/mens-g75-sneaker-p-791742AAEGA2242</t>
        </is>
      </c>
      <c r="M1780" s="5">
        <f t="array" ref="M1780">_xlfn.IFS(J1780="NOTFOUND",I1780,J1780&gt;=I1780,J1780)</f>
        <v/>
      </c>
    </row>
    <row r="1781" ht="18" customHeight="1" s="16">
      <c r="A1781" s="5" t="n">
        <v>1780</v>
      </c>
      <c r="B1781" s="8" t="inlineStr">
        <is>
          <t>GU-4032</t>
        </is>
      </c>
      <c r="C1781" s="2" t="n"/>
      <c r="D1781" s="8" t="inlineStr">
        <is>
          <t>G75 スニーカー</t>
        </is>
      </c>
      <c r="E1781" s="8" t="inlineStr">
        <is>
          <t>791742 AADM0 9110</t>
        </is>
      </c>
      <c r="G1781" s="10" t="inlineStr">
        <is>
          <t>5_6_6.5_7_7.5_8_8.5_9_9.5_10_10.5_11</t>
        </is>
      </c>
      <c r="H1781" s="17" t="inlineStr">
        <is>
          <t>5_6_6.5_7_7.5_8_8.5_9_9.5_10_10.5_11</t>
        </is>
      </c>
      <c r="I1781" s="18" t="n">
        <v>139700</v>
      </c>
      <c r="J1781" s="19" t="n">
        <v>139700</v>
      </c>
      <c r="K1781" s="20" t="n">
        <v>5</v>
      </c>
      <c r="L1781" s="4" t="inlineStr">
        <is>
          <t>https://www.gucci.com/jp/ja/pr/men/shoes-for-men/sneakers-for-men/mens-g75-sneaker-p-791742AADM09110</t>
        </is>
      </c>
      <c r="M1781" s="5">
        <f t="array" ref="M1781">_xlfn.IFS(J1781="NOTFOUND",I1781,J1781&gt;=I1781,J1781)</f>
        <v/>
      </c>
    </row>
    <row r="1782" ht="18" customHeight="1" s="16">
      <c r="A1782" s="5" t="n">
        <v>1781</v>
      </c>
      <c r="B1782" s="8" t="inlineStr">
        <is>
          <t>GU-4033</t>
        </is>
      </c>
      <c r="C1782" s="2" t="n"/>
      <c r="D1782" s="8" t="inlineStr">
        <is>
          <t>リモーションスニーカー</t>
        </is>
      </c>
      <c r="E1782" s="8" t="inlineStr">
        <is>
          <t>832461 AAEW3 4245</t>
        </is>
      </c>
      <c r="G1782" s="10" t="inlineStr">
        <is>
          <t>5_6_6.5_7_7.5_8_8.5_9_9.5_10_10.5</t>
        </is>
      </c>
      <c r="H1782" s="17" t="inlineStr">
        <is>
          <t>5_6_6.5_7_7.5_8_8.5_9_9.5_10_10.5</t>
        </is>
      </c>
      <c r="I1782" s="18" t="n">
        <v>162800</v>
      </c>
      <c r="J1782" s="19" t="n">
        <v>162800</v>
      </c>
      <c r="K1782" s="20" t="n">
        <v>5</v>
      </c>
      <c r="L1782" s="4" t="inlineStr">
        <is>
          <t>https://www.gucci.com/jp/ja/pr/men/shoes-for-men/sneakers-for-men/mens-gucci-re-motion-sneaker-p-832461AAEW34245</t>
        </is>
      </c>
      <c r="M1782" s="5">
        <f t="array" ref="M1782">_xlfn.IFS(J1782="NOTFOUND",I1782,J1782&gt;=I1782,J1782)</f>
        <v/>
      </c>
    </row>
    <row r="1783" ht="18" customHeight="1" s="16">
      <c r="A1783" s="5" t="n">
        <v>1782</v>
      </c>
      <c r="B1783" s="8" t="inlineStr">
        <is>
          <t>GU-4034</t>
        </is>
      </c>
      <c r="C1783" s="2" t="n"/>
      <c r="D1783" s="8" t="inlineStr">
        <is>
          <t>リモーションスニーカー</t>
        </is>
      </c>
      <c r="E1783" s="8" t="inlineStr">
        <is>
          <t>832461 AAEW3 3041</t>
        </is>
      </c>
      <c r="G1783" s="10" t="inlineStr">
        <is>
          <t>5_6_6.5_7_7.5_8_8.5_9_9.5_10_10.5</t>
        </is>
      </c>
      <c r="H1783" s="17" t="inlineStr">
        <is>
          <t>5_6_6.5_7_7.5_8_8.5_9_9.5_10_10.5</t>
        </is>
      </c>
      <c r="I1783" s="18" t="n">
        <v>162800</v>
      </c>
      <c r="J1783" s="19" t="n">
        <v>162800</v>
      </c>
      <c r="K1783" s="20" t="n">
        <v>5</v>
      </c>
      <c r="L1783" s="4" t="inlineStr">
        <is>
          <t>https://www.gucci.com/jp/ja/pr/men/shoes-for-men/sneakers-for-men/mens-gucci-re-motion-sneaker-p-832461AAEW33041</t>
        </is>
      </c>
      <c r="M1783" s="5">
        <f t="array" ref="M1783">_xlfn.IFS(J1783="NOTFOUND",I1783,J1783&gt;=I1783,J1783)</f>
        <v/>
      </c>
    </row>
    <row r="1784" ht="18" customHeight="1" s="16">
      <c r="A1784" s="5" t="n">
        <v>1783</v>
      </c>
      <c r="B1784" s="8" t="inlineStr">
        <is>
          <t>GU-4035</t>
        </is>
      </c>
      <c r="C1784" s="2" t="n"/>
      <c r="D1784" s="8" t="inlineStr">
        <is>
          <t>リモーションスニーカー</t>
        </is>
      </c>
      <c r="E1784" s="8" t="inlineStr">
        <is>
          <t>832461 AAEW3 9548</t>
        </is>
      </c>
      <c r="G1784" s="10" t="inlineStr">
        <is>
          <t>5_6_6.5_7_7.5_8_8.5_9_9.5_10</t>
        </is>
      </c>
      <c r="H1784" s="17" t="inlineStr">
        <is>
          <t>5_6_6.5_7_7.5_8_8.5_9_9.5_10</t>
        </is>
      </c>
      <c r="I1784" s="18" t="n">
        <v>162800</v>
      </c>
      <c r="J1784" s="19" t="n">
        <v>162800</v>
      </c>
      <c r="K1784" s="20" t="n">
        <v>5</v>
      </c>
      <c r="L1784" s="4" t="inlineStr">
        <is>
          <t>https://www.gucci.com/jp/ja/pr/men/shoes-for-men/sneakers-for-men/mens-gucci-re-motion-sneaker-p-832461AAEW39548</t>
        </is>
      </c>
      <c r="M1784" s="5">
        <f t="array" ref="M1784">_xlfn.IFS(J1784="NOTFOUND",I1784,J1784&gt;=I1784,J1784)</f>
        <v/>
      </c>
    </row>
    <row r="1785" ht="18" customHeight="1" s="16">
      <c r="A1785" s="5" t="n">
        <v>1784</v>
      </c>
      <c r="B1785" s="8" t="inlineStr">
        <is>
          <t>GU-4036</t>
        </is>
      </c>
      <c r="C1785" s="2" t="n"/>
      <c r="D1785" s="8" t="inlineStr">
        <is>
          <t>リモーションスニーカー</t>
        </is>
      </c>
      <c r="E1785" s="8" t="inlineStr">
        <is>
          <t>832461 AAEW3 1042</t>
        </is>
      </c>
      <c r="G1785" s="10" t="inlineStr">
        <is>
          <t>5_6_6.5_7_7.5_8_8.5_9_9.5_10_10.5_11</t>
        </is>
      </c>
      <c r="H1785" s="17" t="inlineStr">
        <is>
          <t>5_6_6.5_7_7.5_8_8.5_9_9.5_10_10.5_11</t>
        </is>
      </c>
      <c r="I1785" s="18" t="n">
        <v>162800</v>
      </c>
      <c r="J1785" s="19" t="n">
        <v>162800</v>
      </c>
      <c r="K1785" s="20" t="n">
        <v>5</v>
      </c>
      <c r="L1785" s="4" t="inlineStr">
        <is>
          <t>https://www.gucci.com/jp/ja/pr/men/shoes-for-men/sneakers-for-men/mens-gucci-re-motion-sneaker-p-832461AAEW31042</t>
        </is>
      </c>
      <c r="M1785" s="5">
        <f t="array" ref="M1785">_xlfn.IFS(J1785="NOTFOUND",I1785,J1785&gt;=I1785,J1785)</f>
        <v/>
      </c>
    </row>
    <row r="1786" ht="18" customHeight="1" s="16">
      <c r="A1786" s="5" t="n">
        <v>1785</v>
      </c>
      <c r="B1786" s="8" t="inlineStr">
        <is>
          <t>GU-4037</t>
        </is>
      </c>
      <c r="C1786" s="2" t="n"/>
      <c r="D1786" s="8" t="inlineStr">
        <is>
          <t>リモーションスニーカー</t>
        </is>
      </c>
      <c r="E1786" s="8" t="inlineStr">
        <is>
          <t>832461 AAEW3 9045</t>
        </is>
      </c>
      <c r="G1786" s="10" t="inlineStr">
        <is>
          <t>5_6_6.5_7_7.5_8_8.5_9_9.5_10_10.5_11</t>
        </is>
      </c>
      <c r="H1786" s="17" t="inlineStr">
        <is>
          <t>5_6_6.5_7_7.5_8_8.5_9_9.5_10_10.5_11</t>
        </is>
      </c>
      <c r="I1786" s="18" t="n">
        <v>162800</v>
      </c>
      <c r="J1786" s="19" t="n">
        <v>162800</v>
      </c>
      <c r="K1786" s="20" t="n">
        <v>5</v>
      </c>
      <c r="L1786" s="4" t="inlineStr">
        <is>
          <t>https://www.gucci.com/jp/ja/pr/men/shoes-for-men/sneakers-for-men/mens-gucci-re-motion-sneaker-p-832461AAEW39045</t>
        </is>
      </c>
      <c r="M1786" s="5">
        <f t="array" ref="M1786">_xlfn.IFS(J1786="NOTFOUND",I1786,J1786&gt;=I1786,J1786)</f>
        <v/>
      </c>
    </row>
    <row r="1787" ht="18" customHeight="1" s="16">
      <c r="A1787" s="5" t="n">
        <v>1786</v>
      </c>
      <c r="B1787" s="8" t="inlineStr">
        <is>
          <t>GU-4038</t>
        </is>
      </c>
      <c r="C1787" s="2" t="n"/>
      <c r="D1787" s="8" t="inlineStr">
        <is>
          <t>リウェブスニーカー</t>
        </is>
      </c>
      <c r="E1787" s="8" t="inlineStr">
        <is>
          <t>816665 FAD7V 9055</t>
        </is>
      </c>
      <c r="G1787" s="11" t="inlineStr">
        <is>
          <t>SOLD</t>
        </is>
      </c>
      <c r="H1787" s="22" t="inlineStr">
        <is>
          <t>SOLD</t>
        </is>
      </c>
      <c r="I1787" s="18" t="n">
        <v>168300</v>
      </c>
      <c r="J1787" s="23" t="inlineStr">
        <is>
          <t>NOTFOUND</t>
        </is>
      </c>
      <c r="K1787" s="20" t="n">
        <v>0</v>
      </c>
      <c r="L1787" s="4" t="inlineStr">
        <is>
          <t>https://www.gucci.com/jp/ja/pr/men/shoes-for-men/sneakers-for-men/mens-gucci-re-web-sneaker-p-816665FAD7V9055</t>
        </is>
      </c>
      <c r="M1787" s="5">
        <f t="array" ref="M1787">_xlfn.IFS(J1787="NOTFOUND",I1787,J1787&gt;=I1787,J1787)</f>
        <v/>
      </c>
    </row>
    <row r="1788" ht="18" customHeight="1" s="16">
      <c r="A1788" s="5" t="n">
        <v>1787</v>
      </c>
      <c r="B1788" s="8" t="inlineStr">
        <is>
          <t>GU-4039</t>
        </is>
      </c>
      <c r="C1788" s="2" t="n"/>
      <c r="D1788" s="8" t="inlineStr">
        <is>
          <t>リウェブスニーカー</t>
        </is>
      </c>
      <c r="E1788" s="8" t="inlineStr">
        <is>
          <t>834708 FAEVU 4645</t>
        </is>
      </c>
      <c r="G1788" s="10" t="inlineStr">
        <is>
          <t>6_6.5_7_7.5_8_8.5_9_9.5_10_10.5</t>
        </is>
      </c>
      <c r="H1788" s="17" t="inlineStr">
        <is>
          <t>6_6.5_7_7.5_8_8.5_9_9.5_10_10.5</t>
        </is>
      </c>
      <c r="I1788" s="18" t="n">
        <v>168300</v>
      </c>
      <c r="J1788" s="19" t="n">
        <v>168300</v>
      </c>
      <c r="K1788" s="20" t="n">
        <v>5</v>
      </c>
      <c r="L1788" s="4" t="inlineStr">
        <is>
          <t>https://www.gucci.com/jp/ja/pr/men/shoes-for-men/sneakers-for-men/mens-gucci-re-web-sneaker-p-834708FAEVU4645</t>
        </is>
      </c>
      <c r="M1788" s="5">
        <f t="array" ref="M1788">_xlfn.IFS(J1788="NOTFOUND",I1788,J1788&gt;=I1788,J1788)</f>
        <v/>
      </c>
    </row>
    <row r="1789" ht="18" customHeight="1" s="16">
      <c r="A1789" s="5" t="n">
        <v>1788</v>
      </c>
      <c r="B1789" s="8" t="inlineStr">
        <is>
          <t>GU-4040</t>
        </is>
      </c>
      <c r="C1789" s="2" t="n"/>
      <c r="D1789" s="8" t="inlineStr">
        <is>
          <t>リウェブスニーカー</t>
        </is>
      </c>
      <c r="E1789" s="8" t="inlineStr">
        <is>
          <t>838949 FAEV5 8460</t>
        </is>
      </c>
      <c r="G1789" s="10" t="inlineStr">
        <is>
          <t>6_6.5_7_7.5_8_8.5_9_9.5</t>
        </is>
      </c>
      <c r="H1789" s="17" t="inlineStr">
        <is>
          <t>6_6.5_7_7.5_8_8.5_9_9.5</t>
        </is>
      </c>
      <c r="I1789" s="18" t="n">
        <v>187000</v>
      </c>
      <c r="J1789" s="19" t="n">
        <v>187000</v>
      </c>
      <c r="K1789" s="20" t="n">
        <v>5</v>
      </c>
      <c r="L1789" s="4" t="inlineStr">
        <is>
          <t>https://www.gucci.com/jp/ja/pr/men/shoes-for-men/sneakers-for-men/mens-gucci-re-web-sneaker-p-838949FAEV58460</t>
        </is>
      </c>
      <c r="M1789" s="5">
        <f t="array" ref="M1789">_xlfn.IFS(J1789="NOTFOUND",I1789,J1789&gt;=I1789,J1789)</f>
        <v/>
      </c>
    </row>
    <row r="1790" ht="18" customHeight="1" s="16">
      <c r="A1790" s="5" t="n">
        <v>1789</v>
      </c>
      <c r="B1790" s="8" t="inlineStr">
        <is>
          <t>GU-4041</t>
        </is>
      </c>
      <c r="C1790" s="2" t="n"/>
      <c r="D1790" s="8" t="inlineStr">
        <is>
          <t>リウェブスニーカー</t>
        </is>
      </c>
      <c r="E1790" s="8" t="inlineStr">
        <is>
          <t>787476 AADHW 9573</t>
        </is>
      </c>
      <c r="G1790" s="10" t="inlineStr">
        <is>
          <t>5_5.5_6_6.5_7_7.5_8_8.5_9_9.5_10_10.5_11_11.5</t>
        </is>
      </c>
      <c r="H1790" s="17" t="inlineStr">
        <is>
          <t>5_5.5_6_6.5_7_7.5_8_8.5_9_9.5_10_10.5_11_11.5</t>
        </is>
      </c>
      <c r="I1790" s="18" t="n">
        <v>168300</v>
      </c>
      <c r="J1790" s="19" t="n">
        <v>168300</v>
      </c>
      <c r="K1790" s="20" t="n">
        <v>5</v>
      </c>
      <c r="L1790" s="4" t="inlineStr">
        <is>
          <t>https://www.gucci.com/jp/ja/pr/men/shoes-for-men/sneakers-for-men/mens-gucci-re-web-sneaker-p-787476AADHW9573</t>
        </is>
      </c>
      <c r="M1790" s="5">
        <f t="array" ref="M1790">_xlfn.IFS(J1790="NOTFOUND",I1790,J1790&gt;=I1790,J1790)</f>
        <v/>
      </c>
    </row>
    <row r="1791" ht="18" customHeight="1" s="16">
      <c r="A1791" s="5" t="n">
        <v>1790</v>
      </c>
      <c r="B1791" s="8" t="inlineStr">
        <is>
          <t>GU-4042</t>
        </is>
      </c>
      <c r="C1791" s="2" t="n"/>
      <c r="D1791" s="8" t="inlineStr">
        <is>
          <t>リウェブスニーカー</t>
        </is>
      </c>
      <c r="E1791" s="8" t="inlineStr">
        <is>
          <t>786186 AADJ9 9097</t>
        </is>
      </c>
      <c r="G1791" s="10" t="inlineStr">
        <is>
          <t>5_5.5_6_6.5_7_7.5_8_8.5_9_9.5_10_10.5_11_11.5</t>
        </is>
      </c>
      <c r="H1791" s="17" t="inlineStr">
        <is>
          <t>5_5.5_6_6.5_7_7.5_8_8.5_9_9.5_10_10.5_11_11.5</t>
        </is>
      </c>
      <c r="I1791" s="18" t="n">
        <v>168300</v>
      </c>
      <c r="J1791" s="19" t="n">
        <v>168300</v>
      </c>
      <c r="K1791" s="20" t="n">
        <v>5</v>
      </c>
      <c r="L1791" s="4" t="inlineStr">
        <is>
          <t>https://www.gucci.com/jp/ja/pr/men/shoes-for-men/sneakers-for-men/mens-gucci-re-web-sneaker-p-786186AADJ99097</t>
        </is>
      </c>
      <c r="M1791" s="5">
        <f t="array" ref="M1791">_xlfn.IFS(J1791="NOTFOUND",I1791,J1791&gt;=I1791,J1791)</f>
        <v/>
      </c>
    </row>
    <row r="1792" ht="18" customHeight="1" s="16">
      <c r="A1792" s="5" t="n">
        <v>1791</v>
      </c>
      <c r="B1792" s="8" t="inlineStr">
        <is>
          <t>GU-4043</t>
        </is>
      </c>
      <c r="C1792" s="2" t="n"/>
      <c r="D1792" s="8" t="inlineStr">
        <is>
          <t>リウェブスニーカー</t>
        </is>
      </c>
      <c r="E1792" s="8" t="inlineStr">
        <is>
          <t>787476 AADHW 9568</t>
        </is>
      </c>
      <c r="G1792" s="10" t="inlineStr">
        <is>
          <t>5.5_6_6.5_7_7.5_8_8.5_9_9.5_10.5</t>
        </is>
      </c>
      <c r="H1792" s="17" t="inlineStr">
        <is>
          <t>5.5_6_6.5_7_7.5_8_8.5_9_9.5_10.5</t>
        </is>
      </c>
      <c r="I1792" s="18" t="n">
        <v>168300</v>
      </c>
      <c r="J1792" s="19" t="n">
        <v>168300</v>
      </c>
      <c r="K1792" s="20" t="n">
        <v>5</v>
      </c>
      <c r="L1792" s="4" t="inlineStr">
        <is>
          <t>https://www.gucci.com/jp/ja/pr/men/shoes-for-men/sneakers-for-men/mens-gucci-re-web-sneaker-p-787476AADHW9568</t>
        </is>
      </c>
      <c r="M1792" s="5">
        <f t="array" ref="M1792">_xlfn.IFS(J1792="NOTFOUND",I1792,J1792&gt;=I1792,J1792)</f>
        <v/>
      </c>
    </row>
    <row r="1793" ht="18" customHeight="1" s="16">
      <c r="A1793" s="5" t="n">
        <v>1792</v>
      </c>
      <c r="B1793" s="8" t="inlineStr">
        <is>
          <t>GU-4044</t>
        </is>
      </c>
      <c r="C1793" s="2" t="n"/>
      <c r="D1793" s="8" t="inlineStr">
        <is>
          <t>リウェブスニーカー</t>
        </is>
      </c>
      <c r="E1793" s="8" t="inlineStr">
        <is>
          <t>787476 AADHW 1077</t>
        </is>
      </c>
      <c r="G1793" s="10" t="inlineStr">
        <is>
          <t>5_5.5_6_6.5_7_7.5_8_8.5_9_9.5_10_10.5_11</t>
        </is>
      </c>
      <c r="H1793" s="17" t="inlineStr">
        <is>
          <t>5_5.5_6_6.5_7_7.5_8_8.5_9_9.5_10_10.5_11</t>
        </is>
      </c>
      <c r="I1793" s="18" t="n">
        <v>168300</v>
      </c>
      <c r="J1793" s="19" t="n">
        <v>168300</v>
      </c>
      <c r="K1793" s="20" t="n">
        <v>5</v>
      </c>
      <c r="L1793" s="4" t="inlineStr">
        <is>
          <t>https://www.gucci.com/jp/ja/pr/men/shoes-for-men/sneakers-for-men/mens-gucci-re-web-sneaker-p-787476AADHW1077</t>
        </is>
      </c>
      <c r="M1793" s="5">
        <f t="array" ref="M1793">_xlfn.IFS(J1793="NOTFOUND",I1793,J1793&gt;=I1793,J1793)</f>
        <v/>
      </c>
    </row>
    <row r="1794" ht="18" customHeight="1" s="16">
      <c r="A1794" s="5" t="n">
        <v>1793</v>
      </c>
      <c r="B1794" s="8" t="inlineStr">
        <is>
          <t>GU-4045</t>
        </is>
      </c>
      <c r="C1794" s="2" t="n"/>
      <c r="D1794" s="8" t="inlineStr">
        <is>
          <t>CUB3D スニーカー</t>
        </is>
      </c>
      <c r="E1794" s="8" t="inlineStr">
        <is>
          <t>819709 FAEBE 2847</t>
        </is>
      </c>
      <c r="G1794" s="10" t="inlineStr">
        <is>
          <t>6_6.5_7_7.5_8_9.5</t>
        </is>
      </c>
      <c r="H1794" s="17" t="inlineStr">
        <is>
          <t>6_6.5_7_7.5_8</t>
        </is>
      </c>
      <c r="I1794" s="18" t="n">
        <v>207900</v>
      </c>
      <c r="J1794" s="19" t="n">
        <v>207900</v>
      </c>
      <c r="K1794" s="20" t="n">
        <v>5</v>
      </c>
      <c r="L1794" s="4" t="inlineStr">
        <is>
          <t>https://www.gucci.com/jp/ja/pr/men/shoes-for-men/sneakers-for-men/mens-gucci-cub3d-sneaker-p-819709FAEBE2847</t>
        </is>
      </c>
      <c r="M1794" s="5">
        <f t="array" ref="M1794">_xlfn.IFS(J1794="NOTFOUND",I1794,J1794&gt;=I1794,J1794)</f>
        <v/>
      </c>
    </row>
    <row r="1795" ht="18" customHeight="1" s="16">
      <c r="A1795" s="5" t="n">
        <v>1794</v>
      </c>
      <c r="B1795" s="8" t="inlineStr">
        <is>
          <t>GU-4046</t>
        </is>
      </c>
      <c r="C1795" s="2" t="n"/>
      <c r="D1795" s="8" t="inlineStr">
        <is>
          <t>CUB3D スニーカー</t>
        </is>
      </c>
      <c r="E1795" s="8" t="inlineStr">
        <is>
          <t>819709 FAEIV 8149</t>
        </is>
      </c>
      <c r="G1795" s="10" t="inlineStr">
        <is>
          <t>5_5.5_6_6.5_7_7.5_8_8.5_9_10.5</t>
        </is>
      </c>
      <c r="H1795" s="17" t="inlineStr">
        <is>
          <t>5_5.5_6_6.5_7_7.5_8_8.5_9_10_10.5</t>
        </is>
      </c>
      <c r="I1795" s="18" t="n">
        <v>207900</v>
      </c>
      <c r="J1795" s="19" t="n">
        <v>207900</v>
      </c>
      <c r="K1795" s="20" t="n">
        <v>5</v>
      </c>
      <c r="L1795" s="4" t="inlineStr">
        <is>
          <t>https://www.gucci.com/jp/ja/pr/men/shoes-for-men/sneakers-for-men/mens-gucci-cub3d-sneaker-p-819709FAEIV8149</t>
        </is>
      </c>
      <c r="M1795" s="5">
        <f t="array" ref="M1795">_xlfn.IFS(J1795="NOTFOUND",I1795,J1795&gt;=I1795,J1795)</f>
        <v/>
      </c>
    </row>
    <row r="1796" ht="18" customHeight="1" s="16">
      <c r="A1796" s="5" t="n">
        <v>1795</v>
      </c>
      <c r="B1796" s="8" t="inlineStr">
        <is>
          <t>GU-4047</t>
        </is>
      </c>
      <c r="C1796" s="2" t="n"/>
      <c r="D1796" s="8" t="inlineStr">
        <is>
          <t>CUB3D スニーカー</t>
        </is>
      </c>
      <c r="E1796" s="8" t="inlineStr">
        <is>
          <t>819709 FAEBE 5244</t>
        </is>
      </c>
      <c r="G1796" s="10" t="inlineStr">
        <is>
          <t>6_7_7.5_8_8.5_9_9.5</t>
        </is>
      </c>
      <c r="H1796" s="17" t="inlineStr">
        <is>
          <t>6_7_7.5_8_8.5_9_9.5</t>
        </is>
      </c>
      <c r="I1796" s="18" t="n">
        <v>207900</v>
      </c>
      <c r="J1796" s="19" t="n">
        <v>207900</v>
      </c>
      <c r="K1796" s="20" t="n">
        <v>5</v>
      </c>
      <c r="L1796" s="4" t="inlineStr">
        <is>
          <t>https://www.gucci.com/jp/ja/pr/men/shoes-for-men/sneakers-for-men/mens-gucci-cub3d-sneaker-p-819709FAEBE5244</t>
        </is>
      </c>
      <c r="M1796" s="5">
        <f t="array" ref="M1796">_xlfn.IFS(J1796="NOTFOUND",I1796,J1796&gt;=I1796,J1796)</f>
        <v/>
      </c>
    </row>
    <row r="1797" ht="18" customHeight="1" s="16">
      <c r="A1797" s="5" t="n">
        <v>1796</v>
      </c>
      <c r="B1797" s="8" t="inlineStr">
        <is>
          <t>GU-4048</t>
        </is>
      </c>
      <c r="C1797" s="2" t="n"/>
      <c r="D1797" s="8" t="inlineStr">
        <is>
          <t>CUB3D スニーカー</t>
        </is>
      </c>
      <c r="E1797" s="8" t="inlineStr">
        <is>
          <t>819709 FAEBE 3145</t>
        </is>
      </c>
      <c r="G1797" s="10" t="inlineStr">
        <is>
          <t>6_7_7.5_8_8.5_9</t>
        </is>
      </c>
      <c r="H1797" s="17" t="inlineStr">
        <is>
          <t>6_7_7.5_8_8.5</t>
        </is>
      </c>
      <c r="I1797" s="18" t="n">
        <v>207900</v>
      </c>
      <c r="J1797" s="19" t="n">
        <v>207900</v>
      </c>
      <c r="K1797" s="20" t="n">
        <v>5</v>
      </c>
      <c r="L1797" s="4" t="inlineStr">
        <is>
          <t>https://www.gucci.com/jp/ja/pr/men/shoes-for-men/sneakers-for-men/mens-gucci-cub3d-sneaker-p-819709FAEBE3145</t>
        </is>
      </c>
      <c r="M1797" s="5">
        <f t="array" ref="M1797">_xlfn.IFS(J1797="NOTFOUND",I1797,J1797&gt;=I1797,J1797)</f>
        <v/>
      </c>
    </row>
    <row r="1798" ht="18" customHeight="1" s="16">
      <c r="A1798" s="5" t="n">
        <v>1797</v>
      </c>
      <c r="B1798" s="8" t="inlineStr">
        <is>
          <t>GU-4049</t>
        </is>
      </c>
      <c r="C1798" s="2" t="n"/>
      <c r="D1798" s="8" t="inlineStr">
        <is>
          <t>CUB3D スニーカー</t>
        </is>
      </c>
      <c r="E1798" s="8" t="inlineStr">
        <is>
          <t>819709 FAEBE 1742</t>
        </is>
      </c>
      <c r="G1798" s="10" t="inlineStr">
        <is>
          <t>5.5_6_6.5_7_7.5_8_8.5_9_9.5_10_10.5</t>
        </is>
      </c>
      <c r="H1798" s="17" t="inlineStr">
        <is>
          <t>5.5_6_6.5_7_7.5_8_8.5_9_9.5_10_10.5</t>
        </is>
      </c>
      <c r="I1798" s="18" t="n">
        <v>207900</v>
      </c>
      <c r="J1798" s="19" t="n">
        <v>207900</v>
      </c>
      <c r="K1798" s="20" t="n">
        <v>5</v>
      </c>
      <c r="L1798" s="4" t="inlineStr">
        <is>
          <t>https://www.gucci.com/jp/ja/pr/men/shoes-for-men/sneakers-for-men/mens-gucci-cub3d-sneaker-p-819709FAEBE1742</t>
        </is>
      </c>
      <c r="M1798" s="5">
        <f t="array" ref="M1798">_xlfn.IFS(J1798="NOTFOUND",I1798,J1798&gt;=I1798,J1798)</f>
        <v/>
      </c>
    </row>
    <row r="1799" ht="18" customHeight="1" s="16">
      <c r="A1799" s="5" t="n">
        <v>1798</v>
      </c>
      <c r="B1799" s="8" t="inlineStr">
        <is>
          <t>GU-4050</t>
        </is>
      </c>
      <c r="C1799" s="2" t="n"/>
      <c r="D1799" s="8" t="inlineStr">
        <is>
          <t>CUB3D スニーカー</t>
        </is>
      </c>
      <c r="E1799" s="8" t="inlineStr">
        <is>
          <t>819709 FAEIW 1064</t>
        </is>
      </c>
      <c r="G1799" s="10" t="inlineStr">
        <is>
          <t>5.5_6_6.5_7_7.5_8_8.5_9.5_10.5</t>
        </is>
      </c>
      <c r="H1799" s="17" t="inlineStr">
        <is>
          <t>5.5_6_6.5_7_7.5_8_8.5_9.5_10.5</t>
        </is>
      </c>
      <c r="I1799" s="18" t="n">
        <v>207900</v>
      </c>
      <c r="J1799" s="19" t="n">
        <v>207900</v>
      </c>
      <c r="K1799" s="20" t="n">
        <v>5</v>
      </c>
      <c r="L1799" s="4" t="inlineStr">
        <is>
          <t>https://www.gucci.com/jp/ja/pr/men/shoes-for-men/sneakers-for-men/mens-gucci-cub3d-sneaker-p-819709FAEIW1064</t>
        </is>
      </c>
      <c r="M1799" s="5">
        <f t="array" ref="M1799">_xlfn.IFS(J1799="NOTFOUND",I1799,J1799&gt;=I1799,J1799)</f>
        <v/>
      </c>
    </row>
    <row r="1800" ht="18" customHeight="1" s="16">
      <c r="A1800" s="5" t="n">
        <v>1799</v>
      </c>
      <c r="B1800" s="8" t="inlineStr">
        <is>
          <t>GU-4051</t>
        </is>
      </c>
      <c r="C1800" s="2" t="n"/>
      <c r="D1800" s="8" t="inlineStr">
        <is>
          <t>2.0スニーカー</t>
        </is>
      </c>
      <c r="E1800" s="8" t="inlineStr">
        <is>
          <t>814040 FAD5T 9063</t>
        </is>
      </c>
      <c r="G1800" s="10" t="inlineStr">
        <is>
          <t>5.5_6_6.5_7_7.5_8_8.5_9_9.5</t>
        </is>
      </c>
      <c r="H1800" s="17" t="inlineStr">
        <is>
          <t>5.5_6_6.5_7_7.5_8_8.5_9_9.5</t>
        </is>
      </c>
      <c r="I1800" s="18" t="n">
        <v>179300</v>
      </c>
      <c r="J1800" s="19" t="n">
        <v>179300</v>
      </c>
      <c r="K1800" s="20" t="n">
        <v>5</v>
      </c>
      <c r="L1800" s="4" t="inlineStr">
        <is>
          <t>https://www.gucci.com/jp/ja/pr/men/shoes-for-men/sneakers-for-men/mens-gucci-20-sneaker-p-814040FAD5T9063</t>
        </is>
      </c>
      <c r="M1800" s="5">
        <f t="array" ref="M1800">_xlfn.IFS(J1800="NOTFOUND",I1800,J1800&gt;=I1800,J1800)</f>
        <v/>
      </c>
    </row>
    <row r="1801" ht="18" customHeight="1" s="16">
      <c r="A1801" s="5" t="n">
        <v>1800</v>
      </c>
      <c r="B1801" s="8" t="inlineStr">
        <is>
          <t>GU-4052</t>
        </is>
      </c>
      <c r="C1801" s="2" t="n"/>
      <c r="D1801" s="8" t="inlineStr">
        <is>
          <t>2.0スニーカー</t>
        </is>
      </c>
      <c r="E1801" s="8" t="inlineStr">
        <is>
          <t>814040 FAD6Q 8745</t>
        </is>
      </c>
      <c r="G1801" s="10" t="inlineStr">
        <is>
          <t>5_5.5_6_6.5_7_7.5_8_8.5_9_9.5_10</t>
        </is>
      </c>
      <c r="H1801" s="17" t="inlineStr">
        <is>
          <t>5_5.5_6_6.5_7_7.5_8_8.5_9_9.5_10</t>
        </is>
      </c>
      <c r="I1801" s="18" t="n">
        <v>179300</v>
      </c>
      <c r="J1801" s="19" t="n">
        <v>179300</v>
      </c>
      <c r="K1801" s="20" t="n">
        <v>5</v>
      </c>
      <c r="L1801" s="4" t="inlineStr">
        <is>
          <t>https://www.gucci.com/jp/ja/pr/men/shoes-for-men/sneakers-for-men/mens-gucci-20-sneaker-p-814040FAD6Q8745</t>
        </is>
      </c>
      <c r="M1801" s="5">
        <f t="array" ref="M1801">_xlfn.IFS(J1801="NOTFOUND",I1801,J1801&gt;=I1801,J1801)</f>
        <v/>
      </c>
    </row>
    <row r="1802" ht="18" customHeight="1" s="16">
      <c r="A1802" s="5" t="n">
        <v>1801</v>
      </c>
      <c r="B1802" s="8" t="inlineStr">
        <is>
          <t>GU-4053</t>
        </is>
      </c>
      <c r="C1802" s="2" t="n"/>
      <c r="D1802" s="8" t="inlineStr">
        <is>
          <t>2.0スニーカー</t>
        </is>
      </c>
      <c r="E1802" s="8" t="inlineStr">
        <is>
          <t>814040 FAD5T 8754</t>
        </is>
      </c>
      <c r="G1802" s="10" t="inlineStr">
        <is>
          <t>5.5_6_6.5_7_7.5_8_8.5_9_9.5</t>
        </is>
      </c>
      <c r="H1802" s="17" t="inlineStr">
        <is>
          <t>5.5_6_6.5_7_7.5_8_8.5_9_9.5</t>
        </is>
      </c>
      <c r="I1802" s="18" t="n">
        <v>179300</v>
      </c>
      <c r="J1802" s="19" t="n">
        <v>179300</v>
      </c>
      <c r="K1802" s="20" t="n">
        <v>5</v>
      </c>
      <c r="L1802" s="4" t="inlineStr">
        <is>
          <t>https://www.gucci.com/jp/ja/pr/men/shoes-for-men/sneakers-for-men/mens-gucci-20-sneaker-p-814040FAD5T8754</t>
        </is>
      </c>
      <c r="M1802" s="5">
        <f t="array" ref="M1802">_xlfn.IFS(J1802="NOTFOUND",I1802,J1802&gt;=I1802,J1802)</f>
        <v/>
      </c>
    </row>
    <row r="1803" ht="18" customHeight="1" s="16">
      <c r="A1803" s="5" t="n">
        <v>1802</v>
      </c>
      <c r="B1803" s="8" t="inlineStr">
        <is>
          <t>GU-4054</t>
        </is>
      </c>
      <c r="C1803" s="2" t="n"/>
      <c r="D1803" s="8" t="inlineStr">
        <is>
          <t>2.0スニーカー</t>
        </is>
      </c>
      <c r="E1803" s="8" t="inlineStr">
        <is>
          <t>814040 FAD5T 8753</t>
        </is>
      </c>
      <c r="G1803" s="10" t="inlineStr">
        <is>
          <t>5.5_6_6.5_7_7.5_8_8.5_9_9.5_10</t>
        </is>
      </c>
      <c r="H1803" s="17" t="inlineStr">
        <is>
          <t>5.5_6_6.5_7_7.5_8_8.5_9_9.5_10</t>
        </is>
      </c>
      <c r="I1803" s="18" t="n">
        <v>179300</v>
      </c>
      <c r="J1803" s="19" t="n">
        <v>179300</v>
      </c>
      <c r="K1803" s="20" t="n">
        <v>5</v>
      </c>
      <c r="L1803" s="4" t="inlineStr">
        <is>
          <t>https://www.gucci.com/jp/ja/pr/men/shoes-for-men/sneakers-for-men/mens-gucci-20-sneaker-p-814040FAD5T8753</t>
        </is>
      </c>
      <c r="M1803" s="5">
        <f t="array" ref="M1803">_xlfn.IFS(J1803="NOTFOUND",I1803,J1803&gt;=I1803,J1803)</f>
        <v/>
      </c>
    </row>
    <row r="1804" ht="18" customHeight="1" s="16">
      <c r="A1804" s="5" t="n">
        <v>1803</v>
      </c>
      <c r="B1804" s="8" t="inlineStr">
        <is>
          <t>GU-4055</t>
        </is>
      </c>
      <c r="C1804" s="2" t="n"/>
      <c r="D1804" s="8" t="inlineStr">
        <is>
          <t>スクリーナースニーカー</t>
        </is>
      </c>
      <c r="E1804" s="8" t="inlineStr">
        <is>
          <t>838919 9SFR0 2546</t>
        </is>
      </c>
      <c r="G1804" s="10" t="inlineStr">
        <is>
          <t>6.5_7_7.5_8_8.5_9_9.5_10</t>
        </is>
      </c>
      <c r="H1804" s="17" t="inlineStr">
        <is>
          <t>6.5_7_7.5_8_9</t>
        </is>
      </c>
      <c r="I1804" s="18" t="n">
        <v>165000</v>
      </c>
      <c r="J1804" s="19" t="n">
        <v>165000</v>
      </c>
      <c r="K1804" s="20" t="n">
        <v>5</v>
      </c>
      <c r="L1804" s="4" t="inlineStr">
        <is>
          <t>https://www.gucci.com/jp/ja/pr/men/shoes-for-men/sneakers-for-men/mens-screener-sneaker-p-8389199SFR02546</t>
        </is>
      </c>
      <c r="M1804" s="5">
        <f t="array" ref="M1804">_xlfn.IFS(J1804="NOTFOUND",I1804,J1804&gt;=I1804,J1804)</f>
        <v/>
      </c>
    </row>
    <row r="1805" ht="18" customHeight="1" s="16">
      <c r="A1805" s="5" t="n">
        <v>1804</v>
      </c>
      <c r="B1805" s="8" t="inlineStr">
        <is>
          <t>GU-4056</t>
        </is>
      </c>
      <c r="C1805" s="2" t="n"/>
      <c r="D1805" s="8" t="inlineStr">
        <is>
          <t>スクリーナースニーカー</t>
        </is>
      </c>
      <c r="E1805" s="8" t="inlineStr">
        <is>
          <t>798785 AADU0 9094</t>
        </is>
      </c>
      <c r="G1805" s="10" t="inlineStr">
        <is>
          <t>5_5.5_6_6.5_7_7.5_8_8.5_9_9.5_10_10.5_11</t>
        </is>
      </c>
      <c r="H1805" s="17" t="inlineStr">
        <is>
          <t>5_5.5_6_6.5_7_7.5_8_8.5_9_9.5_10_10.5_11</t>
        </is>
      </c>
      <c r="I1805" s="18" t="n">
        <v>159500</v>
      </c>
      <c r="J1805" s="19" t="n">
        <v>159500</v>
      </c>
      <c r="K1805" s="20" t="n">
        <v>5</v>
      </c>
      <c r="L1805" s="4" t="inlineStr">
        <is>
          <t>https://www.gucci.com/jp/ja/pr/men/shoes-for-men/sneakers-for-men/mens-screener-sneaker-p-798785AADU09094</t>
        </is>
      </c>
      <c r="M1805" s="5">
        <f t="array" ref="M1805">_xlfn.IFS(J1805="NOTFOUND",I1805,J1805&gt;=I1805,J1805)</f>
        <v/>
      </c>
    </row>
    <row r="1806" ht="18" customHeight="1" s="16">
      <c r="A1806" s="5" t="n">
        <v>1805</v>
      </c>
      <c r="B1806" s="8" t="inlineStr">
        <is>
          <t>GU-4057</t>
        </is>
      </c>
      <c r="C1806" s="2" t="n"/>
      <c r="D1806" s="8" t="inlineStr">
        <is>
          <t>スクリーナースニーカー</t>
        </is>
      </c>
      <c r="E1806" s="8" t="inlineStr">
        <is>
          <t>576223 FAA3T 4551</t>
        </is>
      </c>
      <c r="G1806" s="10" t="inlineStr">
        <is>
          <t>6_6.5_7_7.5_8_8.5_9</t>
        </is>
      </c>
      <c r="H1806" s="17" t="inlineStr">
        <is>
          <t>6_6.5_7_7.5_8_8.5_9</t>
        </is>
      </c>
      <c r="I1806" s="18" t="n">
        <v>147400</v>
      </c>
      <c r="J1806" s="19" t="n">
        <v>147400</v>
      </c>
      <c r="K1806" s="20" t="n">
        <v>5</v>
      </c>
      <c r="L1806" s="4" t="inlineStr">
        <is>
          <t>https://www.gucci.com/jp/ja/pr/men/shoes-for-men/sneakers-for-men/mens-gg-screener-sneaker-p-576223FAA3T4551</t>
        </is>
      </c>
      <c r="M1806" s="5">
        <f t="array" ref="M1806">_xlfn.IFS(J1806="NOTFOUND",I1806,J1806&gt;=I1806,J1806)</f>
        <v/>
      </c>
    </row>
    <row r="1807" ht="18" customHeight="1" s="16">
      <c r="A1807" s="5" t="n">
        <v>1806</v>
      </c>
      <c r="B1807" s="8" t="inlineStr">
        <is>
          <t>GU-4058</t>
        </is>
      </c>
      <c r="C1807" s="2" t="n"/>
      <c r="D1807" s="8" t="inlineStr">
        <is>
          <t>スクリーナースニーカー</t>
        </is>
      </c>
      <c r="E1807" s="8" t="inlineStr">
        <is>
          <t>763525 FACMI 8443</t>
        </is>
      </c>
      <c r="G1807" s="10" t="inlineStr">
        <is>
          <t>5_5.5_6_6.5_7_7.5_8_8.5_9_9.5_10_11</t>
        </is>
      </c>
      <c r="H1807" s="17" t="inlineStr">
        <is>
          <t>5_5.5_6_6.5_7_7.5_8_8.5_9_9.5_10_11</t>
        </is>
      </c>
      <c r="I1807" s="18" t="n">
        <v>147400</v>
      </c>
      <c r="J1807" s="19" t="n">
        <v>147400</v>
      </c>
      <c r="K1807" s="20" t="n">
        <v>5</v>
      </c>
      <c r="L1807" s="4" t="inlineStr">
        <is>
          <t>https://www.gucci.com/jp/ja/pr/men/shoes-for-men/sneakers-for-men/mens-screener-sneaker-p-763525FACMI8443</t>
        </is>
      </c>
      <c r="M1807" s="5">
        <f t="array" ref="M1807">_xlfn.IFS(J1807="NOTFOUND",I1807,J1807&gt;=I1807,J1807)</f>
        <v/>
      </c>
    </row>
    <row r="1808" ht="18" customHeight="1" s="16">
      <c r="A1808" s="5" t="n">
        <v>1807</v>
      </c>
      <c r="B1808" s="8" t="inlineStr">
        <is>
          <t>GU-4059</t>
        </is>
      </c>
      <c r="C1808" s="2" t="n"/>
      <c r="D1808" s="8" t="inlineStr">
        <is>
          <t>スクリーナースニーカー</t>
        </is>
      </c>
      <c r="E1808" s="8" t="inlineStr">
        <is>
          <t>812638 FAD3U 9752</t>
        </is>
      </c>
      <c r="G1808" s="11" t="inlineStr">
        <is>
          <t>SOLD</t>
        </is>
      </c>
      <c r="H1808" s="22" t="inlineStr">
        <is>
          <t>SOLD</t>
        </is>
      </c>
      <c r="I1808" s="18" t="n">
        <v>147400</v>
      </c>
      <c r="J1808" s="23" t="inlineStr">
        <is>
          <t>NOTFOUND</t>
        </is>
      </c>
      <c r="K1808" s="20" t="n">
        <v>0</v>
      </c>
      <c r="L1808" s="4" t="inlineStr">
        <is>
          <t>https://www.gucci.com/jp/ja/pr/men/shoes-for-men/sneakers-for-men/mens-screener-sneaker-p-812638FAD3U9752</t>
        </is>
      </c>
      <c r="M1808" s="5">
        <f t="array" ref="M1808">_xlfn.IFS(J1808="NOTFOUND",I1808,J1808&gt;=I1808,J1808)</f>
        <v/>
      </c>
    </row>
    <row r="1809" ht="18" customHeight="1" s="16">
      <c r="A1809" s="5" t="n">
        <v>1808</v>
      </c>
      <c r="B1809" s="8" t="inlineStr">
        <is>
          <t>GU-4060</t>
        </is>
      </c>
      <c r="C1809" s="2" t="n"/>
      <c r="D1809" s="8" t="inlineStr">
        <is>
          <t>スクリーナースニーカー</t>
        </is>
      </c>
      <c r="E1809" s="8" t="inlineStr">
        <is>
          <t>546551 HVKI0 9765</t>
        </is>
      </c>
      <c r="G1809" s="10" t="inlineStr">
        <is>
          <t>5_6_6.5_7_7.5_8_8.5_9</t>
        </is>
      </c>
      <c r="H1809" s="17" t="inlineStr">
        <is>
          <t>5_6_6.5_7_7.5_8_8.5_9</t>
        </is>
      </c>
      <c r="I1809" s="18" t="n">
        <v>147400</v>
      </c>
      <c r="J1809" s="19" t="n">
        <v>147400</v>
      </c>
      <c r="K1809" s="20" t="n">
        <v>5</v>
      </c>
      <c r="L1809" s="4" t="inlineStr">
        <is>
          <t>https://www.gucci.com/jp/ja/pr/men/shoes-for-men/sneakers-for-men/mens-screener-sneaker-p-546551HVKI09765</t>
        </is>
      </c>
      <c r="M1809" s="5">
        <f t="array" ref="M1809">_xlfn.IFS(J1809="NOTFOUND",I1809,J1809&gt;=I1809,J1809)</f>
        <v/>
      </c>
    </row>
    <row r="1810" ht="18" customHeight="1" s="16">
      <c r="A1810" s="5" t="n">
        <v>1809</v>
      </c>
      <c r="B1810" s="8" t="inlineStr">
        <is>
          <t>GU-4061</t>
        </is>
      </c>
      <c r="C1810" s="2" t="n"/>
      <c r="D1810" s="8" t="inlineStr">
        <is>
          <t>スクリーナースニーカー</t>
        </is>
      </c>
      <c r="E1810" s="8" t="inlineStr">
        <is>
          <t>546551 9Y920 9666</t>
        </is>
      </c>
      <c r="G1810" s="10" t="inlineStr">
        <is>
          <t>5_5.5_6_6.5_7_7.5_8_8.5_9_9.5_10</t>
        </is>
      </c>
      <c r="H1810" s="17" t="inlineStr">
        <is>
          <t>5_5.5_6_6.5_7_7.5_8_8.5_9_9.5_10</t>
        </is>
      </c>
      <c r="I1810" s="18" t="n">
        <v>147400</v>
      </c>
      <c r="J1810" s="19" t="n">
        <v>147400</v>
      </c>
      <c r="K1810" s="20" t="n">
        <v>5</v>
      </c>
      <c r="L1810" s="4" t="inlineStr">
        <is>
          <t>https://www.gucci.com/jp/ja/pr/men/shoes-for-men/sneakers-for-men/mens-gg-screener-sneaker-p-5465519Y9209666</t>
        </is>
      </c>
      <c r="M1810" s="5">
        <f t="array" ref="M1810">_xlfn.IFS(J1810="NOTFOUND",I1810,J1810&gt;=I1810,J1810)</f>
        <v/>
      </c>
    </row>
    <row r="1811" ht="18" customHeight="1" s="16">
      <c r="A1811" s="5" t="n">
        <v>1810</v>
      </c>
      <c r="B1811" s="8" t="inlineStr">
        <is>
          <t>GU-4062</t>
        </is>
      </c>
      <c r="C1811" s="2" t="n"/>
      <c r="D1811" s="8" t="inlineStr">
        <is>
          <t>エースウェブ ストライプ スニーカー</t>
        </is>
      </c>
      <c r="E1811" s="8" t="inlineStr">
        <is>
          <t>757892 AACAG 9055</t>
        </is>
      </c>
      <c r="G1811" s="10" t="inlineStr">
        <is>
          <t>5_5.5_6_6.5_7_7.5_8_8.5_9_9.5_10_10.5_11_11.5</t>
        </is>
      </c>
      <c r="H1811" s="17" t="inlineStr">
        <is>
          <t>5_5.5_6_6.5_7_7.5_8_8.5_9_9.5_10_10.5_11_11.5</t>
        </is>
      </c>
      <c r="I1811" s="18" t="n">
        <v>132000</v>
      </c>
      <c r="J1811" s="19" t="n">
        <v>132000</v>
      </c>
      <c r="K1811" s="20" t="n">
        <v>5</v>
      </c>
      <c r="L1811" s="4" t="inlineStr">
        <is>
          <t>https://www.gucci.com/jp/ja/pr/men/shoes-for-men/sneakers-for-men/mens-gucci-ace-sneaker-with-web-p-757892AACAG9055</t>
        </is>
      </c>
      <c r="M1811" s="5">
        <f t="array" ref="M1811">_xlfn.IFS(J1811="NOTFOUND",I1811,J1811&gt;=I1811,J1811)</f>
        <v/>
      </c>
    </row>
    <row r="1812" ht="18" customHeight="1" s="16">
      <c r="A1812" s="5" t="n">
        <v>1811</v>
      </c>
      <c r="B1812" s="8" t="inlineStr">
        <is>
          <t>GU-4063</t>
        </is>
      </c>
      <c r="C1812" s="2" t="n"/>
      <c r="D1812" s="8" t="inlineStr">
        <is>
          <t>エースウェブ ストライプ スニーカー</t>
        </is>
      </c>
      <c r="E1812" s="8" t="inlineStr">
        <is>
          <t>757892 AACAG 1096</t>
        </is>
      </c>
      <c r="G1812" s="10" t="inlineStr">
        <is>
          <t>5_5.5_6_6.5_7_7.5_8_8.5_9_9.5_10_10.5_11</t>
        </is>
      </c>
      <c r="H1812" s="17" t="inlineStr">
        <is>
          <t>5_5.5_6_6.5_7_7.5_8_8.5_9_9.5_10_10.5_11</t>
        </is>
      </c>
      <c r="I1812" s="18" t="n">
        <v>132000</v>
      </c>
      <c r="J1812" s="19" t="n">
        <v>132000</v>
      </c>
      <c r="K1812" s="20" t="n">
        <v>5</v>
      </c>
      <c r="L1812" s="4" t="inlineStr">
        <is>
          <t>https://www.gucci.com/jp/ja/pr/men/shoes-for-men/sneakers-for-men/mens-gucci-ace-sneaker-with-web-p-757892AACAG1096</t>
        </is>
      </c>
      <c r="M1812" s="5">
        <f t="array" ref="M1812">_xlfn.IFS(J1812="NOTFOUND",I1812,J1812&gt;=I1812,J1812)</f>
        <v/>
      </c>
    </row>
    <row r="1813" ht="18" customHeight="1" s="16">
      <c r="A1813" s="5" t="n">
        <v>1812</v>
      </c>
      <c r="B1813" s="8" t="inlineStr">
        <is>
          <t>GU-4064</t>
        </is>
      </c>
      <c r="C1813" s="2" t="n"/>
      <c r="D1813" s="8" t="inlineStr">
        <is>
          <t>エースウェブ ストライプ スニーカー</t>
        </is>
      </c>
      <c r="E1813" s="8" t="inlineStr">
        <is>
          <t>760775 FACMZ 9746</t>
        </is>
      </c>
      <c r="G1813" s="10" t="inlineStr">
        <is>
          <t>5_5.5_6_6.5_7_7.5_8_8.5_9_9.5_10_10.5_11_11.5</t>
        </is>
      </c>
      <c r="H1813" s="17" t="inlineStr">
        <is>
          <t>5_5.5_6_6.5_7_7.5_8_8.5_9_9.5_10_10.5_11_11.5</t>
        </is>
      </c>
      <c r="I1813" s="18" t="n">
        <v>117700</v>
      </c>
      <c r="J1813" s="19" t="n">
        <v>117700</v>
      </c>
      <c r="K1813" s="20" t="n">
        <v>5</v>
      </c>
      <c r="L1813" s="4" t="inlineStr">
        <is>
          <t>https://www.gucci.com/jp/ja/pr/men/shoes-for-men/sneakers-for-men/mens-gucci-ace-sneaker-with-web-p-760775FACMZ9746</t>
        </is>
      </c>
      <c r="M1813" s="5">
        <f t="array" ref="M1813">_xlfn.IFS(J1813="NOTFOUND",I1813,J1813&gt;=I1813,J1813)</f>
        <v/>
      </c>
    </row>
    <row r="1814" ht="18" customHeight="1" s="16">
      <c r="A1814" s="5" t="n">
        <v>1813</v>
      </c>
      <c r="B1814" s="8" t="inlineStr">
        <is>
          <t>GU-4065</t>
        </is>
      </c>
      <c r="C1814" s="2" t="n"/>
      <c r="D1814" s="8" t="inlineStr">
        <is>
          <t>エースウェブ ストライプ スニーカー</t>
        </is>
      </c>
      <c r="E1814" s="8" t="inlineStr">
        <is>
          <t>760775 FACMZ 4049</t>
        </is>
      </c>
      <c r="G1814" s="10" t="inlineStr">
        <is>
          <t>5.5_6_6.5_7_7.5_8_8.5_9_9.5_10</t>
        </is>
      </c>
      <c r="H1814" s="17" t="inlineStr">
        <is>
          <t>5.5_6_6.5_7_7.5_8_8.5_9_9.5_10</t>
        </is>
      </c>
      <c r="I1814" s="18" t="n">
        <v>117700</v>
      </c>
      <c r="J1814" s="19" t="n">
        <v>117700</v>
      </c>
      <c r="K1814" s="20" t="n">
        <v>5</v>
      </c>
      <c r="L1814" s="4" t="inlineStr">
        <is>
          <t>https://www.gucci.com/jp/ja/pr/men/shoes-for-men/sneakers-for-men/mens-gucci-ace-sneaker-with-web-p-760775FACMZ4049</t>
        </is>
      </c>
      <c r="M1814" s="5">
        <f t="array" ref="M1814">_xlfn.IFS(J1814="NOTFOUND",I1814,J1814&gt;=I1814,J1814)</f>
        <v/>
      </c>
    </row>
    <row r="1815" ht="18" customHeight="1" s="16">
      <c r="A1815" s="5" t="n">
        <v>1814</v>
      </c>
      <c r="B1815" s="8" t="inlineStr">
        <is>
          <t>GU-4066</t>
        </is>
      </c>
      <c r="C1815" s="2" t="n"/>
      <c r="D1815" s="8" t="inlineStr">
        <is>
          <t>エースウェブ ストライプ スニーカー</t>
        </is>
      </c>
      <c r="E1815" s="8" t="inlineStr">
        <is>
          <t>760775 FAELM 8741</t>
        </is>
      </c>
      <c r="G1815" s="10" t="inlineStr">
        <is>
          <t>6_6.5_7_7.5_8_8.5_9_9.5_10</t>
        </is>
      </c>
      <c r="H1815" s="17" t="inlineStr">
        <is>
          <t>6_6.5_7_7.5_8_8.5_9_9.5_10</t>
        </is>
      </c>
      <c r="I1815" s="18" t="n">
        <v>117700</v>
      </c>
      <c r="J1815" s="19" t="n">
        <v>117700</v>
      </c>
      <c r="K1815" s="20" t="n">
        <v>5</v>
      </c>
      <c r="L1815" s="4" t="inlineStr">
        <is>
          <t>https://www.gucci.com/jp/ja/pr/men/shoes-for-men/sneakers-for-men/mens-gucci-ace-sneaker-with-web-p-760775FAELM8741</t>
        </is>
      </c>
      <c r="M1815" s="5">
        <f t="array" ref="M1815">_xlfn.IFS(J1815="NOTFOUND",I1815,J1815&gt;=I1815,J1815)</f>
        <v/>
      </c>
    </row>
    <row r="1816" ht="18" customHeight="1" s="16">
      <c r="A1816" s="5" t="n">
        <v>1815</v>
      </c>
      <c r="B1816" s="8" t="inlineStr">
        <is>
          <t>GU-4067</t>
        </is>
      </c>
      <c r="C1816" s="2" t="n"/>
      <c r="D1816" s="8" t="inlineStr">
        <is>
          <t>リウェブスニーカー</t>
        </is>
      </c>
      <c r="E1816" s="8" t="inlineStr">
        <is>
          <t>787476 AADHW 9552</t>
        </is>
      </c>
      <c r="G1816" s="10" t="inlineStr">
        <is>
          <t>5.5_6_6.5_7_7.5_8_8.5_9_9.5_10_10.5</t>
        </is>
      </c>
      <c r="H1816" s="17" t="inlineStr">
        <is>
          <t>5.5_6_6.5_7_7.5_8_8.5_9_9.5_10_10.5</t>
        </is>
      </c>
      <c r="I1816" s="18" t="n">
        <v>168300</v>
      </c>
      <c r="J1816" s="19" t="n">
        <v>168300</v>
      </c>
      <c r="K1816" s="20" t="n">
        <v>5</v>
      </c>
      <c r="L1816" s="4" t="inlineStr">
        <is>
          <t>https://www.gucci.com/jp/ja/pr/men/shoes-for-men/sneakers-for-men/mens-gucci-re-web-sneaker-p-787476AADHW9552</t>
        </is>
      </c>
      <c r="M1816" s="5">
        <f t="array" ref="M1816">_xlfn.IFS(J1816="NOTFOUND",I1816,J1816&gt;=I1816,J1816)</f>
        <v/>
      </c>
    </row>
    <row r="1817" ht="18" customHeight="1" s="16">
      <c r="A1817" s="5" t="n">
        <v>1816</v>
      </c>
      <c r="B1817" s="8" t="inlineStr">
        <is>
          <t>GU-4068</t>
        </is>
      </c>
      <c r="C1817" s="2" t="n"/>
      <c r="D1817" s="8" t="inlineStr">
        <is>
          <t>リウェブスニーカー</t>
        </is>
      </c>
      <c r="E1817" s="8" t="inlineStr">
        <is>
          <t>786186 AADJ9 1044</t>
        </is>
      </c>
      <c r="G1817" s="10" t="inlineStr">
        <is>
          <t>5_5.5_6_6.5_7_7.5_8_8.5_9_9.5_10_10.5</t>
        </is>
      </c>
      <c r="H1817" s="17" t="inlineStr">
        <is>
          <t>5_5.5_6_6.5_7_7.5_8_8.5_9_9.5_10_10.5</t>
        </is>
      </c>
      <c r="I1817" s="18" t="n">
        <v>168300</v>
      </c>
      <c r="J1817" s="19" t="n">
        <v>168300</v>
      </c>
      <c r="K1817" s="20" t="n">
        <v>5</v>
      </c>
      <c r="L1817" s="4" t="inlineStr">
        <is>
          <t>https://www.gucci.com/jp/ja/pr/men/shoes-for-men/sneakers-for-men/mens-gucci-re-web-sneaker-p-786186AADJ91044</t>
        </is>
      </c>
      <c r="M1817" s="5">
        <f t="array" ref="M1817">_xlfn.IFS(J1817="NOTFOUND",I1817,J1817&gt;=I1817,J1817)</f>
        <v/>
      </c>
    </row>
    <row r="1818" ht="18" customHeight="1" s="16">
      <c r="A1818" s="5" t="n">
        <v>1817</v>
      </c>
      <c r="B1818" s="8" t="inlineStr">
        <is>
          <t>GU-4069</t>
        </is>
      </c>
      <c r="C1818" s="2" t="n"/>
      <c r="D1818" s="8" t="inlineStr">
        <is>
          <t>エースウェブ ストライプ スニーカー</t>
        </is>
      </c>
      <c r="E1818" s="8" t="inlineStr">
        <is>
          <t>760775 FACMZ 1065</t>
        </is>
      </c>
      <c r="G1818" s="10" t="inlineStr">
        <is>
          <t>5_5.5_6_6.5_7_7.5_8_8.5_9_9.5_10_10.5_11</t>
        </is>
      </c>
      <c r="H1818" s="17" t="inlineStr">
        <is>
          <t>5_5.5_6_6.5_7_7.5_8_8.5_9_9.5_10_10.5_11</t>
        </is>
      </c>
      <c r="I1818" s="18" t="n">
        <v>117700</v>
      </c>
      <c r="J1818" s="19" t="n">
        <v>117700</v>
      </c>
      <c r="K1818" s="20" t="n">
        <v>5</v>
      </c>
      <c r="L1818" s="4" t="inlineStr">
        <is>
          <t>https://www.gucci.com/jp/ja/pr/men/shoes-for-men/sneakers-for-men/mens-gucci-ace-sneaker-with-web-p-760775FACMZ1065</t>
        </is>
      </c>
      <c r="M1818" s="5">
        <f t="array" ref="M1818">_xlfn.IFS(J1818="NOTFOUND",I1818,J1818&gt;=I1818,J1818)</f>
        <v/>
      </c>
    </row>
    <row r="1819" ht="18" customHeight="1" s="16">
      <c r="A1819" s="5" t="n">
        <v>1818</v>
      </c>
      <c r="B1819" s="8" t="inlineStr">
        <is>
          <t>GU-4070</t>
        </is>
      </c>
      <c r="C1819" s="2" t="n"/>
      <c r="D1819" s="8" t="inlineStr">
        <is>
          <t>エースエンブロイダリー付き スニーカー</t>
        </is>
      </c>
      <c r="E1819" s="8" t="inlineStr">
        <is>
          <t>429446 02JP0 9064</t>
        </is>
      </c>
      <c r="G1819" s="10" t="inlineStr">
        <is>
          <t>5_5.5_6_6.5_7_7.5_8_8.5_9_9.5_10_10.5_11_11.5_12_12.5_13_13.5_14_14.5_15_15.5_16</t>
        </is>
      </c>
      <c r="H1819" s="17" t="inlineStr">
        <is>
          <t>5_5.5_6_6.5_7_7.5_8_8.5_9_9.5_10_10.5_11_11.5_12_12.5_13_13.5_14_14.5_15_15.5_16</t>
        </is>
      </c>
      <c r="I1819" s="18" t="n">
        <v>132000</v>
      </c>
      <c r="J1819" s="19" t="n">
        <v>132000</v>
      </c>
      <c r="K1819" s="20" t="n">
        <v>5</v>
      </c>
      <c r="L1819" s="4" t="inlineStr">
        <is>
          <t>https://www.gucci.com/jp/ja/pr/men/shoes-for-men/sneakers-for-men/mens-ace-sneaker-with-embroidery-p-42944602JP09064</t>
        </is>
      </c>
      <c r="M1819" s="5">
        <f t="array" ref="M1819">_xlfn.IFS(J1819="NOTFOUND",I1819,J1819&gt;=I1819,J1819)</f>
        <v/>
      </c>
    </row>
    <row r="1820" ht="18" customHeight="1" s="16">
      <c r="A1820" s="5" t="n">
        <v>1819</v>
      </c>
      <c r="B1820" s="8" t="inlineStr">
        <is>
          <t>GU-4071</t>
        </is>
      </c>
      <c r="C1820" s="2" t="n"/>
      <c r="D1820" s="8" t="inlineStr">
        <is>
          <t>GG スニーカー</t>
        </is>
      </c>
      <c r="E1820" s="8" t="inlineStr">
        <is>
          <t>669582 AACV2 9048</t>
        </is>
      </c>
      <c r="G1820" s="10" t="inlineStr">
        <is>
          <t>5_5.5_6_6.5_7_7.5_8_8.5_9_9.5_10</t>
        </is>
      </c>
      <c r="H1820" s="17" t="inlineStr">
        <is>
          <t>5_6_6.5_7_7.5_8_8.5_9_9.5_10</t>
        </is>
      </c>
      <c r="I1820" s="18" t="n">
        <v>133100</v>
      </c>
      <c r="J1820" s="19" t="n">
        <v>133100</v>
      </c>
      <c r="K1820" s="20" t="n">
        <v>5</v>
      </c>
      <c r="L1820" s="4" t="inlineStr">
        <is>
          <t>https://www.gucci.com/jp/ja/pr/men/shoes-for-men/sneakers-for-men/mens-gg-sneaker-p-669582AACV29048</t>
        </is>
      </c>
      <c r="M1820" s="5">
        <f t="array" ref="M1820">_xlfn.IFS(J1820="NOTFOUND",I1820,J1820&gt;=I1820,J1820)</f>
        <v/>
      </c>
    </row>
    <row r="1821" ht="18" customHeight="1" s="16">
      <c r="A1821" s="5" t="n">
        <v>1820</v>
      </c>
      <c r="B1821" s="8" t="inlineStr">
        <is>
          <t>GU-4072</t>
        </is>
      </c>
      <c r="C1821" s="2" t="n"/>
      <c r="D1821" s="8" t="inlineStr">
        <is>
          <t>GG スニーカー</t>
        </is>
      </c>
      <c r="E1821" s="8" t="inlineStr">
        <is>
          <t>669582 AAEFU 1000</t>
        </is>
      </c>
      <c r="G1821" s="10" t="inlineStr">
        <is>
          <t>5.5_6_6.5_7_7.5_8_8.5_9_9.5_10</t>
        </is>
      </c>
      <c r="H1821" s="17" t="inlineStr">
        <is>
          <t>5.5_6_6.5_7_7.5_8_8.5_9_9.5_10</t>
        </is>
      </c>
      <c r="I1821" s="18" t="n">
        <v>133100</v>
      </c>
      <c r="J1821" s="19" t="n">
        <v>133100</v>
      </c>
      <c r="K1821" s="20" t="n">
        <v>5</v>
      </c>
      <c r="L1821" s="4" t="inlineStr">
        <is>
          <t>https://www.gucci.com/jp/ja/pr/men/shoes-for-men/sneakers-for-men/mens-gg-sneaker-p-669582AAEFU1000</t>
        </is>
      </c>
      <c r="M1821" s="5">
        <f t="array" ref="M1821">_xlfn.IFS(J1821="NOTFOUND",I1821,J1821&gt;=I1821,J1821)</f>
        <v/>
      </c>
    </row>
    <row r="1822" ht="18" customHeight="1" s="16">
      <c r="A1822" s="5" t="n">
        <v>1821</v>
      </c>
      <c r="B1822" s="8" t="inlineStr">
        <is>
          <t>GU-4073</t>
        </is>
      </c>
      <c r="C1822" s="2" t="n"/>
      <c r="D1822" s="8" t="inlineStr">
        <is>
          <t>GG スニーカー</t>
        </is>
      </c>
      <c r="E1822" s="8" t="inlineStr">
        <is>
          <t>669582 UPGB0 4273</t>
        </is>
      </c>
      <c r="G1822" s="10" t="inlineStr">
        <is>
          <t>5_5.5_6_6.5_7_7.5_8_8.5_9_9.5_10_10.5_11_11.5</t>
        </is>
      </c>
      <c r="H1822" s="17" t="inlineStr">
        <is>
          <t>5_5.5_6_6.5_7_7.5_8_8.5_9_9.5_10_10.5_11_11.5</t>
        </is>
      </c>
      <c r="I1822" s="18" t="n">
        <v>133100</v>
      </c>
      <c r="J1822" s="19" t="n">
        <v>133100</v>
      </c>
      <c r="K1822" s="20" t="n">
        <v>5</v>
      </c>
      <c r="L1822" s="4" t="inlineStr">
        <is>
          <t>https://www.gucci.com/jp/ja/pr/men/shoes-for-men/sneakers-for-men/mens-gg-sneaker-p-669582UPGB04273</t>
        </is>
      </c>
      <c r="M1822" s="5">
        <f t="array" ref="M1822">_xlfn.IFS(J1822="NOTFOUND",I1822,J1822&gt;=I1822,J1822)</f>
        <v/>
      </c>
    </row>
    <row r="1823" ht="18" customHeight="1" s="16">
      <c r="A1823" s="5" t="n">
        <v>1822</v>
      </c>
      <c r="B1823" s="8" t="inlineStr">
        <is>
          <t>GU-4074</t>
        </is>
      </c>
      <c r="C1823" s="2" t="n"/>
      <c r="D1823" s="8" t="inlineStr">
        <is>
          <t>スクリーナースニーカー</t>
        </is>
      </c>
      <c r="E1823" s="8" t="inlineStr">
        <is>
          <t>838984 9Y920 9644</t>
        </is>
      </c>
      <c r="G1823" s="10" t="inlineStr">
        <is>
          <t>6_6.5_7_7.5_8_8.5_9_9.5_10</t>
        </is>
      </c>
      <c r="H1823" s="17" t="inlineStr">
        <is>
          <t>6_6.5_7_7.5_8_8.5_9_9.5_10</t>
        </is>
      </c>
      <c r="I1823" s="18" t="n">
        <v>147400</v>
      </c>
      <c r="J1823" s="19" t="n">
        <v>147400</v>
      </c>
      <c r="K1823" s="20" t="n">
        <v>5</v>
      </c>
      <c r="L1823" s="4" t="inlineStr">
        <is>
          <t>https://www.gucci.com/jp/ja/pr/men/shoes-for-men/sneakers-for-men/mens-screener-sneaker-p-8389849Y9209644</t>
        </is>
      </c>
      <c r="M1823" s="5">
        <f t="array" ref="M1823">_xlfn.IFS(J1823="NOTFOUND",I1823,J1823&gt;=I1823,J1823)</f>
        <v/>
      </c>
    </row>
    <row r="1824" ht="18" customHeight="1" s="16">
      <c r="A1824" s="5" t="n">
        <v>1823</v>
      </c>
      <c r="B1824" s="8" t="inlineStr">
        <is>
          <t>GU-4075</t>
        </is>
      </c>
      <c r="C1824" s="2" t="n"/>
      <c r="D1824" s="8" t="inlineStr">
        <is>
          <t>スクリーナースニーカー</t>
        </is>
      </c>
      <c r="E1824" s="8" t="inlineStr">
        <is>
          <t>674530 96GE0 9766</t>
        </is>
      </c>
      <c r="G1824" s="11" t="inlineStr">
        <is>
          <t>SOLD</t>
        </is>
      </c>
      <c r="H1824" s="22" t="inlineStr">
        <is>
          <t>SOLD</t>
        </is>
      </c>
      <c r="I1824" s="18" t="n">
        <v>147400</v>
      </c>
      <c r="J1824" s="23" t="inlineStr">
        <is>
          <t>NOTFOUND</t>
        </is>
      </c>
      <c r="K1824" s="20" t="n">
        <v>0</v>
      </c>
      <c r="L1824" s="4" t="inlineStr">
        <is>
          <t>https://www.gucci.com/jp/ja/pr/men/shoes-for-men/sneakers-for-men/mens-screener-sneaker-p-67453096GE09766</t>
        </is>
      </c>
      <c r="M1824" s="5">
        <f t="array" ref="M1824">_xlfn.IFS(J1824="NOTFOUND",I1824,J1824&gt;=I1824,J1824)</f>
        <v/>
      </c>
    </row>
    <row r="1825" ht="18" customHeight="1" s="16">
      <c r="A1825" s="5" t="n">
        <v>1824</v>
      </c>
      <c r="B1825" s="8" t="inlineStr">
        <is>
          <t>GU-4076</t>
        </is>
      </c>
      <c r="C1825" s="2" t="n"/>
      <c r="D1825" s="8" t="inlineStr">
        <is>
          <t>ライトンロゴ レザー スニーカー</t>
        </is>
      </c>
      <c r="E1825" s="8" t="inlineStr">
        <is>
          <t>500877 DRW00 9522</t>
        </is>
      </c>
      <c r="G1825" s="10" t="inlineStr">
        <is>
          <t>5_5.5_6_6.5_7_7.5_8_8.5_9_9.5_10_10.5_11_11.5_13</t>
        </is>
      </c>
      <c r="H1825" s="17" t="inlineStr">
        <is>
          <t>5_5.5_6_6.5_7_7.5_8_8.5_9_9.5_10_10.5_11_11.5_13</t>
        </is>
      </c>
      <c r="I1825" s="18" t="n">
        <v>174900</v>
      </c>
      <c r="J1825" s="19" t="n">
        <v>174900</v>
      </c>
      <c r="K1825" s="20" t="n">
        <v>5</v>
      </c>
      <c r="L1825" s="4" t="inlineStr">
        <is>
          <t>https://www.gucci.com/jp/ja/pr/men/shoes-for-men/sneakers-for-men/mens-rhyton-sneaker-with-gucci-logo-p-500877DRW009522</t>
        </is>
      </c>
      <c r="M1825" s="5">
        <f t="array" ref="M1825">_xlfn.IFS(J1825="NOTFOUND",I1825,J1825&gt;=I1825,J1825)</f>
        <v/>
      </c>
    </row>
    <row r="1826" ht="18" customHeight="1" s="16">
      <c r="A1826" s="5" t="n">
        <v>1825</v>
      </c>
      <c r="B1826" s="8" t="inlineStr">
        <is>
          <t>GU-4077</t>
        </is>
      </c>
      <c r="C1826" s="2" t="n"/>
      <c r="D1826" s="8" t="inlineStr">
        <is>
          <t>テニス 1977GG スニーカー</t>
        </is>
      </c>
      <c r="E1826" s="8" t="inlineStr">
        <is>
          <t>606111 HVK20 9766</t>
        </is>
      </c>
      <c r="G1826" s="10" t="inlineStr">
        <is>
          <t>5_5.5_6_6.5_7_7.5_8_8.5_9_9.5_10_10.5_11_11.5_12_12.5_13_13.5_14_14.5_15_15.5</t>
        </is>
      </c>
      <c r="H1826" s="17" t="inlineStr">
        <is>
          <t>5_5.5_6_6.5_7_7.5_8_8.5_9_9.5_10_10.5_11_11.5_12_13_13.5_14_14.5_15_15.5</t>
        </is>
      </c>
      <c r="I1826" s="18" t="n">
        <v>113300</v>
      </c>
      <c r="J1826" s="19" t="n">
        <v>113300</v>
      </c>
      <c r="K1826" s="20" t="n">
        <v>5</v>
      </c>
      <c r="L1826" s="4" t="inlineStr">
        <is>
          <t>https://www.gucci.com/jp/ja/pr/men/shoes-for-men/sneakers-for-men/mens-gg-gucci-tennis-1977-sneaker-p-606111HVK209766</t>
        </is>
      </c>
      <c r="M1826" s="5">
        <f t="array" ref="M1826">_xlfn.IFS(J1826="NOTFOUND",I1826,J1826&gt;=I1826,J1826)</f>
        <v/>
      </c>
    </row>
    <row r="1827" ht="18" customHeight="1" s="16">
      <c r="A1827" s="5" t="n">
        <v>1826</v>
      </c>
      <c r="B1827" s="7" t="inlineStr">
        <is>
          <t>GU-4078</t>
        </is>
      </c>
      <c r="D1827" s="8" t="inlineStr">
        <is>
          <t>コットンジャージー プリント Tシャツ</t>
        </is>
      </c>
      <c r="E1827" s="8" t="inlineStr">
        <is>
          <t>796395 XJHDI 9034</t>
        </is>
      </c>
      <c r="G1827" s="10" t="inlineStr">
        <is>
          <t>XXS_XS_S_M_L_XL_XXL</t>
        </is>
      </c>
      <c r="H1827" s="17" t="inlineStr">
        <is>
          <t>XXS_XS_S_M_L_XL_XXL</t>
        </is>
      </c>
      <c r="I1827" s="21" t="n">
        <v>82500</v>
      </c>
      <c r="J1827" s="19" t="n">
        <v>82500</v>
      </c>
      <c r="K1827" s="20" t="n">
        <v>5</v>
      </c>
      <c r="L1827" s="4" t="inlineStr">
        <is>
          <t>https://www.gucci.com/jp/ja/pr/men/ready-to-wear-for-men/t-shirts-and-polo-shirts-for-men/short-sleeves-t-shirts-for-men/printed-cotton-jersey-t-shirt-p-796395XJHDI9034</t>
        </is>
      </c>
      <c r="M1827" s="5">
        <f t="array" ref="M1827">_xlfn.IFS(J1827="NOTFOUND",I1827,J1827&gt;=I1827,J1827)</f>
        <v/>
      </c>
    </row>
    <row r="1828" ht="18" customHeight="1" s="16">
      <c r="A1828" s="5" t="n">
        <v>1827</v>
      </c>
      <c r="B1828" s="5" t="inlineStr">
        <is>
          <t>GU-4079</t>
        </is>
      </c>
      <c r="D1828" s="8" t="inlineStr">
        <is>
          <t>コットンジャージー プリント Tシャツ</t>
        </is>
      </c>
      <c r="E1828" s="8" t="inlineStr">
        <is>
          <t>833925 XJHDL 4632</t>
        </is>
      </c>
      <c r="G1828" s="10" t="inlineStr">
        <is>
          <t>XXS_XS_S_M_L_XL_XXL</t>
        </is>
      </c>
      <c r="H1828" s="17" t="inlineStr">
        <is>
          <t>XXS_XS_S_M_L_XL_XXL</t>
        </is>
      </c>
      <c r="I1828" s="21" t="n">
        <v>126500</v>
      </c>
      <c r="J1828" s="19" t="n">
        <v>126500</v>
      </c>
      <c r="K1828" s="20" t="n">
        <v>5</v>
      </c>
      <c r="L1828" s="4" t="inlineStr">
        <is>
          <t>https://www.gucci.com/jp/ja/pr/men/ready-to-wear-for-men/t-shirts-and-polo-shirts-for-men/short-sleeves-t-shirts-for-men/printed-cotton-jersey-t-shirt-p-833925XJHDL4632</t>
        </is>
      </c>
      <c r="M1828" s="5">
        <f t="array" ref="M1828">_xlfn.IFS(J1828="NOTFOUND",I1828,J1828&gt;=I1828,J1828)</f>
        <v/>
      </c>
    </row>
    <row r="1829" ht="18" customHeight="1" s="16">
      <c r="A1829" s="5" t="n">
        <v>1828</v>
      </c>
      <c r="B1829" s="5" t="inlineStr">
        <is>
          <t>GU-4080</t>
        </is>
      </c>
      <c r="D1829" s="8" t="inlineStr">
        <is>
          <t>コットンジャージー プリント Tシャツ</t>
        </is>
      </c>
      <c r="E1829" s="8" t="inlineStr">
        <is>
          <t>796395 XJHDB 9074</t>
        </is>
      </c>
      <c r="G1829" s="10" t="inlineStr">
        <is>
          <t>XXS_XS_S_M_L_XL_XXL</t>
        </is>
      </c>
      <c r="H1829" s="17" t="inlineStr">
        <is>
          <t>XXS_XS_S_M_L_XL</t>
        </is>
      </c>
      <c r="I1829" s="21" t="n">
        <v>82500</v>
      </c>
      <c r="J1829" s="19" t="n">
        <v>82500</v>
      </c>
      <c r="K1829" s="20" t="n">
        <v>5</v>
      </c>
      <c r="L1829" s="4" t="inlineStr">
        <is>
          <t>https://www.gucci.com/jp/ja/pr/men/ready-to-wear-for-men/t-shirts-and-polo-shirts-for-men/short-sleeves-t-shirts-for-men/printed-cotton-jersey-t-shirt-p-796395XJHDB9074</t>
        </is>
      </c>
      <c r="M1829" s="5">
        <f t="array" ref="M1829">_xlfn.IFS(J1829="NOTFOUND",I1829,J1829&gt;=I1829,J1829)</f>
        <v/>
      </c>
    </row>
    <row r="1830" ht="18" customHeight="1" s="16">
      <c r="A1830" s="5" t="n">
        <v>1829</v>
      </c>
      <c r="B1830" s="5" t="inlineStr">
        <is>
          <t>GU-4081</t>
        </is>
      </c>
      <c r="D1830" s="8" t="inlineStr">
        <is>
          <t>コットンジャージー プリント Tシャツ</t>
        </is>
      </c>
      <c r="E1830" s="8" t="inlineStr">
        <is>
          <t>796395 XJHDB 4027</t>
        </is>
      </c>
      <c r="G1830" s="10" t="inlineStr">
        <is>
          <t>XXS_XS_S_M_L_XL_XXL</t>
        </is>
      </c>
      <c r="H1830" s="17" t="inlineStr">
        <is>
          <t>XXS_XS_S_M_L_XL_XXL</t>
        </is>
      </c>
      <c r="I1830" s="21" t="n">
        <v>82500</v>
      </c>
      <c r="J1830" s="19" t="n">
        <v>82500</v>
      </c>
      <c r="K1830" s="20" t="n">
        <v>5</v>
      </c>
      <c r="L1830" s="4" t="inlineStr">
        <is>
          <t>https://www.gucci.com/jp/ja/pr/men/ready-to-wear-for-men/t-shirts-and-polo-shirts-for-men/short-sleeves-t-shirts-for-men/printed-cotton-jersey-t-shirt-p-796395XJHDB4027</t>
        </is>
      </c>
      <c r="M1830" s="5">
        <f t="array" ref="M1830">_xlfn.IFS(J1830="NOTFOUND",I1830,J1830&gt;=I1830,J1830)</f>
        <v/>
      </c>
    </row>
    <row r="1831" ht="18" customHeight="1" s="16">
      <c r="A1831" s="5" t="n">
        <v>1830</v>
      </c>
      <c r="B1831" s="5" t="inlineStr">
        <is>
          <t>GU-4082</t>
        </is>
      </c>
      <c r="D1831" s="8" t="inlineStr">
        <is>
          <t>プリント コットンジャージー Tシャツ</t>
        </is>
      </c>
      <c r="E1831" s="8" t="inlineStr">
        <is>
          <t>796395 XJG25 9692</t>
        </is>
      </c>
      <c r="G1831" s="10" t="inlineStr">
        <is>
          <t>XS_S_M_L_XL_XXL</t>
        </is>
      </c>
      <c r="H1831" s="17" t="inlineStr">
        <is>
          <t>XS_S_M_L_XL_XXL</t>
        </is>
      </c>
      <c r="I1831" s="21" t="n">
        <v>82500</v>
      </c>
      <c r="J1831" s="19" t="n">
        <v>82500</v>
      </c>
      <c r="K1831" s="20" t="n">
        <v>5</v>
      </c>
      <c r="L1831" s="4" t="inlineStr">
        <is>
          <t>https://www.gucci.com/jp/ja/pr/men/ready-to-wear-for-men/t-shirts-and-polo-shirts-for-men/short-sleeves-t-shirts-for-men/cotton-jersey-t-shirt-with-print-p-796395XJG259692</t>
        </is>
      </c>
      <c r="M1831" s="5">
        <f t="array" ref="M1831">_xlfn.IFS(J1831="NOTFOUND",I1831,J1831&gt;=I1831,J1831)</f>
        <v/>
      </c>
    </row>
    <row r="1832" ht="18" customHeight="1" s="16">
      <c r="A1832" s="5" t="n">
        <v>1831</v>
      </c>
      <c r="B1832" s="5" t="inlineStr">
        <is>
          <t>GU-4083</t>
        </is>
      </c>
      <c r="D1832" s="8" t="inlineStr">
        <is>
          <t>プリント コットンピケ ポロシャツ</t>
        </is>
      </c>
      <c r="E1832" s="8" t="inlineStr">
        <is>
          <t>784422 XJG17 9074</t>
        </is>
      </c>
      <c r="G1832" s="10" t="inlineStr">
        <is>
          <t>XS_S_M_XL</t>
        </is>
      </c>
      <c r="H1832" s="17" t="inlineStr">
        <is>
          <t>XS_S_M_XL</t>
        </is>
      </c>
      <c r="I1832" s="21" t="n">
        <v>121000</v>
      </c>
      <c r="J1832" s="19" t="n">
        <v>121000</v>
      </c>
      <c r="K1832" s="20" t="n">
        <v>5</v>
      </c>
      <c r="L1832" s="4" t="inlineStr">
        <is>
          <t>https://www.gucci.com/jp/ja/pr/men/ready-to-wear-for-men/t-shirts-and-polo-shirts-for-men/polo-shirts-for-men/cotton-piquet-polo-shirt-with-print-p-784422XJG179074</t>
        </is>
      </c>
      <c r="M1832" s="5">
        <f t="array" ref="M1832">_xlfn.IFS(J1832="NOTFOUND",I1832,J1832&gt;=I1832,J1832)</f>
        <v/>
      </c>
    </row>
    <row r="1833" ht="18" customHeight="1" s="16">
      <c r="A1833" s="5" t="n">
        <v>1832</v>
      </c>
      <c r="B1833" s="5" t="inlineStr">
        <is>
          <t>GU-4084</t>
        </is>
      </c>
      <c r="D1833" s="8" t="inlineStr">
        <is>
          <t>コットンジャージー プリント Tシャツ</t>
        </is>
      </c>
      <c r="E1833" s="8" t="inlineStr">
        <is>
          <t>796395 XJG8V 9074</t>
        </is>
      </c>
      <c r="G1833" s="10" t="inlineStr">
        <is>
          <t>XS_S_M_L_XL_XXXL</t>
        </is>
      </c>
      <c r="H1833" s="17" t="inlineStr">
        <is>
          <t>XS_S_M_L_XL_XXXL</t>
        </is>
      </c>
      <c r="I1833" s="21" t="n">
        <v>93500</v>
      </c>
      <c r="J1833" s="19" t="n">
        <v>93500</v>
      </c>
      <c r="K1833" s="20" t="n">
        <v>5</v>
      </c>
      <c r="L1833" s="4" t="inlineStr">
        <is>
          <t>https://www.gucci.com/jp/ja/pr/men/ready-to-wear-for-men/t-shirts-and-polo-shirts-for-men/short-sleeves-t-shirts-for-men/printed-cotton-jersey-t-shirt-p-796395XJG8V9074</t>
        </is>
      </c>
      <c r="M1833" s="5">
        <f t="array" ref="M1833">_xlfn.IFS(J1833="NOTFOUND",I1833,J1833&gt;=I1833,J1833)</f>
        <v/>
      </c>
    </row>
    <row r="1834" ht="18" customHeight="1" s="16">
      <c r="A1834" s="5" t="n">
        <v>1833</v>
      </c>
      <c r="B1834" s="5" t="inlineStr">
        <is>
          <t>GU-4085</t>
        </is>
      </c>
      <c r="D1834" s="8" t="inlineStr">
        <is>
          <t>エンブロイダリー付き コットンジャージー Tシャツ</t>
        </is>
      </c>
      <c r="E1834" s="8" t="inlineStr">
        <is>
          <t>796395 XJG29 5175</t>
        </is>
      </c>
      <c r="G1834" s="10" t="inlineStr">
        <is>
          <t>XS_S_M_L</t>
        </is>
      </c>
      <c r="H1834" s="17" t="inlineStr">
        <is>
          <t>XS_S_M_L</t>
        </is>
      </c>
      <c r="I1834" s="21" t="n">
        <v>93500</v>
      </c>
      <c r="J1834" s="19" t="n">
        <v>93500</v>
      </c>
      <c r="K1834" s="20" t="n">
        <v>5</v>
      </c>
      <c r="L1834" s="4" t="inlineStr">
        <is>
          <t>https://www.gucci.com/jp/ja/pr/men/ready-to-wear-for-men/t-shirts-and-polo-shirts-for-men/short-sleeves-t-shirts-for-men/cotton-jersey-t-shirt-with-embroidery-p-796395XJG295175</t>
        </is>
      </c>
      <c r="M1834" s="5">
        <f t="array" ref="M1834">_xlfn.IFS(J1834="NOTFOUND",I1834,J1834&gt;=I1834,J1834)</f>
        <v/>
      </c>
    </row>
    <row r="1835" ht="18" customHeight="1" s="16">
      <c r="A1835" s="5" t="n">
        <v>1834</v>
      </c>
      <c r="B1835" s="5" t="inlineStr">
        <is>
          <t>GU-4086</t>
        </is>
      </c>
      <c r="D1835" s="8" t="inlineStr">
        <is>
          <t>エンブロイダリー付き コットンジャージー Tシャツ</t>
        </is>
      </c>
      <c r="E1835" s="8" t="inlineStr">
        <is>
          <t>796395 XJG29 9692</t>
        </is>
      </c>
      <c r="G1835" s="10" t="inlineStr">
        <is>
          <t>XS_S_M_L</t>
        </is>
      </c>
      <c r="H1835" s="17" t="inlineStr">
        <is>
          <t>XS_S_M_L</t>
        </is>
      </c>
      <c r="I1835" s="21" t="n">
        <v>93500</v>
      </c>
      <c r="J1835" s="19" t="n">
        <v>93500</v>
      </c>
      <c r="K1835" s="20" t="n">
        <v>5</v>
      </c>
      <c r="L1835" s="4" t="inlineStr">
        <is>
          <t>https://www.gucci.com/jp/ja/pr/men/ready-to-wear-for-men/t-shirts-and-polo-shirts-for-men/short-sleeves-t-shirts-for-men/cotton-jersey-t-shirt-with-embroidery-p-796395XJG299692</t>
        </is>
      </c>
      <c r="M1835" s="5">
        <f t="array" ref="M1835">_xlfn.IFS(J1835="NOTFOUND",I1835,J1835&gt;=I1835,J1835)</f>
        <v/>
      </c>
    </row>
    <row r="1836" ht="18" customHeight="1" s="16">
      <c r="A1836" s="5" t="n">
        <v>1835</v>
      </c>
      <c r="B1836" s="5" t="inlineStr">
        <is>
          <t>GU-4087</t>
        </is>
      </c>
      <c r="D1836" s="8" t="inlineStr">
        <is>
          <t>コットンジャージー Tシャツ</t>
        </is>
      </c>
      <c r="E1836" s="8" t="inlineStr">
        <is>
          <t>796395 XJG55 9692</t>
        </is>
      </c>
      <c r="G1836" s="10" t="inlineStr">
        <is>
          <t>XS_S_M_L_XL_XXL_XXXL</t>
        </is>
      </c>
      <c r="H1836" s="17" t="inlineStr">
        <is>
          <t>XS_S_M_L_XL_XXL</t>
        </is>
      </c>
      <c r="I1836" s="21" t="n">
        <v>93500</v>
      </c>
      <c r="J1836" s="19" t="n">
        <v>93500</v>
      </c>
      <c r="K1836" s="20" t="n">
        <v>5</v>
      </c>
      <c r="L1836" s="4" t="inlineStr">
        <is>
          <t>https://www.gucci.com/jp/ja/pr/men/ready-to-wear-for-men/t-shirts-and-polo-shirts-for-men/short-sleeves-t-shirts-for-men/cotton-jersey-t-shirt-p-796395XJG559692</t>
        </is>
      </c>
      <c r="M1836" s="5">
        <f t="array" ref="M1836">_xlfn.IFS(J1836="NOTFOUND",I1836,J1836&gt;=I1836,J1836)</f>
        <v/>
      </c>
    </row>
    <row r="1837" ht="18" customHeight="1" s="16">
      <c r="A1837" s="5" t="n">
        <v>1836</v>
      </c>
      <c r="B1837" s="5" t="inlineStr">
        <is>
          <t>GU-4088</t>
        </is>
      </c>
      <c r="D1837" s="8" t="inlineStr">
        <is>
          <t>ライトコットンジャージー Tシャツ</t>
        </is>
      </c>
      <c r="E1837" s="8" t="inlineStr">
        <is>
          <t>791547 XJG9W 9000</t>
        </is>
      </c>
      <c r="G1837" s="10" t="inlineStr">
        <is>
          <t>XXS_XS_S_M_L_XL</t>
        </is>
      </c>
      <c r="H1837" s="17" t="inlineStr">
        <is>
          <t>XXS_XS_S_M_L_XL</t>
        </is>
      </c>
      <c r="I1837" s="21" t="n">
        <v>104500</v>
      </c>
      <c r="J1837" s="19" t="n">
        <v>104500</v>
      </c>
      <c r="K1837" s="20" t="n">
        <v>5</v>
      </c>
      <c r="L1837" s="4" t="inlineStr">
        <is>
          <t>https://www.gucci.com/jp/ja/pr/men/ready-to-wear-for-men/t-shirts-and-polo-shirts-for-men/short-sleeves-t-shirts-for-men/light-cotton-jersey-t-shirt-p-791547XJG9W9000</t>
        </is>
      </c>
      <c r="M1837" s="5">
        <f t="array" ref="M1837">_xlfn.IFS(J1837="NOTFOUND",I1837,J1837&gt;=I1837,J1837)</f>
        <v/>
      </c>
    </row>
    <row r="1838" ht="18" customHeight="1" s="16">
      <c r="A1838" s="5" t="n">
        <v>1837</v>
      </c>
      <c r="B1838" s="5" t="inlineStr">
        <is>
          <t>GU-4089</t>
        </is>
      </c>
      <c r="D1838" s="8" t="inlineStr">
        <is>
          <t>プリント テクニカルコットンジャージー Tシャツ</t>
        </is>
      </c>
      <c r="E1838" s="8" t="inlineStr">
        <is>
          <t>798115 XJHEU 4804</t>
        </is>
      </c>
      <c r="G1838" s="10" t="inlineStr">
        <is>
          <t>XS_S_M_L</t>
        </is>
      </c>
      <c r="H1838" s="17" t="inlineStr">
        <is>
          <t>XS_S_M_L</t>
        </is>
      </c>
      <c r="I1838" s="21" t="n">
        <v>176000</v>
      </c>
      <c r="J1838" s="19" t="n">
        <v>176000</v>
      </c>
      <c r="K1838" s="20" t="n">
        <v>5</v>
      </c>
      <c r="L1838" s="4" t="inlineStr">
        <is>
          <t>https://www.gucci.com/jp/ja/pr/men/ready-to-wear-for-men/t-shirts-and-polo-shirts-for-men/short-sleeves-t-shirts-for-men/technical-cotton-jersey-t-shirt-with-print-p-798115XJHEU4804</t>
        </is>
      </c>
      <c r="M1838" s="5">
        <f t="array" ref="M1838">_xlfn.IFS(J1838="NOTFOUND",I1838,J1838&gt;=I1838,J1838)</f>
        <v/>
      </c>
    </row>
    <row r="1839" ht="18" customHeight="1" s="16">
      <c r="A1839" s="5" t="n">
        <v>1838</v>
      </c>
      <c r="B1839" s="5" t="inlineStr">
        <is>
          <t>GU-4090</t>
        </is>
      </c>
      <c r="D1839" s="8" t="inlineStr">
        <is>
          <t>プリント コットンジャージー Tシャツ</t>
        </is>
      </c>
      <c r="E1839" s="8" t="inlineStr">
        <is>
          <t>796395 XJHDH 9074</t>
        </is>
      </c>
      <c r="G1839" s="10" t="inlineStr">
        <is>
          <t>XXS_XS_S_M_L_XL_XXL</t>
        </is>
      </c>
      <c r="H1839" s="17" t="inlineStr">
        <is>
          <t>XXS_XS_S_M_L_XL_XXL</t>
        </is>
      </c>
      <c r="I1839" s="21" t="n">
        <v>82500</v>
      </c>
      <c r="J1839" s="19" t="n">
        <v>82500</v>
      </c>
      <c r="K1839" s="20" t="n">
        <v>5</v>
      </c>
      <c r="L1839" s="4" t="inlineStr">
        <is>
          <t>https://www.gucci.com/jp/ja/pr/men/ready-to-wear-for-men/t-shirts-and-polo-shirts-for-men/short-sleeves-t-shirts-for-men/cotton-jersey-t-shirt-with-print-p-796395XJHDH9074</t>
        </is>
      </c>
      <c r="M1839" s="5">
        <f t="array" ref="M1839">_xlfn.IFS(J1839="NOTFOUND",I1839,J1839&gt;=I1839,J1839)</f>
        <v/>
      </c>
    </row>
    <row r="1840" ht="18" customHeight="1" s="16">
      <c r="A1840" s="5" t="n">
        <v>1839</v>
      </c>
      <c r="B1840" s="5" t="inlineStr">
        <is>
          <t>GU-4091</t>
        </is>
      </c>
      <c r="D1840" s="8" t="inlineStr">
        <is>
          <t>プリント コットンジャージー Tシャツ</t>
        </is>
      </c>
      <c r="E1840" s="8" t="inlineStr">
        <is>
          <t>796395 XJHDH 5139</t>
        </is>
      </c>
      <c r="G1840" s="10" t="inlineStr">
        <is>
          <t>XXS_XS_S_M_L_XL</t>
        </is>
      </c>
      <c r="H1840" s="17" t="inlineStr">
        <is>
          <t>XXS_XS_S_M_L_XL</t>
        </is>
      </c>
      <c r="I1840" s="21" t="n">
        <v>82500</v>
      </c>
      <c r="J1840" s="19" t="n">
        <v>82500</v>
      </c>
      <c r="K1840" s="20" t="n">
        <v>5</v>
      </c>
      <c r="L1840" s="4" t="inlineStr">
        <is>
          <t>https://www.gucci.com/jp/ja/pr/men/ready-to-wear-for-men/t-shirts-and-polo-shirts-for-men/short-sleeves-t-shirts-for-men/cotton-jersey-t-shirt-with-print-p-796395XJHDH5139</t>
        </is>
      </c>
      <c r="M1840" s="5">
        <f t="array" ref="M1840">_xlfn.IFS(J1840="NOTFOUND",I1840,J1840&gt;=I1840,J1840)</f>
        <v/>
      </c>
    </row>
    <row r="1841" ht="18" customHeight="1" s="16">
      <c r="A1841" s="5" t="n">
        <v>1840</v>
      </c>
      <c r="B1841" s="5" t="inlineStr">
        <is>
          <t>GU-4092</t>
        </is>
      </c>
      <c r="D1841" s="8" t="inlineStr">
        <is>
          <t>コットンジャージー プリント Tシャツ</t>
        </is>
      </c>
      <c r="E1841" s="8" t="inlineStr">
        <is>
          <t>796395 XJG7W 1097</t>
        </is>
      </c>
      <c r="G1841" s="10" t="inlineStr">
        <is>
          <t>XS_S_M_L</t>
        </is>
      </c>
      <c r="H1841" s="17" t="inlineStr">
        <is>
          <t>XS_S_M</t>
        </is>
      </c>
      <c r="I1841" s="21" t="n">
        <v>93500</v>
      </c>
      <c r="J1841" s="19" t="n">
        <v>93500</v>
      </c>
      <c r="K1841" s="20" t="n">
        <v>5</v>
      </c>
      <c r="L1841" s="4" t="inlineStr">
        <is>
          <t>https://www.gucci.com/jp/ja/pr/men/ready-to-wear-for-men/t-shirts-and-polo-shirts-for-men/short-sleeves-t-shirts-for-men/printed-cotton-jersey-t-shirt-p-796395XJG7W1097</t>
        </is>
      </c>
      <c r="M1841" s="5">
        <f t="array" ref="M1841">_xlfn.IFS(J1841="NOTFOUND",I1841,J1841&gt;=I1841,J1841)</f>
        <v/>
      </c>
    </row>
    <row r="1842" ht="18" customHeight="1" s="16">
      <c r="A1842" s="5" t="n">
        <v>1841</v>
      </c>
      <c r="B1842" s="5" t="inlineStr">
        <is>
          <t>GU-4093</t>
        </is>
      </c>
      <c r="D1842" s="8" t="inlineStr">
        <is>
          <t>コットンジャージー プリント Tシャツ</t>
        </is>
      </c>
      <c r="E1842" s="8" t="inlineStr">
        <is>
          <t>796395 XJG3P 9074</t>
        </is>
      </c>
      <c r="G1842" s="10" t="inlineStr">
        <is>
          <t>XXS_XS_S_M_L_XL</t>
        </is>
      </c>
      <c r="H1842" s="17" t="inlineStr">
        <is>
          <t>XXS_XS_S_M_L_XL</t>
        </is>
      </c>
      <c r="I1842" s="21" t="n">
        <v>82500</v>
      </c>
      <c r="J1842" s="19" t="n">
        <v>82500</v>
      </c>
      <c r="K1842" s="20" t="n">
        <v>5</v>
      </c>
      <c r="L1842" s="4" t="inlineStr">
        <is>
          <t>https://www.gucci.com/jp/ja/pr/men/ready-to-wear-for-men/t-shirts-and-polo-shirts-for-men/short-sleeves-t-shirts-for-men/cotton-jersey-t-shirt-with-print-p-796395XJG3P9074</t>
        </is>
      </c>
      <c r="M1842" s="5">
        <f t="array" ref="M1842">_xlfn.IFS(J1842="NOTFOUND",I1842,J1842&gt;=I1842,J1842)</f>
        <v/>
      </c>
    </row>
    <row r="1843" ht="18" customHeight="1" s="16">
      <c r="A1843" s="5" t="n">
        <v>1842</v>
      </c>
      <c r="B1843" s="5" t="inlineStr">
        <is>
          <t>GU-4094</t>
        </is>
      </c>
      <c r="D1843" s="8" t="inlineStr">
        <is>
          <t>プリント コットンジャージー Tシャツ</t>
        </is>
      </c>
      <c r="E1843" s="8" t="inlineStr">
        <is>
          <t>796395 XJG3P 4735</t>
        </is>
      </c>
      <c r="G1843" s="10" t="inlineStr">
        <is>
          <t>XS_S_M_L_XL</t>
        </is>
      </c>
      <c r="H1843" s="17" t="inlineStr">
        <is>
          <t>XS_S_M_L_XL</t>
        </is>
      </c>
      <c r="I1843" s="21" t="n">
        <v>82500</v>
      </c>
      <c r="J1843" s="19" t="n">
        <v>82500</v>
      </c>
      <c r="K1843" s="20" t="n">
        <v>5</v>
      </c>
      <c r="L1843" s="4" t="inlineStr">
        <is>
          <t>https://www.gucci.com/jp/ja/pr/men/ready-to-wear-for-men/t-shirts-and-polo-shirts-for-men/short-sleeves-t-shirts-for-men/cotton-jersey-t-shirt-with-print-p-796395XJG3P4735</t>
        </is>
      </c>
      <c r="M1843" s="5">
        <f t="array" ref="M1843">_xlfn.IFS(J1843="NOTFOUND",I1843,J1843&gt;=I1843,J1843)</f>
        <v/>
      </c>
    </row>
    <row r="1844" ht="18" customHeight="1" s="16">
      <c r="A1844" s="5" t="n">
        <v>1843</v>
      </c>
      <c r="B1844" s="5" t="inlineStr">
        <is>
          <t>GU-4095</t>
        </is>
      </c>
      <c r="D1844" s="8" t="inlineStr">
        <is>
          <t>プリント コットンジャージー Tシャツ</t>
        </is>
      </c>
      <c r="E1844" s="8" t="inlineStr">
        <is>
          <t>784361 XJGTE 4804</t>
        </is>
      </c>
      <c r="G1844" s="10" t="inlineStr">
        <is>
          <t>XXS_XS_S_M_L_XL</t>
        </is>
      </c>
      <c r="H1844" s="17" t="inlineStr">
        <is>
          <t>XXS_XS_S_M_L_XL</t>
        </is>
      </c>
      <c r="I1844" s="21" t="n">
        <v>82500</v>
      </c>
      <c r="J1844" s="19" t="n">
        <v>82500</v>
      </c>
      <c r="K1844" s="20" t="n">
        <v>5</v>
      </c>
      <c r="L1844" s="4" t="inlineStr">
        <is>
          <t>https://www.gucci.com/jp/ja/pr/men/ready-to-wear-for-men/t-shirts-and-polo-shirts-for-men/short-sleeves-t-shirts-for-men/cotton-jersey-t-shirt-with-print-p-784361XJGTE4804</t>
        </is>
      </c>
      <c r="M1844" s="5">
        <f t="array" ref="M1844">_xlfn.IFS(J1844="NOTFOUND",I1844,J1844&gt;=I1844,J1844)</f>
        <v/>
      </c>
    </row>
    <row r="1845" ht="18" customHeight="1" s="16">
      <c r="A1845" s="5" t="n">
        <v>1844</v>
      </c>
      <c r="B1845" s="5" t="inlineStr">
        <is>
          <t>GU-4096</t>
        </is>
      </c>
      <c r="D1845" s="8" t="inlineStr">
        <is>
          <t>プリント コットンジャージー Tシャツ</t>
        </is>
      </c>
      <c r="E1845" s="8" t="inlineStr">
        <is>
          <t>784361 XJGTE 2293</t>
        </is>
      </c>
      <c r="G1845" s="10" t="inlineStr">
        <is>
          <t>XXS_XS_S_M_L_XL</t>
        </is>
      </c>
      <c r="H1845" s="17" t="inlineStr">
        <is>
          <t>XXS_XS_S_M_L_XL</t>
        </is>
      </c>
      <c r="I1845" s="21" t="n">
        <v>82500</v>
      </c>
      <c r="J1845" s="19" t="n">
        <v>82500</v>
      </c>
      <c r="K1845" s="20" t="n">
        <v>5</v>
      </c>
      <c r="L1845" s="4" t="inlineStr">
        <is>
          <t>https://www.gucci.com/jp/ja/pr/men/ready-to-wear-for-men/t-shirts-and-polo-shirts-for-men/short-sleeves-t-shirts-for-men/cotton-jersey-t-shirt-with-print-p-784361XJGTE2293</t>
        </is>
      </c>
      <c r="M1845" s="5">
        <f t="array" ref="M1845">_xlfn.IFS(J1845="NOTFOUND",I1845,J1845&gt;=I1845,J1845)</f>
        <v/>
      </c>
    </row>
    <row r="1846" ht="18" customHeight="1" s="16">
      <c r="A1846" s="5" t="n">
        <v>1845</v>
      </c>
      <c r="B1846" s="5" t="inlineStr">
        <is>
          <t>GU-4097</t>
        </is>
      </c>
      <c r="D1846" s="8" t="inlineStr">
        <is>
          <t>エンブロイダリー付き コットンジャージー Tシャツ</t>
        </is>
      </c>
      <c r="E1846" s="8" t="inlineStr">
        <is>
          <t>835640 XJHCV 9692</t>
        </is>
      </c>
      <c r="G1846" s="10" t="inlineStr">
        <is>
          <t>XS_S_M_L_XL_XXL</t>
        </is>
      </c>
      <c r="H1846" s="17" t="inlineStr">
        <is>
          <t>XXS_XS_S_M_L_XL_XXL</t>
        </is>
      </c>
      <c r="I1846" s="21" t="n">
        <v>115500</v>
      </c>
      <c r="J1846" s="19" t="n">
        <v>115500</v>
      </c>
      <c r="K1846" s="20" t="n">
        <v>5</v>
      </c>
      <c r="L1846" s="4" t="inlineStr">
        <is>
          <t>https://www.gucci.com/jp/ja/pr/men/ready-to-wear-for-men/t-shirts-and-polo-shirts-for-men/short-sleeves-t-shirts-for-men/cotton-jersey-t-shirt-with-embroidery-p-835640XJHCV9692</t>
        </is>
      </c>
      <c r="M1846" s="5">
        <f t="array" ref="M1846">_xlfn.IFS(J1846="NOTFOUND",I1846,J1846&gt;=I1846,J1846)</f>
        <v/>
      </c>
    </row>
    <row r="1847" ht="18" customHeight="1" s="16">
      <c r="A1847" s="5" t="n">
        <v>1846</v>
      </c>
      <c r="B1847" s="5" t="inlineStr">
        <is>
          <t>GU-4098</t>
        </is>
      </c>
      <c r="D1847" s="8" t="inlineStr">
        <is>
          <t>エンブロイダリー コットンピケ ポロTシャツ</t>
        </is>
      </c>
      <c r="E1847" s="8" t="inlineStr">
        <is>
          <t>795174 XJHHM 9000</t>
        </is>
      </c>
      <c r="G1847" s="10" t="inlineStr">
        <is>
          <t>XXS_XS_S_M_L_XL_XXL_XXXL</t>
        </is>
      </c>
      <c r="H1847" s="17" t="inlineStr">
        <is>
          <t>XXS_XS_S_M_L_XL_XXL_XXXL</t>
        </is>
      </c>
      <c r="I1847" s="21" t="n">
        <v>104500</v>
      </c>
      <c r="J1847" s="19" t="n">
        <v>104500</v>
      </c>
      <c r="K1847" s="20" t="n">
        <v>5</v>
      </c>
      <c r="L1847" s="4" t="inlineStr">
        <is>
          <t>https://www.gucci.com/jp/ja/pr/men/ready-to-wear-for-men/t-shirts-and-polo-shirts-for-men/polo-shirts-for-men/cotton-piquet-polo-shirt-with-embroidery-p-795174XJHHM9000</t>
        </is>
      </c>
      <c r="M1847" s="5">
        <f t="array" ref="M1847">_xlfn.IFS(J1847="NOTFOUND",I1847,J1847&gt;=I1847,J1847)</f>
        <v/>
      </c>
    </row>
    <row r="1848" ht="18" customHeight="1" s="16">
      <c r="A1848" s="5" t="n">
        <v>1847</v>
      </c>
      <c r="B1848" s="5" t="inlineStr">
        <is>
          <t>GU-4099</t>
        </is>
      </c>
      <c r="D1848" s="8" t="inlineStr">
        <is>
          <t>コットンピケ ポロTシャツ</t>
        </is>
      </c>
      <c r="E1848" s="8" t="inlineStr">
        <is>
          <t>829434 XJHEF 4794</t>
        </is>
      </c>
      <c r="G1848" s="10" t="inlineStr">
        <is>
          <t>XXS_XS_S_M_L_XXL</t>
        </is>
      </c>
      <c r="H1848" s="17" t="inlineStr">
        <is>
          <t>XS_S_M_L</t>
        </is>
      </c>
      <c r="I1848" s="21" t="n">
        <v>121000</v>
      </c>
      <c r="J1848" s="19" t="n">
        <v>121000</v>
      </c>
      <c r="K1848" s="20" t="n">
        <v>5</v>
      </c>
      <c r="L1848" s="4" t="inlineStr">
        <is>
          <t>https://www.gucci.com/jp/ja/pr/men/ready-to-wear-for-men/t-shirts-and-polo-shirts-for-men/polo-shirts-for-men/cotton-piquet-polo-shirt-p-829434XJHEF4794</t>
        </is>
      </c>
      <c r="M1848" s="5">
        <f t="array" ref="M1848">_xlfn.IFS(J1848="NOTFOUND",I1848,J1848&gt;=I1848,J1848)</f>
        <v/>
      </c>
    </row>
    <row r="1849" ht="18" customHeight="1" s="16">
      <c r="A1849" s="5" t="n">
        <v>1848</v>
      </c>
      <c r="B1849" s="5" t="inlineStr">
        <is>
          <t>GU-4100</t>
        </is>
      </c>
      <c r="D1849" s="8" t="inlineStr">
        <is>
          <t>GGナイロン＆コットン ポロシャツ</t>
        </is>
      </c>
      <c r="E1849" s="8" t="inlineStr">
        <is>
          <t>806242 XJG5Q 9000</t>
        </is>
      </c>
      <c r="G1849" s="10" t="inlineStr">
        <is>
          <t>XXS_XS_S_M_L_XL_XXL</t>
        </is>
      </c>
      <c r="H1849" s="17" t="inlineStr">
        <is>
          <t>XXS_XS_S_M_L_XL_XXL</t>
        </is>
      </c>
      <c r="I1849" s="21" t="n">
        <v>170500</v>
      </c>
      <c r="J1849" s="19" t="n">
        <v>170500</v>
      </c>
      <c r="K1849" s="20" t="n">
        <v>5</v>
      </c>
      <c r="L1849" s="4" t="inlineStr">
        <is>
          <t>https://www.gucci.com/jp/ja/pr/men/ready-to-wear-for-men/tracksuit-sweatshirts-for-men/gg-nylon-and-cotton-polo-shirt-p-806242XJG5Q9000</t>
        </is>
      </c>
      <c r="M1849" s="5">
        <f t="array" ref="M1849">_xlfn.IFS(J1849="NOTFOUND",I1849,J1849&gt;=I1849,J1849)</f>
        <v/>
      </c>
    </row>
    <row r="1850" ht="18" customHeight="1" s="16">
      <c r="A1850" s="5" t="n">
        <v>1849</v>
      </c>
      <c r="B1850" s="5" t="inlineStr">
        <is>
          <t>GU-4101</t>
        </is>
      </c>
      <c r="D1850" s="8" t="inlineStr">
        <is>
          <t>エンブロイダリー コットンジャージー Tシャツ</t>
        </is>
      </c>
      <c r="E1850" s="8" t="inlineStr">
        <is>
          <t>796395 XJG5E 9692</t>
        </is>
      </c>
      <c r="G1850" s="10" t="inlineStr">
        <is>
          <t>S_M_XL</t>
        </is>
      </c>
      <c r="H1850" s="17" t="inlineStr">
        <is>
          <t>XS_S_M_L_XL</t>
        </is>
      </c>
      <c r="I1850" s="21" t="n">
        <v>115500</v>
      </c>
      <c r="J1850" s="19" t="n">
        <v>115500</v>
      </c>
      <c r="K1850" s="20" t="n">
        <v>5</v>
      </c>
      <c r="L1850" s="4" t="inlineStr">
        <is>
          <t>https://www.gucci.com/jp/ja/pr/men/ready-to-wear-for-men/t-shirts-and-polo-shirts-for-men/short-sleeves-t-shirts-for-men/embroidered-cotton-jersey-t-shirt-p-796395XJG5E9692</t>
        </is>
      </c>
      <c r="M1850" s="5">
        <f t="array" ref="M1850">_xlfn.IFS(J1850="NOTFOUND",I1850,J1850&gt;=I1850,J1850)</f>
        <v/>
      </c>
    </row>
    <row r="1851" ht="18" customHeight="1" s="16">
      <c r="A1851" s="5" t="n">
        <v>1850</v>
      </c>
      <c r="B1851" s="5" t="inlineStr">
        <is>
          <t>GU-4102</t>
        </is>
      </c>
      <c r="D1851" s="8" t="inlineStr">
        <is>
          <t>エンブロイダリー付き コットンジャージー Tシャツ</t>
        </is>
      </c>
      <c r="E1851" s="8" t="inlineStr">
        <is>
          <t>796395 XJG5E 1043</t>
        </is>
      </c>
      <c r="G1851" s="10" t="inlineStr">
        <is>
          <t>XS_L</t>
        </is>
      </c>
      <c r="H1851" s="17" t="inlineStr">
        <is>
          <t>XS_S_M</t>
        </is>
      </c>
      <c r="I1851" s="21" t="n">
        <v>115500</v>
      </c>
      <c r="J1851" s="19" t="n">
        <v>115500</v>
      </c>
      <c r="K1851" s="20" t="n">
        <v>5</v>
      </c>
      <c r="L1851" s="4" t="inlineStr">
        <is>
          <t>https://www.gucci.com/jp/ja/pr/men/ready-to-wear-for-men/t-shirts-and-polo-shirts-for-men/short-sleeves-t-shirts-for-men/cotton-jersey-t-shirt-with-embroidery-p-796395XJG5E1043</t>
        </is>
      </c>
      <c r="M1851" s="5">
        <f t="array" ref="M1851">_xlfn.IFS(J1851="NOTFOUND",I1851,J1851&gt;=I1851,J1851)</f>
        <v/>
      </c>
    </row>
    <row r="1852" ht="18" customHeight="1" s="16">
      <c r="A1852" s="5" t="n">
        <v>1851</v>
      </c>
      <c r="B1852" s="5" t="inlineStr">
        <is>
          <t>GU-4103</t>
        </is>
      </c>
      <c r="D1852" s="8" t="inlineStr">
        <is>
          <t>プリント コットンジャージー Tシャツ</t>
        </is>
      </c>
      <c r="E1852" s="8" t="inlineStr">
        <is>
          <t>798115 XJHDF 3266</t>
        </is>
      </c>
      <c r="G1852" s="10" t="inlineStr">
        <is>
          <t>XS_S_M_L_XL</t>
        </is>
      </c>
      <c r="H1852" s="17" t="inlineStr">
        <is>
          <t>XS_S_M_L_XL</t>
        </is>
      </c>
      <c r="I1852" s="21" t="n">
        <v>143000</v>
      </c>
      <c r="J1852" s="19" t="n">
        <v>143000</v>
      </c>
      <c r="K1852" s="20" t="n">
        <v>5</v>
      </c>
      <c r="L1852" s="4" t="inlineStr">
        <is>
          <t>https://www.gucci.com/jp/ja/pr/men/ready-to-wear-for-men/t-shirts-and-polo-shirts-for-men/short-sleeves-t-shirts-for-men/cotton-jersey-t-shirt-with-print-p-798115XJHDF3266</t>
        </is>
      </c>
      <c r="M1852" s="5">
        <f t="array" ref="M1852">_xlfn.IFS(J1852="NOTFOUND",I1852,J1852&gt;=I1852,J1852)</f>
        <v/>
      </c>
    </row>
    <row r="1853" ht="18" customHeight="1" s="16">
      <c r="A1853" s="5" t="n">
        <v>1852</v>
      </c>
      <c r="B1853" s="5" t="inlineStr">
        <is>
          <t>GU-4104</t>
        </is>
      </c>
      <c r="D1853" s="8" t="inlineStr">
        <is>
          <t>エンブロイダリー コットンジャージー Tシャツ</t>
        </is>
      </c>
      <c r="E1853" s="8" t="inlineStr">
        <is>
          <t>798115 XJG54 3217</t>
        </is>
      </c>
      <c r="G1853" s="11" t="inlineStr">
        <is>
          <t>SOLD</t>
        </is>
      </c>
      <c r="H1853" s="22" t="inlineStr">
        <is>
          <t>SOLD</t>
        </is>
      </c>
      <c r="I1853" s="21" t="n">
        <v>99000</v>
      </c>
      <c r="J1853" s="23" t="inlineStr">
        <is>
          <t>NOTFOUND</t>
        </is>
      </c>
      <c r="K1853" s="20" t="n">
        <v>0</v>
      </c>
      <c r="L1853" s="4" t="inlineStr">
        <is>
          <t>https://www.gucci.com/jp/ja/pr/men/ready-to-wear-for-men/t-shirts-and-polo-shirts-for-men/short-sleeves-t-shirts-for-men/embroidered-cotton-jersey-t-shirt-p-798115XJG543217</t>
        </is>
      </c>
      <c r="M1853" s="5">
        <f t="array" ref="M1853">_xlfn.IFS(J1853="NOTFOUND",I1853,J1853&gt;=I1853,J1853)</f>
        <v/>
      </c>
    </row>
    <row r="1854" ht="18" customHeight="1" s="16">
      <c r="A1854" s="5" t="n">
        <v>1853</v>
      </c>
      <c r="B1854" s="5" t="inlineStr">
        <is>
          <t>GU-4105</t>
        </is>
      </c>
      <c r="D1854" s="8" t="inlineStr">
        <is>
          <t>エンブロイダリー コットンピケ ポロTシャツ</t>
        </is>
      </c>
      <c r="E1854" s="8" t="inlineStr">
        <is>
          <t>795174 XJHHM 6207</t>
        </is>
      </c>
      <c r="G1854" s="10" t="inlineStr">
        <is>
          <t>XS_S_M_L_XL_XXL</t>
        </is>
      </c>
      <c r="H1854" s="17" t="inlineStr">
        <is>
          <t>XS_S_M_L_XL_XXL</t>
        </is>
      </c>
      <c r="I1854" s="21" t="n">
        <v>104500</v>
      </c>
      <c r="J1854" s="19" t="n">
        <v>104500</v>
      </c>
      <c r="K1854" s="20" t="n">
        <v>5</v>
      </c>
      <c r="L1854" s="4" t="inlineStr">
        <is>
          <t>https://www.gucci.com/jp/ja/pr/men/ready-to-wear-for-men/t-shirts-and-polo-shirts-for-men/polo-shirts-for-men/cotton-piquet-polo-shirt-with-embroidery-p-795174XJHHM6207</t>
        </is>
      </c>
      <c r="M1854" s="5">
        <f t="array" ref="M1854">_xlfn.IFS(J1854="NOTFOUND",I1854,J1854&gt;=I1854,J1854)</f>
        <v/>
      </c>
    </row>
    <row r="1855" ht="18" customHeight="1" s="16">
      <c r="A1855" s="5" t="n">
        <v>1854</v>
      </c>
      <c r="B1855" s="5" t="inlineStr">
        <is>
          <t>GU-4106</t>
        </is>
      </c>
      <c r="D1855" s="8" t="inlineStr">
        <is>
          <t>プリント コットン ポロシャツ</t>
        </is>
      </c>
      <c r="E1855" s="8" t="inlineStr">
        <is>
          <t>806255 XJG14 9074</t>
        </is>
      </c>
      <c r="G1855" s="10" t="inlineStr">
        <is>
          <t>XXS_XS_S_M_L_XL_XXL</t>
        </is>
      </c>
      <c r="H1855" s="17" t="inlineStr">
        <is>
          <t>XXS_XS_S_M_L_XL_XXL</t>
        </is>
      </c>
      <c r="I1855" s="21" t="n">
        <v>121000</v>
      </c>
      <c r="J1855" s="19" t="n">
        <v>121000</v>
      </c>
      <c r="K1855" s="20" t="n">
        <v>5</v>
      </c>
      <c r="L1855" s="4" t="inlineStr">
        <is>
          <t>https://www.gucci.com/jp/ja/pr/men/ready-to-wear-for-men/t-shirts-and-polo-shirts-for-men/polo-shirts-for-men/printed-cotton-polo-shirt-p-806255XJG149074</t>
        </is>
      </c>
      <c r="M1855" s="5">
        <f t="array" ref="M1855">_xlfn.IFS(J1855="NOTFOUND",I1855,J1855&gt;=I1855,J1855)</f>
        <v/>
      </c>
    </row>
    <row r="1856" ht="18" customHeight="1" s="16">
      <c r="A1856" s="5" t="n">
        <v>1855</v>
      </c>
      <c r="B1856" s="5" t="inlineStr">
        <is>
          <t>GU-4107</t>
        </is>
      </c>
      <c r="D1856" s="8" t="inlineStr">
        <is>
          <t>コットン ポロシャツ</t>
        </is>
      </c>
      <c r="E1856" s="8" t="inlineStr">
        <is>
          <t>806255 XJG14 6317</t>
        </is>
      </c>
      <c r="G1856" s="10" t="inlineStr">
        <is>
          <t>XXS_XS_S_M_L</t>
        </is>
      </c>
      <c r="H1856" s="17" t="inlineStr">
        <is>
          <t>XXS_XS_S_M_L</t>
        </is>
      </c>
      <c r="I1856" s="21" t="n">
        <v>121000</v>
      </c>
      <c r="J1856" s="19" t="n">
        <v>121000</v>
      </c>
      <c r="K1856" s="20" t="n">
        <v>5</v>
      </c>
      <c r="L1856" s="4" t="inlineStr">
        <is>
          <t>https://www.gucci.com/jp/ja/pr/men/ready-to-wear-for-men/t-shirts-and-polo-shirts-for-men/polo-shirts-for-men/cotton-polo-shirt-p-806255XJG146317</t>
        </is>
      </c>
      <c r="M1856" s="5">
        <f t="array" ref="M1856">_xlfn.IFS(J1856="NOTFOUND",I1856,J1856&gt;=I1856,J1856)</f>
        <v/>
      </c>
    </row>
    <row r="1857" ht="18" customHeight="1" s="16">
      <c r="A1857" s="5" t="n">
        <v>1856</v>
      </c>
      <c r="B1857" s="5" t="inlineStr">
        <is>
          <t>GU-4108</t>
        </is>
      </c>
      <c r="D1857" s="8" t="inlineStr">
        <is>
          <t>ウェブ ストライプ付き コットンジャージー Tシャツ</t>
        </is>
      </c>
      <c r="E1857" s="8" t="inlineStr">
        <is>
          <t>814958 XJG3D 9692</t>
        </is>
      </c>
      <c r="G1857" s="10" t="inlineStr">
        <is>
          <t>XXS_XS_S_M_L_XL_XXL</t>
        </is>
      </c>
      <c r="H1857" s="17" t="inlineStr">
        <is>
          <t>XXS_XS_S_M_L_XL_XXL</t>
        </is>
      </c>
      <c r="I1857" s="21" t="n">
        <v>88000</v>
      </c>
      <c r="J1857" s="19" t="n">
        <v>88000</v>
      </c>
      <c r="K1857" s="20" t="n">
        <v>5</v>
      </c>
      <c r="L1857" s="4" t="inlineStr">
        <is>
          <t>https://www.gucci.com/jp/ja/pr/men/ready-to-wear-for-men/t-shirts-and-polo-shirts-for-men/short-sleeves-t-shirts-for-men/cotton-jersey-t-shirt-with-web-p-814958XJG3D9692</t>
        </is>
      </c>
      <c r="M1857" s="5">
        <f t="array" ref="M1857">_xlfn.IFS(J1857="NOTFOUND",I1857,J1857&gt;=I1857,J1857)</f>
        <v/>
      </c>
    </row>
    <row r="1858" ht="18" customHeight="1" s="16">
      <c r="A1858" s="5" t="n">
        <v>1857</v>
      </c>
      <c r="B1858" s="5" t="inlineStr">
        <is>
          <t>GU-4109</t>
        </is>
      </c>
      <c r="D1858" s="8" t="inlineStr">
        <is>
          <t>“GUCCI”プリント コットンジャージー Tシャツ</t>
        </is>
      </c>
      <c r="E1858" s="8" t="inlineStr">
        <is>
          <t>785345 XJGKJ 9541</t>
        </is>
      </c>
      <c r="G1858" s="10" t="inlineStr">
        <is>
          <t>XXS_XS_S_M_L_XL_XXL</t>
        </is>
      </c>
      <c r="H1858" s="17" t="inlineStr">
        <is>
          <t>XXS_XS_S_M_L_XL_XXL</t>
        </is>
      </c>
      <c r="I1858" s="21" t="n">
        <v>82500</v>
      </c>
      <c r="J1858" s="19" t="n">
        <v>82500</v>
      </c>
      <c r="K1858" s="20" t="n">
        <v>5</v>
      </c>
      <c r="L1858" s="4" t="inlineStr">
        <is>
          <t>https://www.gucci.com/jp/ja/pr/men/ready-to-wear-for-men/t-shirts-and-polo-shirts-for-men/short-sleeves-t-shirts-for-men/cotton-jersey-t-shirt-with-gucci-print-p-785345XJGKJ9541</t>
        </is>
      </c>
      <c r="M1858" s="5">
        <f t="array" ref="M1858">_xlfn.IFS(J1858="NOTFOUND",I1858,J1858&gt;=I1858,J1858)</f>
        <v/>
      </c>
    </row>
    <row r="1859" ht="18" customHeight="1" s="16">
      <c r="A1859" s="5" t="n">
        <v>1858</v>
      </c>
      <c r="B1859" s="5" t="inlineStr">
        <is>
          <t>GU-4110</t>
        </is>
      </c>
      <c r="D1859" s="8" t="inlineStr">
        <is>
          <t>GUCCI プリント コットンジャージー Tシャツ</t>
        </is>
      </c>
      <c r="E1859" s="8" t="inlineStr">
        <is>
          <t>785345 XJGKJ 9034</t>
        </is>
      </c>
      <c r="G1859" s="11" t="inlineStr">
        <is>
          <t>SOLD</t>
        </is>
      </c>
      <c r="H1859" s="22" t="inlineStr">
        <is>
          <t>SOLD</t>
        </is>
      </c>
      <c r="I1859" s="21" t="n">
        <v>82500</v>
      </c>
      <c r="J1859" s="23" t="inlineStr">
        <is>
          <t>NOTFOUND</t>
        </is>
      </c>
      <c r="K1859" s="20" t="n">
        <v>0</v>
      </c>
      <c r="L1859" s="4" t="inlineStr">
        <is>
          <t>https://www.gucci.com/jp/ja/pr/men/ready-to-wear-for-men/t-shirts-and-polo-shirts-for-men/short-sleeves-t-shirts-for-men/cotton-jersey-t-shirt-with-gucci-print-p-785345XJGKJ9034</t>
        </is>
      </c>
      <c r="M1859" s="5">
        <f t="array" ref="M1859">_xlfn.IFS(J1859="NOTFOUND",I1859,J1859&gt;=I1859,J1859)</f>
        <v/>
      </c>
    </row>
    <row r="1860" ht="18" customHeight="1" s="16">
      <c r="A1860" s="5" t="n">
        <v>1859</v>
      </c>
      <c r="B1860" s="5" t="inlineStr">
        <is>
          <t>GU-4111</t>
        </is>
      </c>
      <c r="D1860" s="8" t="inlineStr">
        <is>
          <t>コットンジャージー プリント Tシャツ</t>
        </is>
      </c>
      <c r="E1860" s="8" t="inlineStr">
        <is>
          <t>796395 XJG7W 7548</t>
        </is>
      </c>
      <c r="G1860" s="10" t="inlineStr">
        <is>
          <t>S_M_L</t>
        </is>
      </c>
      <c r="H1860" s="17" t="inlineStr">
        <is>
          <t>S_M_L</t>
        </is>
      </c>
      <c r="I1860" s="21" t="n">
        <v>93500</v>
      </c>
      <c r="J1860" s="19" t="n">
        <v>93500</v>
      </c>
      <c r="K1860" s="20" t="n">
        <v>5</v>
      </c>
      <c r="L1860" s="4" t="inlineStr">
        <is>
          <t>https://www.gucci.com/jp/ja/pr/men/ready-to-wear-for-men/t-shirts-and-polo-shirts-for-men/short-sleeves-t-shirts-for-men/printed-cotton-jersey-t-shirt-p-796395XJG7W7548</t>
        </is>
      </c>
      <c r="M1860" s="5">
        <f t="array" ref="M1860">_xlfn.IFS(J1860="NOTFOUND",I1860,J1860&gt;=I1860,J1860)</f>
        <v/>
      </c>
    </row>
    <row r="1861" ht="18" customHeight="1" s="16">
      <c r="A1861" s="5" t="n">
        <v>1860</v>
      </c>
      <c r="B1861" s="5" t="inlineStr">
        <is>
          <t>GU-4112</t>
        </is>
      </c>
      <c r="D1861" s="8" t="inlineStr">
        <is>
          <t>プリント コットンジャージー Tシャツ</t>
        </is>
      </c>
      <c r="E1861" s="8" t="inlineStr">
        <is>
          <t>796395 XJG26 6207</t>
        </is>
      </c>
      <c r="G1861" s="10" t="inlineStr">
        <is>
          <t>XS_S_M_L_XL</t>
        </is>
      </c>
      <c r="H1861" s="17" t="inlineStr">
        <is>
          <t>XS_S_M_L_XL</t>
        </is>
      </c>
      <c r="I1861" s="21" t="n">
        <v>104500</v>
      </c>
      <c r="J1861" s="19" t="n">
        <v>104500</v>
      </c>
      <c r="K1861" s="20" t="n">
        <v>5</v>
      </c>
      <c r="L1861" s="4" t="inlineStr">
        <is>
          <t>https://www.gucci.com/jp/ja/pr/men/ready-to-wear-for-men/t-shirts-and-polo-shirts-for-men/short-sleeves-t-shirts-for-men/cotton-jersey-t-shirt-with-print-p-796395XJG266207</t>
        </is>
      </c>
      <c r="M1861" s="5">
        <f t="array" ref="M1861">_xlfn.IFS(J1861="NOTFOUND",I1861,J1861&gt;=I1861,J1861)</f>
        <v/>
      </c>
    </row>
    <row r="1862" ht="18" customHeight="1" s="16">
      <c r="A1862" s="5" t="n">
        <v>1861</v>
      </c>
      <c r="B1862" s="5" t="inlineStr">
        <is>
          <t>GU-4113</t>
        </is>
      </c>
      <c r="D1862" s="8" t="inlineStr">
        <is>
          <t>コットンジャージー プリント Tシャツ</t>
        </is>
      </c>
      <c r="E1862" s="8" t="inlineStr">
        <is>
          <t>784361 XJGTE 1152</t>
        </is>
      </c>
      <c r="G1862" s="10" t="inlineStr">
        <is>
          <t>XS_S_M_L_XL</t>
        </is>
      </c>
      <c r="H1862" s="17" t="inlineStr">
        <is>
          <t>XS_S_M_L_XL</t>
        </is>
      </c>
      <c r="I1862" s="21" t="n">
        <v>82500</v>
      </c>
      <c r="J1862" s="19" t="n">
        <v>82500</v>
      </c>
      <c r="K1862" s="20" t="n">
        <v>5</v>
      </c>
      <c r="L1862" s="4" t="inlineStr">
        <is>
          <t>https://www.gucci.com/jp/ja/pr/men/ready-to-wear-for-men/t-shirts-and-polo-shirts-for-men/short-sleeves-t-shirts-for-men/printed-cotton-jersey-t-shirt-p-784361XJGTE1152</t>
        </is>
      </c>
      <c r="M1862" s="5">
        <f t="array" ref="M1862">_xlfn.IFS(J1862="NOTFOUND",I1862,J1862&gt;=I1862,J1862)</f>
        <v/>
      </c>
    </row>
    <row r="1863" ht="18" customHeight="1" s="16">
      <c r="A1863" s="5" t="n">
        <v>1862</v>
      </c>
      <c r="B1863" s="5" t="inlineStr">
        <is>
          <t>GU-4114</t>
        </is>
      </c>
      <c r="D1863" s="8" t="inlineStr">
        <is>
          <t>プリント コットンジャージー Tシャツ</t>
        </is>
      </c>
      <c r="E1863" s="8" t="inlineStr">
        <is>
          <t>784361 XJGKB 9074</t>
        </is>
      </c>
      <c r="G1863" s="10" t="inlineStr">
        <is>
          <t>XXS_XS_S_M_L_XL_XXL</t>
        </is>
      </c>
      <c r="H1863" s="17" t="inlineStr">
        <is>
          <t>XXS_XS_S_M_L_XL_XXL</t>
        </is>
      </c>
      <c r="I1863" s="21" t="n">
        <v>82500</v>
      </c>
      <c r="J1863" s="19" t="n">
        <v>82500</v>
      </c>
      <c r="K1863" s="20" t="n">
        <v>5</v>
      </c>
      <c r="L1863" s="4" t="inlineStr">
        <is>
          <t>https://www.gucci.com/jp/ja/pr/men/ready-to-wear-for-men/t-shirts-and-polo-shirts-for-men/short-sleeves-t-shirts-for-men/cotton-jersey-t-shirt-with-print-p-784361XJGKB9074</t>
        </is>
      </c>
      <c r="M1863" s="5">
        <f t="array" ref="M1863">_xlfn.IFS(J1863="NOTFOUND",I1863,J1863&gt;=I1863,J1863)</f>
        <v/>
      </c>
    </row>
    <row r="1864" ht="18" customHeight="1" s="16">
      <c r="A1864" s="5" t="n">
        <v>1863</v>
      </c>
      <c r="B1864" s="5" t="inlineStr">
        <is>
          <t>GU-4115</t>
        </is>
      </c>
      <c r="D1864" s="8" t="inlineStr">
        <is>
          <t>GUCCI ロゴ ウォッシュドオーバーサイズ Tシャツ</t>
        </is>
      </c>
      <c r="E1864" s="8" t="inlineStr">
        <is>
          <t>440103 X3F05 9045</t>
        </is>
      </c>
      <c r="G1864" s="10" t="inlineStr">
        <is>
          <t>XS_S_M_L_XL_XXL_XXXL</t>
        </is>
      </c>
      <c r="H1864" s="17" t="inlineStr">
        <is>
          <t>XS_S_M_L_XL_XXL_XXXL</t>
        </is>
      </c>
      <c r="I1864" s="21" t="n">
        <v>82500</v>
      </c>
      <c r="J1864" s="19" t="n">
        <v>82500</v>
      </c>
      <c r="K1864" s="20" t="n">
        <v>5</v>
      </c>
      <c r="L1864" s="4" t="inlineStr">
        <is>
          <t>https://www.gucci.com/jp/ja/pr/men/ready-to-wear-for-men/t-shirts-and-polo-shirts-for-men/oversize-washed-t-shirt-with-gucci-logo-p-440103X3F059045</t>
        </is>
      </c>
      <c r="M1864" s="5">
        <f t="array" ref="M1864">_xlfn.IFS(J1864="NOTFOUND",I1864,J1864&gt;=I1864,J1864)</f>
        <v/>
      </c>
    </row>
    <row r="1865" ht="18" customHeight="1" s="16">
      <c r="A1865" s="5" t="n">
        <v>1864</v>
      </c>
      <c r="B1865" s="5" t="inlineStr">
        <is>
          <t>GU-4116</t>
        </is>
      </c>
      <c r="D1865" s="8" t="inlineStr">
        <is>
          <t>コットンジャージー Tシャツ</t>
        </is>
      </c>
      <c r="E1865" s="8" t="inlineStr">
        <is>
          <t>795939 XJGRG 9692</t>
        </is>
      </c>
      <c r="G1865" s="11" t="inlineStr">
        <is>
          <t>SOLD</t>
        </is>
      </c>
      <c r="H1865" s="22" t="inlineStr">
        <is>
          <t>SOLD</t>
        </is>
      </c>
      <c r="I1865" s="21" t="n">
        <v>93500</v>
      </c>
      <c r="J1865" s="23" t="inlineStr">
        <is>
          <t>NOTFOUND</t>
        </is>
      </c>
      <c r="K1865" s="20" t="n">
        <v>0</v>
      </c>
      <c r="L1865" s="4" t="inlineStr">
        <is>
          <t>https://www.gucci.com/jp/ja/pr/men/ready-to-wear-for-men/t-shirts-and-polo-shirts-for-men/short-sleeves-t-shirts-for-men/cotton-jersey-t-shirt-p-795939XJGRG9692</t>
        </is>
      </c>
      <c r="M1865" s="5">
        <f t="array" ref="M1865">_xlfn.IFS(J1865="NOTFOUND",I1865,J1865&gt;=I1865,J1865)</f>
        <v/>
      </c>
    </row>
    <row r="1866" ht="18" customHeight="1" s="16">
      <c r="A1866" s="5" t="n">
        <v>1865</v>
      </c>
      <c r="B1866" s="5" t="inlineStr">
        <is>
          <t>GU-4117</t>
        </is>
      </c>
      <c r="D1866" s="8" t="inlineStr">
        <is>
          <t>GUCCI プリント コットンジャージー Tシャツ</t>
        </is>
      </c>
      <c r="E1866" s="8" t="inlineStr">
        <is>
          <t>785345 XJGKJ 1070</t>
        </is>
      </c>
      <c r="G1866" s="10" t="inlineStr">
        <is>
          <t>XXS_XS_S_M_L_XL</t>
        </is>
      </c>
      <c r="H1866" s="17" t="inlineStr">
        <is>
          <t>XXS_XS_S_M_L_XL</t>
        </is>
      </c>
      <c r="I1866" s="21" t="n">
        <v>82500</v>
      </c>
      <c r="J1866" s="19" t="n">
        <v>82500</v>
      </c>
      <c r="K1866" s="20" t="n">
        <v>5</v>
      </c>
      <c r="L1866" s="4" t="inlineStr">
        <is>
          <t>https://www.gucci.com/jp/ja/pr/men/ready-to-wear-for-men/t-shirts-and-polo-shirts-for-men/short-sleeves-t-shirts-for-men/cotton-jersey-t-shirt-with-gucci-print-p-785345XJGKJ1070</t>
        </is>
      </c>
      <c r="M1866" s="5">
        <f t="array" ref="M1866">_xlfn.IFS(J1866="NOTFOUND",I1866,J1866&gt;=I1866,J1866)</f>
        <v/>
      </c>
    </row>
    <row r="1867" ht="18" customHeight="1" s="16">
      <c r="A1867" s="5" t="n">
        <v>1866</v>
      </c>
      <c r="B1867" s="5" t="inlineStr">
        <is>
          <t>GU-4118</t>
        </is>
      </c>
      <c r="D1867" s="8" t="inlineStr">
        <is>
          <t>エンブロイダリー付き コットンジャージー Tシャツ</t>
        </is>
      </c>
      <c r="E1867" s="8" t="inlineStr">
        <is>
          <t>791547 XJGJT 9692</t>
        </is>
      </c>
      <c r="G1867" s="10" t="inlineStr">
        <is>
          <t>XXS_XS_S_M_L</t>
        </is>
      </c>
      <c r="H1867" s="17" t="inlineStr">
        <is>
          <t>XXS_XS_S_M_L</t>
        </is>
      </c>
      <c r="I1867" s="21" t="n">
        <v>104500</v>
      </c>
      <c r="J1867" s="19" t="n">
        <v>104500</v>
      </c>
      <c r="K1867" s="20" t="n">
        <v>5</v>
      </c>
      <c r="L1867" s="4" t="inlineStr">
        <is>
          <t>https://www.gucci.com/jp/ja/pr/men/ready-to-wear-for-men/t-shirts-and-polo-shirts-for-men/short-sleeves-t-shirts-for-men/cotton-jersey-t-shirt-with-embroidery-p-791547XJGJT9692</t>
        </is>
      </c>
      <c r="M1867" s="5">
        <f t="array" ref="M1867">_xlfn.IFS(J1867="NOTFOUND",I1867,J1867&gt;=I1867,J1867)</f>
        <v/>
      </c>
    </row>
    <row r="1868" ht="18" customHeight="1" s="16">
      <c r="A1868" s="5" t="n">
        <v>1867</v>
      </c>
      <c r="B1868" s="5" t="inlineStr">
        <is>
          <t>GU-4119</t>
        </is>
      </c>
      <c r="D1868" s="8" t="inlineStr">
        <is>
          <t>GG ストレッチコットン ポロシャツ</t>
        </is>
      </c>
      <c r="E1868" s="8" t="inlineStr">
        <is>
          <t>598956 XJGRT 1043</t>
        </is>
      </c>
      <c r="G1868" s="10" t="inlineStr">
        <is>
          <t>XS_S_M_L_XL_XXL</t>
        </is>
      </c>
      <c r="H1868" s="17" t="inlineStr">
        <is>
          <t>XS_S_M_L_XL_XXL</t>
        </is>
      </c>
      <c r="I1868" s="21" t="n">
        <v>154000</v>
      </c>
      <c r="J1868" s="19" t="n">
        <v>154000</v>
      </c>
      <c r="K1868" s="20" t="n">
        <v>5</v>
      </c>
      <c r="L1868" s="4" t="inlineStr">
        <is>
          <t>https://www.gucci.com/jp/ja/pr/men/ready-to-wear-for-men/t-shirts-and-polo-shirts-for-men/polo-shirts-for-men/gg-stretch-cotton-polo-p-598956XJGRT1043</t>
        </is>
      </c>
      <c r="M1868" s="5">
        <f t="array" ref="M1868">_xlfn.IFS(J1868="NOTFOUND",I1868,J1868&gt;=I1868,J1868)</f>
        <v/>
      </c>
    </row>
    <row r="1869" ht="18" customHeight="1" s="16">
      <c r="A1869" s="5" t="n">
        <v>1868</v>
      </c>
      <c r="B1869" s="5" t="inlineStr">
        <is>
          <t>GU-4120</t>
        </is>
      </c>
      <c r="D1869" s="8" t="inlineStr">
        <is>
          <t>GGコットンピケ ポロシャツ</t>
        </is>
      </c>
      <c r="E1869" s="8" t="inlineStr">
        <is>
          <t>788024 XJGQX 1087</t>
        </is>
      </c>
      <c r="G1869" s="10" t="inlineStr">
        <is>
          <t>XXS_XS_S_M_L_XL_XXL</t>
        </is>
      </c>
      <c r="H1869" s="17" t="inlineStr">
        <is>
          <t>XXS_XS_S_M_L_XL_XXL</t>
        </is>
      </c>
      <c r="I1869" s="21" t="n">
        <v>154000</v>
      </c>
      <c r="J1869" s="19" t="n">
        <v>154000</v>
      </c>
      <c r="K1869" s="20" t="n">
        <v>5</v>
      </c>
      <c r="L1869" s="4" t="inlineStr">
        <is>
          <t>https://www.gucci.com/jp/ja/pr/men/ready-to-wear-for-men/t-shirts-and-polo-shirts-for-men/polo-shirts-for-men/gg-cotton-piquet-polo-shirt-p-788024XJGQX1087</t>
        </is>
      </c>
      <c r="M1869" s="5">
        <f t="array" ref="M1869">_xlfn.IFS(J1869="NOTFOUND",I1869,J1869&gt;=I1869,J1869)</f>
        <v/>
      </c>
    </row>
    <row r="1870" ht="18" customHeight="1" s="16">
      <c r="A1870" s="5" t="n">
        <v>1869</v>
      </c>
      <c r="B1870" s="5" t="inlineStr">
        <is>
          <t>GU-4121</t>
        </is>
      </c>
      <c r="D1870" s="8" t="inlineStr">
        <is>
          <t>コットンピケ ポロトップ</t>
        </is>
      </c>
      <c r="E1870" s="8" t="inlineStr">
        <is>
          <t>788016 XJGJX 9081</t>
        </is>
      </c>
      <c r="G1870" s="10" t="inlineStr">
        <is>
          <t>XS_S_M_L_XL_XXL</t>
        </is>
      </c>
      <c r="H1870" s="17" t="inlineStr">
        <is>
          <t>XS_S_M_L_XL_XXL</t>
        </is>
      </c>
      <c r="I1870" s="21" t="n">
        <v>110000</v>
      </c>
      <c r="J1870" s="19" t="n">
        <v>110000</v>
      </c>
      <c r="K1870" s="20" t="n">
        <v>5</v>
      </c>
      <c r="L1870" s="4" t="inlineStr">
        <is>
          <t>https://www.gucci.com/jp/ja/pr/men/ready-to-wear-for-men/t-shirts-and-polo-shirts-for-men/polo-shirts-for-men/cotton-piquet-polo-shirt-p-788016XJGJX9081</t>
        </is>
      </c>
      <c r="M1870" s="5">
        <f t="array" ref="M1870">_xlfn.IFS(J1870="NOTFOUND",I1870,J1870&gt;=I1870,J1870)</f>
        <v/>
      </c>
    </row>
    <row r="1871" ht="18" customHeight="1" s="16">
      <c r="A1871" s="5" t="n">
        <v>1870</v>
      </c>
      <c r="B1871" s="5" t="inlineStr">
        <is>
          <t>GU-4122</t>
        </is>
      </c>
      <c r="D1871" s="8" t="inlineStr">
        <is>
          <t>GG エンブロイダリー コットン ポロシャツ</t>
        </is>
      </c>
      <c r="E1871" s="8" t="inlineStr">
        <is>
          <t>768631 XJF5A 4560</t>
        </is>
      </c>
      <c r="G1871" s="10" t="inlineStr">
        <is>
          <t>XS_S_M_L_XL_XXL_XXXL</t>
        </is>
      </c>
      <c r="H1871" s="17" t="inlineStr">
        <is>
          <t>XS_S_M_L_XL_XXL_XXXL</t>
        </is>
      </c>
      <c r="I1871" s="21" t="n">
        <v>154000</v>
      </c>
      <c r="J1871" s="19" t="n">
        <v>154000</v>
      </c>
      <c r="K1871" s="20" t="n">
        <v>5</v>
      </c>
      <c r="L1871" s="4" t="inlineStr">
        <is>
          <t>https://www.gucci.com/jp/ja/pr/men/ready-to-wear-for-men/t-shirts-and-polo-shirts-for-men/polo-shirts-for-men/cotton-polo-shirt-with-gg-embroidery-p-768631XJF5A4560</t>
        </is>
      </c>
      <c r="M1871" s="5">
        <f t="array" ref="M1871">_xlfn.IFS(J1871="NOTFOUND",I1871,J1871&gt;=I1871,J1871)</f>
        <v/>
      </c>
    </row>
    <row r="1872" ht="18" customHeight="1" s="16">
      <c r="A1872" s="5" t="n">
        <v>1871</v>
      </c>
      <c r="B1872" s="5" t="inlineStr">
        <is>
          <t>GU-4123</t>
        </is>
      </c>
      <c r="D1872" s="8" t="inlineStr">
        <is>
          <t>ウェブ ストライプ コットン ポロシャツ</t>
        </is>
      </c>
      <c r="E1872" s="8" t="inlineStr">
        <is>
          <t>795174 XJGRO 4215</t>
        </is>
      </c>
      <c r="G1872" s="10" t="inlineStr">
        <is>
          <t>XS_S_M_L_XL_XXL_XXXL</t>
        </is>
      </c>
      <c r="H1872" s="17" t="inlineStr">
        <is>
          <t>XS_S_M_L_XL_XXL</t>
        </is>
      </c>
      <c r="I1872" s="21" t="n">
        <v>110000</v>
      </c>
      <c r="J1872" s="19" t="n">
        <v>110000</v>
      </c>
      <c r="K1872" s="20" t="n">
        <v>5</v>
      </c>
      <c r="L1872" s="4" t="inlineStr">
        <is>
          <t>https://www.gucci.com/jp/ja/pr/men/ready-to-wear-for-men/t-shirts-and-polo-shirts-for-men/polo-shirts-for-men/cotton-polo-shirt-with-web-p-795174XJGRO4215</t>
        </is>
      </c>
      <c r="M1872" s="5">
        <f t="array" ref="M1872">_xlfn.IFS(J1872="NOTFOUND",I1872,J1872&gt;=I1872,J1872)</f>
        <v/>
      </c>
    </row>
    <row r="1873" ht="18" customHeight="1" s="16">
      <c r="A1873" s="5" t="n">
        <v>1872</v>
      </c>
      <c r="B1873" s="5" t="inlineStr">
        <is>
          <t>GU-4124</t>
        </is>
      </c>
      <c r="D1873" s="8" t="inlineStr">
        <is>
          <t>コットンピケ ポロシャツ</t>
        </is>
      </c>
      <c r="E1873" s="8" t="inlineStr">
        <is>
          <t>784422 XJGJW 1043</t>
        </is>
      </c>
      <c r="G1873" s="10" t="inlineStr">
        <is>
          <t>XS_S_M_L_XL_XXL</t>
        </is>
      </c>
      <c r="H1873" s="17" t="inlineStr">
        <is>
          <t>XS_S_M_L_XL_XXL</t>
        </is>
      </c>
      <c r="I1873" s="21" t="n">
        <v>104500</v>
      </c>
      <c r="J1873" s="19" t="n">
        <v>104500</v>
      </c>
      <c r="K1873" s="20" t="n">
        <v>5</v>
      </c>
      <c r="L1873" s="4" t="inlineStr">
        <is>
          <t>https://www.gucci.com/jp/ja/pr/men/ready-to-wear-for-men/t-shirts-and-polo-shirts-for-men/polo-shirts-for-men/cotton-piquet-polo-shirt-p-784422XJGJW1043</t>
        </is>
      </c>
      <c r="M1873" s="5">
        <f t="array" ref="M1873">_xlfn.IFS(J1873="NOTFOUND",I1873,J1873&gt;=I1873,J1873)</f>
        <v/>
      </c>
    </row>
    <row r="1874" ht="18" customHeight="1" s="16">
      <c r="A1874" s="5" t="n">
        <v>1873</v>
      </c>
      <c r="B1874" s="5" t="inlineStr">
        <is>
          <t>GU-4125</t>
        </is>
      </c>
      <c r="D1874" s="8" t="inlineStr">
        <is>
          <t>GGコットンジャージー ジャカード ポロシャツ</t>
        </is>
      </c>
      <c r="E1874" s="8" t="inlineStr">
        <is>
          <t>768636 XJF49 4492</t>
        </is>
      </c>
      <c r="G1874" s="11" t="inlineStr">
        <is>
          <t>SOLD</t>
        </is>
      </c>
      <c r="H1874" s="22" t="inlineStr">
        <is>
          <t>SOLD</t>
        </is>
      </c>
      <c r="I1874" s="21" t="n">
        <v>154000</v>
      </c>
      <c r="J1874" s="23" t="inlineStr">
        <is>
          <t>NOTFOUND</t>
        </is>
      </c>
      <c r="K1874" s="20" t="n">
        <v>0</v>
      </c>
      <c r="L1874" s="4" t="inlineStr">
        <is>
          <t>https://www.gucci.com/jp/ja/pr/men/ready-to-wear-for-men/t-shirts-and-polo-shirts-for-men/polo-shirts-for-men/gg-cotton-jersey-jacquard-polo-shirt-p-768636XJF494492</t>
        </is>
      </c>
      <c r="M1874" s="5">
        <f t="array" ref="M1874">_xlfn.IFS(J1874="NOTFOUND",I1874,J1874&gt;=I1874,J1874)</f>
        <v/>
      </c>
    </row>
    <row r="1875" ht="18" customHeight="1" s="16">
      <c r="A1875" s="5" t="n">
        <v>1874</v>
      </c>
      <c r="B1875" s="5" t="inlineStr">
        <is>
          <t>GU-4126</t>
        </is>
      </c>
      <c r="D1875" s="8" t="inlineStr">
        <is>
          <t>GGコットンピケ ポロシャツ</t>
        </is>
      </c>
      <c r="E1875" s="8" t="inlineStr">
        <is>
          <t>753572 XJFUG 9037</t>
        </is>
      </c>
      <c r="G1875" s="10" t="inlineStr">
        <is>
          <t>XXS_XS_S_M_L_XL_XXL</t>
        </is>
      </c>
      <c r="H1875" s="17" t="inlineStr">
        <is>
          <t>XXS_XS_S_M_L_XL_XXL</t>
        </is>
      </c>
      <c r="I1875" s="21" t="n">
        <v>154000</v>
      </c>
      <c r="J1875" s="19" t="n">
        <v>154000</v>
      </c>
      <c r="K1875" s="20" t="n">
        <v>5</v>
      </c>
      <c r="L1875" s="4" t="inlineStr">
        <is>
          <t>https://www.gucci.com/jp/ja/pr/men/ready-to-wear-for-men/t-shirts-and-polo-shirts-for-men/polo-shirts-for-men/gg-cotton-piquet-polo-shirt-p-753572XJFUG9037</t>
        </is>
      </c>
      <c r="M1875" s="5">
        <f t="array" ref="M1875">_xlfn.IFS(J1875="NOTFOUND",I1875,J1875&gt;=I1875,J1875)</f>
        <v/>
      </c>
    </row>
    <row r="1876" ht="18" customHeight="1" s="16">
      <c r="A1876" s="5" t="n">
        <v>1875</v>
      </c>
      <c r="B1876" s="5" t="inlineStr">
        <is>
          <t>GU-4127</t>
        </is>
      </c>
      <c r="D1876" s="8" t="inlineStr">
        <is>
          <t>ウェブ ストライプ カラー（襟）付き コットンピケ ポロシャツ</t>
        </is>
      </c>
      <c r="E1876" s="8" t="inlineStr">
        <is>
          <t>701735 XJELJ 2219</t>
        </is>
      </c>
      <c r="G1876" s="10" t="inlineStr">
        <is>
          <t>XS_S_M_L_XL_XXL</t>
        </is>
      </c>
      <c r="H1876" s="17" t="inlineStr">
        <is>
          <t>XS_S_M_L_XL_XXL</t>
        </is>
      </c>
      <c r="I1876" s="21" t="n">
        <v>104500</v>
      </c>
      <c r="J1876" s="19" t="n">
        <v>104500</v>
      </c>
      <c r="K1876" s="20" t="n">
        <v>5</v>
      </c>
      <c r="L1876" s="4" t="inlineStr">
        <is>
          <t>https://www.gucci.com/jp/ja/pr/men/ready-to-wear-for-men/t-shirts-and-polo-shirts-for-men/polo-shirts-for-men/cotton-piquet-polo-with-web-collar-p-701735XJELJ2219</t>
        </is>
      </c>
      <c r="M1876" s="5">
        <f t="array" ref="M1876">_xlfn.IFS(J1876="NOTFOUND",I1876,J1876&gt;=I1876,J1876)</f>
        <v/>
      </c>
    </row>
    <row r="1877" ht="18" customHeight="1" s="16">
      <c r="A1877" s="5" t="n">
        <v>1876</v>
      </c>
      <c r="B1877" s="5" t="inlineStr">
        <is>
          <t>GU-4128</t>
        </is>
      </c>
      <c r="D1877" s="8" t="inlineStr">
        <is>
          <t>ウェブ ストライプ カラー（襟）付き コットンピケ ポロシャツ</t>
        </is>
      </c>
      <c r="E1877" s="8" t="inlineStr">
        <is>
          <t>701735 XJELJ 1043</t>
        </is>
      </c>
      <c r="G1877" s="10" t="inlineStr">
        <is>
          <t>XS_S_M_L_XL</t>
        </is>
      </c>
      <c r="H1877" s="17" t="inlineStr">
        <is>
          <t>XS_S_M_L_XL</t>
        </is>
      </c>
      <c r="I1877" s="21" t="n">
        <v>104500</v>
      </c>
      <c r="J1877" s="19" t="n">
        <v>104500</v>
      </c>
      <c r="K1877" s="20" t="n">
        <v>5</v>
      </c>
      <c r="L1877" s="4" t="inlineStr">
        <is>
          <t>https://www.gucci.com/jp/ja/pr/men/ready-to-wear-for-men/t-shirts-and-polo-shirts-for-men/polo-shirts-for-men/cotton-piquet-polo-with-web-collar-p-701735XJELJ1043</t>
        </is>
      </c>
      <c r="M1877" s="5">
        <f t="array" ref="M1877">_xlfn.IFS(J1877="NOTFOUND",I1877,J1877&gt;=I1877,J1877)</f>
        <v/>
      </c>
    </row>
    <row r="1878" ht="18" customHeight="1" s="16">
      <c r="A1878" s="5" t="n">
        <v>1877</v>
      </c>
      <c r="B1878" s="5" t="inlineStr">
        <is>
          <t>GU-4129</t>
        </is>
      </c>
      <c r="D1878" s="8" t="inlineStr">
        <is>
          <t>GG ストレッチコットン ポロシャツ</t>
        </is>
      </c>
      <c r="E1878" s="8" t="inlineStr">
        <is>
          <t>598956 XJB0U 9064</t>
        </is>
      </c>
      <c r="G1878" s="11" t="inlineStr">
        <is>
          <t>SOLD</t>
        </is>
      </c>
      <c r="H1878" s="22" t="inlineStr">
        <is>
          <t>SOLD</t>
        </is>
      </c>
      <c r="I1878" s="21" t="n">
        <v>154000</v>
      </c>
      <c r="J1878" s="23" t="inlineStr">
        <is>
          <t>NOTFOUND</t>
        </is>
      </c>
      <c r="K1878" s="20" t="n">
        <v>0</v>
      </c>
      <c r="L1878" s="4" t="inlineStr">
        <is>
          <t>https://www.gucci.com/jp/ja/pr/men/ready-to-wear-for-men/t-shirts-and-polo-shirts-for-men/polo-shirts-for-men/gg-stretch-cotton-polo-p-598956XJB0U9064</t>
        </is>
      </c>
      <c r="M1878" s="5">
        <f t="array" ref="M1878">_xlfn.IFS(J1878="NOTFOUND",I1878,J1878&gt;=I1878,J1878)</f>
        <v/>
      </c>
    </row>
    <row r="1879" ht="18" customHeight="1" s="16">
      <c r="A1879" s="5" t="n">
        <v>1878</v>
      </c>
      <c r="B1879" s="5" t="inlineStr">
        <is>
          <t>GU-4130</t>
        </is>
      </c>
      <c r="D1879" s="8" t="inlineStr">
        <is>
          <t>GGストレッチ コットン ポロシャツ</t>
        </is>
      </c>
      <c r="E1879" s="8" t="inlineStr">
        <is>
          <t>598956 XJB0U 4115</t>
        </is>
      </c>
      <c r="G1879" s="11" t="inlineStr">
        <is>
          <t>SOLD</t>
        </is>
      </c>
      <c r="H1879" s="22" t="inlineStr">
        <is>
          <t>SOLD</t>
        </is>
      </c>
      <c r="I1879" s="21" t="n">
        <v>154000</v>
      </c>
      <c r="J1879" s="23" t="inlineStr">
        <is>
          <t>NOTFOUND</t>
        </is>
      </c>
      <c r="K1879" s="20" t="n">
        <v>0</v>
      </c>
      <c r="L1879" s="4" t="inlineStr">
        <is>
          <t>https://www.gucci.com/jp/ja/pr/men/ready-to-wear-for-men/t-shirts-and-polo-shirts-for-men/polo-shirts-for-men/gg-stretch-cotton-polo-p-598956XJB0U4115</t>
        </is>
      </c>
      <c r="M1879" s="5">
        <f t="array" ref="M1879">_xlfn.IFS(J1879="NOTFOUND",I1879,J1879&gt;=I1879,J1879)</f>
        <v/>
      </c>
    </row>
    <row r="1880" ht="18" customHeight="1" s="16">
      <c r="A1880" s="5" t="n">
        <v>1879</v>
      </c>
      <c r="B1880" s="5" t="inlineStr">
        <is>
          <t>GU-4131</t>
        </is>
      </c>
      <c r="D1880" s="8" t="inlineStr">
        <is>
          <t>GUCCI プリント コットンジャージー Tシャツ</t>
        </is>
      </c>
      <c r="E1880" s="8" t="inlineStr">
        <is>
          <t>784361 XJGKA 9074</t>
        </is>
      </c>
      <c r="G1880" s="10" t="inlineStr">
        <is>
          <t>XXS_XS_S_M_L_XL_XXL</t>
        </is>
      </c>
      <c r="H1880" s="17" t="inlineStr">
        <is>
          <t>XXS_XS_S_M_L_XL_XXL</t>
        </is>
      </c>
      <c r="I1880" s="21" t="n">
        <v>82500</v>
      </c>
      <c r="J1880" s="19" t="n">
        <v>82500</v>
      </c>
      <c r="K1880" s="20" t="n">
        <v>5</v>
      </c>
      <c r="L1880" s="4" t="inlineStr">
        <is>
          <t>https://www.gucci.com/jp/ja/pr/men/ready-to-wear-for-men/t-shirts-and-polo-shirts-for-men/short-sleeves-t-shirts-for-men/printed-cotton-jersey-t-shirt-p-784361XJGKA9074</t>
        </is>
      </c>
      <c r="M1880" s="5">
        <f t="array" ref="M1880">_xlfn.IFS(J1880="NOTFOUND",I1880,J1880&gt;=I1880,J1880)</f>
        <v/>
      </c>
    </row>
    <row r="1881" ht="18" customHeight="1" s="16">
      <c r="A1881" s="5" t="n">
        <v>1880</v>
      </c>
      <c r="B1881" s="5" t="inlineStr">
        <is>
          <t>GU-4132</t>
        </is>
      </c>
      <c r="D1881" s="8" t="inlineStr">
        <is>
          <t>GUCCI プリント コットンジャージー Tシャツ</t>
        </is>
      </c>
      <c r="E1881" s="8" t="inlineStr">
        <is>
          <t>784361 XJGKA 4735</t>
        </is>
      </c>
      <c r="G1881" s="10" t="inlineStr">
        <is>
          <t>XXS_XS_S_M_L_XL_XXL</t>
        </is>
      </c>
      <c r="H1881" s="17" t="inlineStr">
        <is>
          <t>XXS_XS_S_M_L_XL_XXL</t>
        </is>
      </c>
      <c r="I1881" s="21" t="n">
        <v>82500</v>
      </c>
      <c r="J1881" s="19" t="n">
        <v>82500</v>
      </c>
      <c r="K1881" s="20" t="n">
        <v>5</v>
      </c>
      <c r="L1881" s="4" t="inlineStr">
        <is>
          <t>https://www.gucci.com/jp/ja/pr/men/ready-to-wear-for-men/t-shirts-and-polo-shirts-for-men/short-sleeves-t-shirts-for-men/printed-cotton-jersey-t-shirt-p-784361XJGKA4735</t>
        </is>
      </c>
      <c r="M1881" s="5">
        <f t="array" ref="M1881">_xlfn.IFS(J1881="NOTFOUND",I1881,J1881&gt;=I1881,J1881)</f>
        <v/>
      </c>
    </row>
    <row r="1882" ht="18" customHeight="1" s="16">
      <c r="A1882" s="5" t="n">
        <v>1881</v>
      </c>
      <c r="B1882" s="5" t="inlineStr">
        <is>
          <t>GU-4133</t>
        </is>
      </c>
      <c r="D1882" s="8" t="inlineStr">
        <is>
          <t>パッチ付き コットンジャージー Tシャツ</t>
        </is>
      </c>
      <c r="E1882" s="8" t="inlineStr">
        <is>
          <t>752191 XJFR5 4912</t>
        </is>
      </c>
      <c r="G1882" s="10" t="inlineStr">
        <is>
          <t>XS_S_M_L_XL</t>
        </is>
      </c>
      <c r="H1882" s="17" t="inlineStr">
        <is>
          <t>XS_S_M_L_XL</t>
        </is>
      </c>
      <c r="I1882" s="21" t="n">
        <v>104500</v>
      </c>
      <c r="J1882" s="19" t="n">
        <v>104500</v>
      </c>
      <c r="K1882" s="20" t="n">
        <v>5</v>
      </c>
      <c r="L1882" s="4" t="inlineStr">
        <is>
          <t>https://www.gucci.com/jp/ja/pr/men/ready-to-wear-for-men/t-shirts-and-polo-shirts-for-men/short-sleeves-t-shirts-for-men/cotton-jersey-t-shirt-with-patch-p-752191XJFR54912</t>
        </is>
      </c>
      <c r="M1882" s="5">
        <f t="array" ref="M1882">_xlfn.IFS(J1882="NOTFOUND",I1882,J1882&gt;=I1882,J1882)</f>
        <v/>
      </c>
    </row>
    <row r="1883" ht="18" customHeight="1" s="16">
      <c r="A1883" s="5" t="n">
        <v>1882</v>
      </c>
      <c r="B1883" s="5" t="inlineStr">
        <is>
          <t>GU-4134</t>
        </is>
      </c>
      <c r="D1883" s="8" t="inlineStr">
        <is>
          <t>エンブロイダリー コットンピケ ポロTシャツ</t>
        </is>
      </c>
      <c r="E1883" s="8" t="inlineStr">
        <is>
          <t>806250 XJHHO 1043</t>
        </is>
      </c>
      <c r="G1883" s="10" t="inlineStr">
        <is>
          <t>XXS_XS_S_M_L_XL</t>
        </is>
      </c>
      <c r="H1883" s="17" t="inlineStr">
        <is>
          <t>XXS_XS_S_M_L_XL</t>
        </is>
      </c>
      <c r="I1883" s="21" t="n">
        <v>121000</v>
      </c>
      <c r="J1883" s="19" t="n">
        <v>121000</v>
      </c>
      <c r="K1883" s="20" t="n">
        <v>5</v>
      </c>
      <c r="L1883" s="4" t="inlineStr">
        <is>
          <t>https://www.gucci.com/jp/ja/pr/men/ready-to-wear-for-men/t-shirts-and-polo-shirts-for-men/polo-shirts-for-men/cotton-piquet-polo-shirt-with-embroidery-p-806250XJHHO1043</t>
        </is>
      </c>
      <c r="M1883" s="5">
        <f t="array" ref="M1883">_xlfn.IFS(J1883="NOTFOUND",I1883,J1883&gt;=I1883,J1883)</f>
        <v/>
      </c>
    </row>
    <row r="1884" ht="18" customHeight="1" s="16">
      <c r="A1884" s="5" t="n">
        <v>1883</v>
      </c>
      <c r="B1884" s="5" t="inlineStr">
        <is>
          <t>GU-4135</t>
        </is>
      </c>
      <c r="D1884" s="8" t="inlineStr">
        <is>
          <t>プリント ヘビーコットンジャージー Tシャツ</t>
        </is>
      </c>
      <c r="E1884" s="8" t="inlineStr">
        <is>
          <t>798115 XJHDG 3450</t>
        </is>
      </c>
      <c r="G1884" s="10" t="inlineStr">
        <is>
          <t>XXS_XS_S_M_L_XL_XXL</t>
        </is>
      </c>
      <c r="H1884" s="17" t="inlineStr">
        <is>
          <t>XXS_XS_S_M_L_XL_XXL</t>
        </is>
      </c>
      <c r="I1884" s="21" t="n">
        <v>82500</v>
      </c>
      <c r="J1884" s="19" t="n">
        <v>82500</v>
      </c>
      <c r="K1884" s="20" t="n">
        <v>5</v>
      </c>
      <c r="L1884" s="4" t="inlineStr">
        <is>
          <t>https://www.gucci.com/jp/ja/pr/men/ready-to-wear-for-men/t-shirts-and-polo-shirts-for-men/short-sleeves-t-shirts-for-men/heavy-cotton-jersey-t-shirt-with-print-p-798115XJHDG3450</t>
        </is>
      </c>
      <c r="M1884" s="5">
        <f t="array" ref="M1884">_xlfn.IFS(J1884="NOTFOUND",I1884,J1884&gt;=I1884,J1884)</f>
        <v/>
      </c>
    </row>
    <row r="1885" ht="18" customHeight="1" s="16">
      <c r="A1885" s="5" t="n">
        <v>1884</v>
      </c>
      <c r="B1885" s="5" t="inlineStr">
        <is>
          <t>GU-4136</t>
        </is>
      </c>
      <c r="D1885" s="8" t="inlineStr">
        <is>
          <t>エンブロイダリー コットンピケ ポロTシャツ</t>
        </is>
      </c>
      <c r="E1885" s="8" t="inlineStr">
        <is>
          <t>742380 XJGKU 3254</t>
        </is>
      </c>
      <c r="G1885" s="10" t="inlineStr">
        <is>
          <t>XS_S_M_L</t>
        </is>
      </c>
      <c r="H1885" s="17" t="inlineStr">
        <is>
          <t>XS_S_M_L_XXL</t>
        </is>
      </c>
      <c r="I1885" s="21" t="n">
        <v>165000</v>
      </c>
      <c r="J1885" s="19" t="n">
        <v>165000</v>
      </c>
      <c r="K1885" s="20" t="n">
        <v>5</v>
      </c>
      <c r="L1885" s="4" t="inlineStr">
        <is>
          <t>https://www.gucci.com/jp/ja/pr/men/ready-to-wear-for-men/t-shirts-and-polo-shirts-for-men/polo-shirts-for-men/cotton-piquet-polo-shirt-with-embroidery-p-742380XJGKU3254</t>
        </is>
      </c>
      <c r="M1885" s="5">
        <f t="array" ref="M1885">_xlfn.IFS(J1885="NOTFOUND",I1885,J1885&gt;=I1885,J1885)</f>
        <v/>
      </c>
    </row>
    <row r="1886" ht="18" customHeight="1" s="16">
      <c r="A1886" s="5" t="n">
        <v>1885</v>
      </c>
      <c r="B1886" s="5" t="inlineStr">
        <is>
          <t>GU-4137</t>
        </is>
      </c>
      <c r="D1886" s="8" t="inlineStr">
        <is>
          <t>バックル付き スライドサンダル</t>
        </is>
      </c>
      <c r="E1886" s="8" t="inlineStr">
        <is>
          <t>831830 FAD71 8746</t>
        </is>
      </c>
      <c r="G1886" s="10" t="inlineStr">
        <is>
          <t>6_7_8_9_10</t>
        </is>
      </c>
      <c r="H1886" s="17" t="inlineStr">
        <is>
          <t>6_7_8_9_10</t>
        </is>
      </c>
      <c r="I1886" s="21" t="n">
        <v>154000</v>
      </c>
      <c r="J1886" s="19" t="n">
        <v>154000</v>
      </c>
      <c r="K1886" s="20" t="n">
        <v>5</v>
      </c>
      <c r="L1886" s="4" t="inlineStr">
        <is>
          <t>https://www.gucci.com/jp/ja/pr/men/shoes-for-men/sandals-slides-for-men/mens-slide-sandal-with-buckles-p-831830FAD718746</t>
        </is>
      </c>
      <c r="M1886" s="5">
        <f t="array" ref="M1886">_xlfn.IFS(J1886="NOTFOUND",I1886,J1886&gt;=I1886,J1886)</f>
        <v/>
      </c>
    </row>
    <row r="1887" ht="18" customHeight="1" s="16">
      <c r="A1887" s="5" t="n">
        <v>1886</v>
      </c>
      <c r="B1887" s="5" t="inlineStr">
        <is>
          <t>GU-4138</t>
        </is>
      </c>
      <c r="D1887" s="8" t="inlineStr">
        <is>
          <t>バックル付き スライドサンダル</t>
        </is>
      </c>
      <c r="E1887" s="8" t="inlineStr">
        <is>
          <t>831830 FAD71 1000</t>
        </is>
      </c>
      <c r="G1887" s="10" t="inlineStr">
        <is>
          <t>5_6_7_8_9_10_11</t>
        </is>
      </c>
      <c r="H1887" s="17" t="inlineStr">
        <is>
          <t>5_6_7_8_9_10_11</t>
        </is>
      </c>
      <c r="I1887" s="21" t="n">
        <v>154000</v>
      </c>
      <c r="J1887" s="19" t="n">
        <v>154000</v>
      </c>
      <c r="K1887" s="20" t="n">
        <v>5</v>
      </c>
      <c r="L1887" s="4" t="inlineStr">
        <is>
          <t>https://www.gucci.com/jp/ja/pr/men/shoes-for-men/sandals-slides-for-men/mens-slide-sandal-with-buckles-p-831830FAD711000</t>
        </is>
      </c>
      <c r="M1887" s="5">
        <f t="array" ref="M1887">_xlfn.IFS(J1887="NOTFOUND",I1887,J1887&gt;=I1887,J1887)</f>
        <v/>
      </c>
    </row>
    <row r="1888" ht="18" customHeight="1" s="16">
      <c r="A1888" s="5" t="n">
        <v>1887</v>
      </c>
      <c r="B1888" s="5" t="inlineStr">
        <is>
          <t>GU-4139</t>
        </is>
      </c>
      <c r="D1888" s="8" t="inlineStr">
        <is>
          <t>ウェブ付き トングサンダル</t>
        </is>
      </c>
      <c r="E1888" s="8" t="inlineStr">
        <is>
          <t>630307 H9020 8476</t>
        </is>
      </c>
      <c r="G1888" s="10" t="inlineStr">
        <is>
          <t>5_5.5_9.5_10_10.5</t>
        </is>
      </c>
      <c r="H1888" s="17" t="inlineStr">
        <is>
          <t>5_5.5_9.5_10_10.5</t>
        </is>
      </c>
      <c r="I1888" s="21" t="n">
        <v>96800</v>
      </c>
      <c r="J1888" s="19" t="n">
        <v>96800</v>
      </c>
      <c r="K1888" s="20" t="n">
        <v>5</v>
      </c>
      <c r="L1888" s="4" t="inlineStr">
        <is>
          <t>https://www.gucci.com/jp/ja/pr/men/shoes-for-men/sandals-slides-for-men/mens-thong-sandal-with-web-p-630307H90208476</t>
        </is>
      </c>
      <c r="M1888" s="5">
        <f t="array" ref="M1888">_xlfn.IFS(J1888="NOTFOUND",I1888,J1888&gt;=I1888,J1888)</f>
        <v/>
      </c>
    </row>
    <row r="1889" ht="18" customHeight="1" s="16">
      <c r="A1889" s="5" t="n">
        <v>1888</v>
      </c>
      <c r="B1889" s="5" t="inlineStr">
        <is>
          <t>GU-4140</t>
        </is>
      </c>
      <c r="D1889" s="8" t="inlineStr">
        <is>
          <t>ウェブ＆レザー トング サンダル</t>
        </is>
      </c>
      <c r="E1889" s="8" t="inlineStr">
        <is>
          <t>429362 H91A0 8480</t>
        </is>
      </c>
      <c r="G1889" s="10" t="inlineStr">
        <is>
          <t>4.5_5_5.5_6_6.5_7_7.5_8_8.5_9_11_11.5_12_12.5_13_13.5_14_14.5_15</t>
        </is>
      </c>
      <c r="H1889" s="17" t="inlineStr">
        <is>
          <t>4.5_5_5.5_6_6.5_7_7.5_8_8.5_9_11_11.5_12_12.5_13_13.5_14_14.5_15</t>
        </is>
      </c>
      <c r="I1889" s="21" t="n">
        <v>79200</v>
      </c>
      <c r="J1889" s="19" t="n">
        <v>79200</v>
      </c>
      <c r="K1889" s="20" t="n">
        <v>5</v>
      </c>
      <c r="L1889" s="4" t="inlineStr">
        <is>
          <t>https://www.gucci.com/jp/ja/pr/men/shoes-for-men/sandals-slides-for-men/mens-thong-sandal-with-web-p-429362H91A08480</t>
        </is>
      </c>
      <c r="M1889" s="5">
        <f t="array" ref="M1889">_xlfn.IFS(J1889="NOTFOUND",I1889,J1889&gt;=I1889,J1889)</f>
        <v/>
      </c>
    </row>
    <row r="1890" ht="18" customHeight="1" s="16">
      <c r="A1890" s="5" t="n">
        <v>1889</v>
      </c>
      <c r="B1890" s="5" t="inlineStr">
        <is>
          <t>GU-4141</t>
        </is>
      </c>
      <c r="D1890" s="8" t="inlineStr">
        <is>
          <t>ラバースライドサンダル</t>
        </is>
      </c>
      <c r="E1890" s="8" t="inlineStr">
        <is>
          <t>429469 GIB10 1098</t>
        </is>
      </c>
      <c r="G1890" s="10" t="inlineStr">
        <is>
          <t>5_6_7_8_9_10_11_13_14</t>
        </is>
      </c>
      <c r="H1890" s="17" t="inlineStr">
        <is>
          <t>5_6_7_8_9_10_11_13_14</t>
        </is>
      </c>
      <c r="I1890" s="21" t="n">
        <v>56100</v>
      </c>
      <c r="J1890" s="19" t="n">
        <v>56100</v>
      </c>
      <c r="K1890" s="20" t="n">
        <v>5</v>
      </c>
      <c r="L1890" s="4" t="inlineStr">
        <is>
          <t>https://www.gucci.com/jp/ja/pr/men/shoes-for-men/sandals-slides-for-men/mens-slide-sandal-with-web-p-429469GIB101098</t>
        </is>
      </c>
      <c r="M1890" s="5">
        <f t="array" ref="M1890">_xlfn.IFS(J1890="NOTFOUND",I1890,J1890&gt;=I1890,J1890)</f>
        <v/>
      </c>
    </row>
    <row r="1891" ht="18" customHeight="1" s="16">
      <c r="A1891" s="5" t="n">
        <v>1890</v>
      </c>
      <c r="B1891" s="5" t="inlineStr">
        <is>
          <t>GU-4142</t>
        </is>
      </c>
      <c r="D1891" s="8" t="inlineStr">
        <is>
          <t>GG スライドサンダル</t>
        </is>
      </c>
      <c r="E1891" s="8" t="inlineStr">
        <is>
          <t>739108 2ZG0G 8713</t>
        </is>
      </c>
      <c r="G1891" s="11" t="inlineStr">
        <is>
          <t>SOLD</t>
        </is>
      </c>
      <c r="H1891" s="22" t="inlineStr">
        <is>
          <t>SOLD</t>
        </is>
      </c>
      <c r="I1891" s="21" t="n">
        <v>60500</v>
      </c>
      <c r="J1891" s="23" t="inlineStr">
        <is>
          <t>NOTFOUND</t>
        </is>
      </c>
      <c r="K1891" s="20" t="n">
        <v>0</v>
      </c>
      <c r="L1891" s="4" t="inlineStr">
        <is>
          <t>https://www.gucci.com/jp/ja/pr/men/shoes-for-men/sandals-slides-for-men/mens-gg-slide-sandal-p-7391082ZG0G8713</t>
        </is>
      </c>
      <c r="M1891" s="5">
        <f t="array" ref="M1891">_xlfn.IFS(J1891="NOTFOUND",I1891,J1891&gt;=I1891,J1891)</f>
        <v/>
      </c>
    </row>
    <row r="1892" ht="18" customHeight="1" s="16">
      <c r="A1892" s="5" t="n">
        <v>1891</v>
      </c>
      <c r="B1892" s="5" t="inlineStr">
        <is>
          <t>GU-4143</t>
        </is>
      </c>
      <c r="D1892" s="8" t="inlineStr">
        <is>
          <t>ホースビット ミュール</t>
        </is>
      </c>
      <c r="E1892" s="8" t="inlineStr">
        <is>
          <t>786486 FAEAW 9642</t>
        </is>
      </c>
      <c r="G1892" s="10" t="inlineStr">
        <is>
          <t>6_8_9</t>
        </is>
      </c>
      <c r="H1892" s="17" t="inlineStr">
        <is>
          <t>6_8_9</t>
        </is>
      </c>
      <c r="I1892" s="21" t="n">
        <v>125400</v>
      </c>
      <c r="J1892" s="19" t="n">
        <v>125400</v>
      </c>
      <c r="K1892" s="20" t="n">
        <v>5</v>
      </c>
      <c r="L1892" s="4" t="inlineStr">
        <is>
          <t>https://www.gucci.com/jp/ja/pr/men/shoes-for-men/sandals-slides-for-men/mules-for-men/mens-horsebit-mule-p-786486FAEAW9642</t>
        </is>
      </c>
      <c r="M1892" s="5">
        <f t="array" ref="M1892">_xlfn.IFS(J1892="NOTFOUND",I1892,J1892&gt;=I1892,J1892)</f>
        <v/>
      </c>
    </row>
    <row r="1893" ht="18" customHeight="1" s="16">
      <c r="A1893" s="5" t="n">
        <v>1892</v>
      </c>
      <c r="B1893" s="5" t="inlineStr">
        <is>
          <t>GU-4144</t>
        </is>
      </c>
      <c r="D1893" s="8" t="inlineStr">
        <is>
          <t>バックル付き スライドサンダル</t>
        </is>
      </c>
      <c r="E1893" s="8" t="inlineStr">
        <is>
          <t>840255 AADUO 2835</t>
        </is>
      </c>
      <c r="G1893" s="10" t="inlineStr">
        <is>
          <t>5_6_7_8_9_10_11</t>
        </is>
      </c>
      <c r="H1893" s="17" t="inlineStr">
        <is>
          <t>5_6_7_8_9_10_11</t>
        </is>
      </c>
      <c r="I1893" s="21" t="n">
        <v>154000</v>
      </c>
      <c r="J1893" s="19" t="n">
        <v>154000</v>
      </c>
      <c r="K1893" s="20" t="n">
        <v>5</v>
      </c>
      <c r="L1893" s="4" t="inlineStr">
        <is>
          <t>https://www.gucci.com/jp/ja/pr/men/shoes-for-men/sandals-slides-for-men/mens-slide-sandal-with-buckles-p-840255AADUO2835</t>
        </is>
      </c>
      <c r="M1893" s="5">
        <f t="array" ref="M1893">_xlfn.IFS(J1893="NOTFOUND",I1893,J1893&gt;=I1893,J1893)</f>
        <v/>
      </c>
    </row>
    <row r="1894" ht="18" customHeight="1" s="16">
      <c r="A1894" s="5" t="n">
        <v>1893</v>
      </c>
      <c r="B1894" s="5" t="inlineStr">
        <is>
          <t>GU-4145</t>
        </is>
      </c>
      <c r="D1894" s="8" t="inlineStr">
        <is>
          <t>ホースビット 1953 ローファー</t>
        </is>
      </c>
      <c r="E1894" s="8" t="inlineStr">
        <is>
          <t>307929 BLM00 1000</t>
        </is>
      </c>
      <c r="G1894" s="10" t="inlineStr">
        <is>
          <t>5_5.5_6_6.5_7_7.5_8_8.5_9_9.5_10_10.5_11_13_13.5_14_14.5_15_15.5_16</t>
        </is>
      </c>
      <c r="H1894" s="17" t="inlineStr">
        <is>
          <t>5_5.5_6_6.5_7_7.5_8_8.5_9_9.5_10_10.5_11_13_13.5_14_14.5_15_15.5_16</t>
        </is>
      </c>
      <c r="I1894" s="21" t="n">
        <v>152900</v>
      </c>
      <c r="J1894" s="19" t="n">
        <v>152900</v>
      </c>
      <c r="K1894" s="20" t="n">
        <v>5</v>
      </c>
      <c r="L1894" s="4" t="inlineStr">
        <is>
          <t>https://www.gucci.com/jp/ja/pr/men/shoes-for-men/moccasins-loafers-for-men/mens-horsebit-1953-loafer-p-307929BLM001000</t>
        </is>
      </c>
      <c r="M1894" s="5">
        <f t="array" ref="M1894">_xlfn.IFS(J1894="NOTFOUND",I1894,J1894&gt;=I1894,J1894)</f>
        <v/>
      </c>
    </row>
    <row r="1895" ht="18" customHeight="1" s="16">
      <c r="A1895" s="5" t="n">
        <v>1894</v>
      </c>
      <c r="B1895" s="5" t="inlineStr">
        <is>
          <t>GU-4146</t>
        </is>
      </c>
      <c r="D1895" s="8" t="inlineStr">
        <is>
          <t>ホースビット 1953 ローファー</t>
        </is>
      </c>
      <c r="E1895" s="8" t="inlineStr">
        <is>
          <t>307929 1M0C0 2361</t>
        </is>
      </c>
      <c r="G1895" s="10" t="inlineStr">
        <is>
          <t>5_5.5_6_6.5_7_7.5_8_8.5_9_9.5_10_10.5_11</t>
        </is>
      </c>
      <c r="H1895" s="17" t="inlineStr">
        <is>
          <t>5_5.5_6_6.5_7_7.5_8_8.5_9_9.5_10_10.5_11</t>
        </is>
      </c>
      <c r="I1895" s="21" t="n">
        <v>152900</v>
      </c>
      <c r="J1895" s="19" t="n">
        <v>152900</v>
      </c>
      <c r="K1895" s="20" t="n">
        <v>5</v>
      </c>
      <c r="L1895" s="4" t="inlineStr">
        <is>
          <t>https://www.gucci.com/jp/ja/pr/men/shoes-for-men/moccasins-loafers-for-men/mens-horsebit-1953-loafer-p-3079291M0C02361</t>
        </is>
      </c>
      <c r="M1895" s="5">
        <f t="array" ref="M1895">_xlfn.IFS(J1895="NOTFOUND",I1895,J1895&gt;=I1895,J1895)</f>
        <v/>
      </c>
    </row>
    <row r="1896" ht="18" customHeight="1" s="16">
      <c r="A1896" s="5" t="n">
        <v>1895</v>
      </c>
      <c r="B1896" s="5" t="inlineStr">
        <is>
          <t>GU-4147</t>
        </is>
      </c>
      <c r="D1896" s="8" t="inlineStr">
        <is>
          <t>ホースビット 1953 ローファー</t>
        </is>
      </c>
      <c r="E1896" s="8" t="inlineStr">
        <is>
          <t>307929 AADCW 2179</t>
        </is>
      </c>
      <c r="G1896" s="10" t="inlineStr">
        <is>
          <t>5_5.5_6_6.5_7_7.5_8_8.5_9_9.5_10</t>
        </is>
      </c>
      <c r="H1896" s="17" t="inlineStr">
        <is>
          <t>5_5.5_6_6.5_7_7.5_8_8.5_9_9.5_10</t>
        </is>
      </c>
      <c r="I1896" s="21" t="n">
        <v>152900</v>
      </c>
      <c r="J1896" s="19" t="n">
        <v>152900</v>
      </c>
      <c r="K1896" s="20" t="n">
        <v>5</v>
      </c>
      <c r="L1896" s="4" t="inlineStr">
        <is>
          <t>https://www.gucci.com/jp/ja/pr/men/shoes-for-men/moccasins-loafers-for-men/moccasins-for-men/mens-horsebit-1953-loafer-p-307929AADCW2179</t>
        </is>
      </c>
      <c r="M1896" s="5">
        <f t="array" ref="M1896">_xlfn.IFS(J1896="NOTFOUND",I1896,J1896&gt;=I1896,J1896)</f>
        <v/>
      </c>
    </row>
    <row r="1897" ht="18" customHeight="1" s="16">
      <c r="A1897" s="5" t="n">
        <v>1896</v>
      </c>
      <c r="B1897" s="5" t="inlineStr">
        <is>
          <t>GU-4148</t>
        </is>
      </c>
      <c r="D1897" s="8" t="inlineStr">
        <is>
          <t>ホースビット 1953 ローファー</t>
        </is>
      </c>
      <c r="E1897" s="8" t="inlineStr">
        <is>
          <t>307929 AADCW 6207</t>
        </is>
      </c>
      <c r="G1897" s="10" t="inlineStr">
        <is>
          <t>5.5_6_6.5_7_7.5_8_8.5_9</t>
        </is>
      </c>
      <c r="H1897" s="17" t="inlineStr">
        <is>
          <t>5.5_6_6.5_7_7.5_8_8.5</t>
        </is>
      </c>
      <c r="I1897" s="21" t="n">
        <v>152900</v>
      </c>
      <c r="J1897" s="19" t="n">
        <v>152900</v>
      </c>
      <c r="K1897" s="20" t="n">
        <v>5</v>
      </c>
      <c r="L1897" s="4" t="inlineStr">
        <is>
          <t>https://www.gucci.com/jp/ja/pr/men/shoes-for-men/moccasins-loafers-for-men/mens-horsebit-1953-loafer-p-307929AADCW6207</t>
        </is>
      </c>
      <c r="M1897" s="5">
        <f t="array" ref="M1897">_xlfn.IFS(J1897="NOTFOUND",I1897,J1897&gt;=I1897,J1897)</f>
        <v/>
      </c>
    </row>
    <row r="1898" ht="18" customHeight="1" s="16">
      <c r="A1898" s="5" t="n">
        <v>1897</v>
      </c>
      <c r="B1898" s="5" t="inlineStr">
        <is>
          <t>GU-4149</t>
        </is>
      </c>
      <c r="D1898" s="8" t="inlineStr">
        <is>
          <t>ヨルダーン ホースビット ローファー</t>
        </is>
      </c>
      <c r="E1898" s="8" t="inlineStr">
        <is>
          <t>834289 AADCW 3020</t>
        </is>
      </c>
      <c r="G1898" s="10" t="inlineStr">
        <is>
          <t>5.5_6_6.5_7_7.5_8_8.5_9</t>
        </is>
      </c>
      <c r="H1898" s="17" t="inlineStr">
        <is>
          <t>5.5_6_6.5_7_7.5_8_8.5_9</t>
        </is>
      </c>
      <c r="I1898" s="21" t="n">
        <v>152900</v>
      </c>
      <c r="J1898" s="19" t="n">
        <v>152900</v>
      </c>
      <c r="K1898" s="20" t="n">
        <v>5</v>
      </c>
      <c r="L1898" s="4" t="inlineStr">
        <is>
          <t>https://www.gucci.com/jp/ja/pr/men/shoes-for-men/moccasins-loafers-for-men/moccasins-for-men/mens-gucci-jordaan-loafer-p-834289AADCW3020</t>
        </is>
      </c>
      <c r="M1898" s="5">
        <f t="array" ref="M1898">_xlfn.IFS(J1898="NOTFOUND",I1898,J1898&gt;=I1898,J1898)</f>
        <v/>
      </c>
    </row>
    <row r="1899" ht="18" customHeight="1" s="16">
      <c r="A1899" s="5" t="n">
        <v>1898</v>
      </c>
      <c r="B1899" s="5" t="inlineStr">
        <is>
          <t>GU-4150</t>
        </is>
      </c>
      <c r="D1899" s="8" t="inlineStr">
        <is>
          <t>ヨルダーン ホースビット ローファー</t>
        </is>
      </c>
      <c r="E1899" s="8" t="inlineStr">
        <is>
          <t>834289 AADCW 1000</t>
        </is>
      </c>
      <c r="G1899" s="10" t="inlineStr">
        <is>
          <t>5_5.5_6_6.5_7_7.5_8_8.5_9_9.5</t>
        </is>
      </c>
      <c r="H1899" s="17" t="inlineStr">
        <is>
          <t>5_5.5_6_6.5_7_7.5_8_8.5_9_9.5</t>
        </is>
      </c>
      <c r="I1899" s="21" t="n">
        <v>152900</v>
      </c>
      <c r="J1899" s="19" t="n">
        <v>152900</v>
      </c>
      <c r="K1899" s="20" t="n">
        <v>5</v>
      </c>
      <c r="L1899" s="4" t="inlineStr">
        <is>
          <t>https://www.gucci.com/jp/ja/pr/men/shoes-for-men/moccasins-loafers-for-men/moccasins-for-men/mens-gucci-jordaan-loafer-p-834289AADCW1000</t>
        </is>
      </c>
      <c r="M1899" s="5">
        <f t="array" ref="M1899">_xlfn.IFS(J1899="NOTFOUND",I1899,J1899&gt;=I1899,J1899)</f>
        <v/>
      </c>
    </row>
    <row r="1900" ht="18" customHeight="1" s="16">
      <c r="A1900" s="5" t="n">
        <v>1899</v>
      </c>
      <c r="B1900" s="5" t="inlineStr">
        <is>
          <t>GU-4151</t>
        </is>
      </c>
      <c r="D1900" s="8" t="inlineStr">
        <is>
          <t>ホースビット ローファー</t>
        </is>
      </c>
      <c r="E1900" s="8" t="inlineStr">
        <is>
          <t>795116 AADQC 1000</t>
        </is>
      </c>
      <c r="G1900" s="10" t="inlineStr">
        <is>
          <t>5_5.5_6_6.5_7_7.5_8_8.5_9_9.5_10_10.5</t>
        </is>
      </c>
      <c r="H1900" s="17" t="inlineStr">
        <is>
          <t>5_5.5_6_6.5_7_7.5_8_8.5_9_9.5_10_10.5</t>
        </is>
      </c>
      <c r="I1900" s="21" t="n">
        <v>152900</v>
      </c>
      <c r="J1900" s="19" t="n">
        <v>152900</v>
      </c>
      <c r="K1900" s="20" t="n">
        <v>5</v>
      </c>
      <c r="L1900" s="4" t="inlineStr">
        <is>
          <t>https://www.gucci.com/jp/ja/pr/men/shoes-for-men/moccasins-loafers-for-men/mens-loafer-with-horsebit-p-795116AADQC1000</t>
        </is>
      </c>
      <c r="M1900" s="5">
        <f t="array" ref="M1900">_xlfn.IFS(J1900="NOTFOUND",I1900,J1900&gt;=I1900,J1900)</f>
        <v/>
      </c>
    </row>
    <row r="1901" ht="18" customHeight="1" s="16">
      <c r="A1901" s="5" t="n">
        <v>1900</v>
      </c>
      <c r="B1901" s="5" t="inlineStr">
        <is>
          <t>GU-4152</t>
        </is>
      </c>
      <c r="D1901" s="8" t="inlineStr">
        <is>
          <t>ヨルダーン ホースビット ローファー</t>
        </is>
      </c>
      <c r="E1901" s="8" t="inlineStr">
        <is>
          <t>406994 BLM00 1000</t>
        </is>
      </c>
      <c r="G1901" s="10" t="inlineStr">
        <is>
          <t>4.5_5_5.5_6_6.5_7_7.5_8_8.5_9_9.5_10_10.5_11_11.5_12.5_13.5_14_14.5_15_15.5_16</t>
        </is>
      </c>
      <c r="H1901" s="17" t="inlineStr">
        <is>
          <t>4.5_5_5.5_6_6.5_7_7.5_8_8.5_9_9.5_10_10.5_11_11.5_12.5_13.5_14_14.5_15_15.5_16_16.5</t>
        </is>
      </c>
      <c r="I1901" s="21" t="n">
        <v>152900</v>
      </c>
      <c r="J1901" s="19" t="n">
        <v>152900</v>
      </c>
      <c r="K1901" s="20" t="n">
        <v>5</v>
      </c>
      <c r="L1901" s="4" t="inlineStr">
        <is>
          <t>https://www.gucci.com/jp/ja/pr/men/shoes-for-men/moccasins-loafers-for-men/mens-gucci-jordaan-loafer-p-406994BLM001000</t>
        </is>
      </c>
      <c r="M1901" s="5">
        <f t="array" ref="M1901">_xlfn.IFS(J1901="NOTFOUND",I1901,J1901&gt;=I1901,J1901)</f>
        <v/>
      </c>
    </row>
    <row r="1902" ht="18" customHeight="1" s="16">
      <c r="A1902" s="5" t="n">
        <v>1901</v>
      </c>
      <c r="B1902" s="5" t="inlineStr">
        <is>
          <t>GU-4153</t>
        </is>
      </c>
      <c r="D1902" s="8" t="inlineStr">
        <is>
          <t>ヨルダーン レザー ローファー</t>
        </is>
      </c>
      <c r="E1902" s="8" t="inlineStr">
        <is>
          <t>406994 BLM00 2535</t>
        </is>
      </c>
      <c r="G1902" s="10" t="inlineStr">
        <is>
          <t>4.5_5_5.5_6_6.5_7_7.5_8_8.5_9_9.5_10_10.5_11</t>
        </is>
      </c>
      <c r="H1902" s="17" t="inlineStr">
        <is>
          <t>4.5_5_5.5_6_6.5_7_7.5_8_8.5_9_9.5_10_10.5_11</t>
        </is>
      </c>
      <c r="I1902" s="21" t="n">
        <v>152900</v>
      </c>
      <c r="J1902" s="19" t="n">
        <v>152900</v>
      </c>
      <c r="K1902" s="20" t="n">
        <v>5</v>
      </c>
      <c r="L1902" s="4" t="inlineStr">
        <is>
          <t>https://www.gucci.com/jp/ja/pr/men/shoes-for-men/moccasins-loafers-for-men/mens-gucci-jordaan-loafer-p-406994BLM002535</t>
        </is>
      </c>
      <c r="M1902" s="5">
        <f t="array" ref="M1902">_xlfn.IFS(J1902="NOTFOUND",I1902,J1902&gt;=I1902,J1902)</f>
        <v/>
      </c>
    </row>
    <row r="1903" ht="18" customHeight="1" s="16">
      <c r="A1903" s="5" t="n">
        <v>1902</v>
      </c>
      <c r="B1903" s="5" t="inlineStr">
        <is>
          <t>GU-4154</t>
        </is>
      </c>
      <c r="D1903" s="8" t="inlineStr">
        <is>
          <t>ヨルダーン レザー ローファー</t>
        </is>
      </c>
      <c r="E1903" s="8" t="inlineStr">
        <is>
          <t>406994 BLM00 2024</t>
        </is>
      </c>
      <c r="G1903" s="10" t="inlineStr">
        <is>
          <t>5_5.5_6_6.5_7_7.5_8_8.5_9_9.5_10_10.5_11</t>
        </is>
      </c>
      <c r="H1903" s="17" t="inlineStr">
        <is>
          <t>5_5.5_6_6.5_7_7.5_8_8.5_9_9.5_10_10.5_11</t>
        </is>
      </c>
      <c r="I1903" s="21" t="n">
        <v>152900</v>
      </c>
      <c r="J1903" s="19" t="n">
        <v>152900</v>
      </c>
      <c r="K1903" s="20" t="n">
        <v>5</v>
      </c>
      <c r="L1903" s="4" t="inlineStr">
        <is>
          <t>https://www.gucci.com/jp/ja/pr/men/shoes-for-men/moccasins-loafers-for-men/mens-gucci-jordaan-loafer-p-406994BLM002024</t>
        </is>
      </c>
      <c r="M1903" s="5">
        <f t="array" ref="M1903">_xlfn.IFS(J1903="NOTFOUND",I1903,J1903&gt;=I1903,J1903)</f>
        <v/>
      </c>
    </row>
    <row r="1904" ht="18" customHeight="1" s="16">
      <c r="A1904" s="5" t="n">
        <v>1903</v>
      </c>
      <c r="B1904" s="5" t="inlineStr">
        <is>
          <t>GU-4155</t>
        </is>
      </c>
      <c r="D1904" s="8" t="inlineStr">
        <is>
          <t>ヨルダーン ホースビット ローファー</t>
        </is>
      </c>
      <c r="E1904" s="8" t="inlineStr">
        <is>
          <t>406994 AADUN 1602</t>
        </is>
      </c>
      <c r="G1904" s="10" t="inlineStr">
        <is>
          <t>5.5_6_6.5_7_7.5_8_8.5_9_9.5</t>
        </is>
      </c>
      <c r="H1904" s="17" t="inlineStr">
        <is>
          <t>5.5_6_6.5_7_7.5_8_8.5_9_9.5</t>
        </is>
      </c>
      <c r="I1904" s="21" t="n">
        <v>152900</v>
      </c>
      <c r="J1904" s="19" t="n">
        <v>152900</v>
      </c>
      <c r="K1904" s="20" t="n">
        <v>5</v>
      </c>
      <c r="L1904" s="4" t="inlineStr">
        <is>
          <t>https://www.gucci.com/jp/ja/pr/men/shoes-for-men/moccasins-loafers-for-men/mens-gucci-jordaan-loafer-p-406994AADUN1602</t>
        </is>
      </c>
      <c r="M1904" s="5">
        <f t="array" ref="M1904">_xlfn.IFS(J1904="NOTFOUND",I1904,J1904&gt;=I1904,J1904)</f>
        <v/>
      </c>
    </row>
    <row r="1905" ht="18" customHeight="1" s="16">
      <c r="A1905" s="5" t="n">
        <v>1904</v>
      </c>
      <c r="B1905" s="5" t="inlineStr">
        <is>
          <t>GU-4156</t>
        </is>
      </c>
      <c r="D1905" s="8" t="inlineStr">
        <is>
          <t>ホースビット 1953 ローファー</t>
        </is>
      </c>
      <c r="E1905" s="8" t="inlineStr">
        <is>
          <t>831269 AAEQY 2835</t>
        </is>
      </c>
      <c r="G1905" s="10" t="inlineStr">
        <is>
          <t>5.5_6_6.5_7_7.5_8_8.5_9</t>
        </is>
      </c>
      <c r="H1905" s="17" t="inlineStr">
        <is>
          <t>5.5_6_6.5_7_7.5_8_8.5_9</t>
        </is>
      </c>
      <c r="I1905" s="21" t="n">
        <v>148500</v>
      </c>
      <c r="J1905" s="19" t="n">
        <v>148500</v>
      </c>
      <c r="K1905" s="20" t="n">
        <v>5</v>
      </c>
      <c r="L1905" s="4" t="inlineStr">
        <is>
          <t>https://www.gucci.com/jp/ja/pr/men/shoes-for-men/moccasins-loafers-for-men/moccasins-for-men/mens-gigi-loafer-p-831269AAEQY2835</t>
        </is>
      </c>
      <c r="M1905" s="5">
        <f t="array" ref="M1905">_xlfn.IFS(J1905="NOTFOUND",I1905,J1905&gt;=I1905,J1905)</f>
        <v/>
      </c>
    </row>
    <row r="1906" ht="18" customHeight="1" s="16">
      <c r="A1906" s="5" t="n">
        <v>1905</v>
      </c>
      <c r="B1906" s="5" t="inlineStr">
        <is>
          <t>GU-4157</t>
        </is>
      </c>
      <c r="D1906" s="8" t="inlineStr">
        <is>
          <t>ジジ ローファー</t>
        </is>
      </c>
      <c r="E1906" s="8" t="inlineStr">
        <is>
          <t>831269 AAEQY 4009</t>
        </is>
      </c>
      <c r="G1906" s="10" t="inlineStr">
        <is>
          <t>5.5_6_6.5_7_7.5_8_8.5_9</t>
        </is>
      </c>
      <c r="H1906" s="17" t="inlineStr">
        <is>
          <t>5.5_6_6.5_7_7.5_8_8.5_9</t>
        </is>
      </c>
      <c r="I1906" s="21" t="n">
        <v>148500</v>
      </c>
      <c r="J1906" s="19" t="n">
        <v>148500</v>
      </c>
      <c r="K1906" s="20" t="n">
        <v>5</v>
      </c>
      <c r="L1906" s="4" t="inlineStr">
        <is>
          <t>https://www.gucci.com/jp/ja/pr/men/shoes-for-men/moccasins-loafers-for-men/moccasins-for-men/mens-gigi-loafer-p-831269AAEQY4009</t>
        </is>
      </c>
      <c r="M1906" s="5">
        <f t="array" ref="M1906">_xlfn.IFS(J1906="NOTFOUND",I1906,J1906&gt;=I1906,J1906)</f>
        <v/>
      </c>
    </row>
    <row r="1907" ht="18" customHeight="1" s="16">
      <c r="A1907" s="5" t="n">
        <v>1906</v>
      </c>
      <c r="B1907" s="5" t="inlineStr">
        <is>
          <t>GU-4158</t>
        </is>
      </c>
      <c r="D1907" s="8" t="inlineStr">
        <is>
          <t>ホースビット 1953 ローファー</t>
        </is>
      </c>
      <c r="E1907" s="8" t="inlineStr">
        <is>
          <t>831269 AAEQY 9511</t>
        </is>
      </c>
      <c r="G1907" s="10" t="inlineStr">
        <is>
          <t>5.5_6_6.5_7_7.5_8_8.5_9</t>
        </is>
      </c>
      <c r="H1907" s="17" t="inlineStr">
        <is>
          <t>5.5_6_6.5_7_7.5_8_8.5_9</t>
        </is>
      </c>
      <c r="I1907" s="21" t="n">
        <v>148500</v>
      </c>
      <c r="J1907" s="19" t="n">
        <v>148500</v>
      </c>
      <c r="K1907" s="20" t="n">
        <v>5</v>
      </c>
      <c r="L1907" s="4" t="inlineStr">
        <is>
          <t>https://www.gucci.com/jp/ja/pr/men/shoes-for-men/moccasins-loafers-for-men/moccasins-for-men/mens-gigi-loafer-p-831269AAEQY9511</t>
        </is>
      </c>
      <c r="M1907" s="5">
        <f t="array" ref="M1907">_xlfn.IFS(J1907="NOTFOUND",I1907,J1907&gt;=I1907,J1907)</f>
        <v/>
      </c>
    </row>
    <row r="1908" ht="18" customHeight="1" s="16">
      <c r="A1908" s="5" t="n">
        <v>1907</v>
      </c>
      <c r="B1908" s="5" t="inlineStr">
        <is>
          <t>GU-4159</t>
        </is>
      </c>
      <c r="D1908" s="8" t="inlineStr">
        <is>
          <t>ホースビット 1953 ローファー</t>
        </is>
      </c>
      <c r="E1908" s="8" t="inlineStr">
        <is>
          <t>831269 AAEQY 1000</t>
        </is>
      </c>
      <c r="G1908" s="10" t="inlineStr">
        <is>
          <t>5_5.5_6_6.5_7_7.5_8_8.5_9_9.5</t>
        </is>
      </c>
      <c r="H1908" s="17" t="inlineStr">
        <is>
          <t>5_5.5_6_6.5_7_7.5_8_8.5_9_9.5</t>
        </is>
      </c>
      <c r="I1908" s="21" t="n">
        <v>148500</v>
      </c>
      <c r="J1908" s="19" t="n">
        <v>148500</v>
      </c>
      <c r="K1908" s="20" t="n">
        <v>5</v>
      </c>
      <c r="L1908" s="4" t="inlineStr">
        <is>
          <t>https://www.gucci.com/jp/ja/pr/men/shoes-for-men/moccasins-loafers-for-men/moccasins-for-men/mens-gigi-loafer-p-831269AAEQY1000</t>
        </is>
      </c>
      <c r="M1908" s="5">
        <f t="array" ref="M1908">_xlfn.IFS(J1908="NOTFOUND",I1908,J1908&gt;=I1908,J1908)</f>
        <v/>
      </c>
    </row>
    <row r="1909" ht="18" customHeight="1" s="16">
      <c r="A1909" s="5" t="n">
        <v>1908</v>
      </c>
      <c r="B1909" s="5" t="inlineStr">
        <is>
          <t>GU-4160</t>
        </is>
      </c>
      <c r="D1909" s="8" t="inlineStr">
        <is>
          <t>ホースビット 1953 ローファー</t>
        </is>
      </c>
      <c r="E1909" s="8" t="inlineStr">
        <is>
          <t>816370 AAEHX 2548</t>
        </is>
      </c>
      <c r="G1909" s="10" t="inlineStr">
        <is>
          <t>5_5.5_6_6.5_7_7.5_8_8.5_9_9.5</t>
        </is>
      </c>
      <c r="H1909" s="17" t="inlineStr">
        <is>
          <t>5_5.5_6_6.5_7_7.5_8_8.5_9_9.5</t>
        </is>
      </c>
      <c r="I1909" s="21" t="n">
        <v>152900</v>
      </c>
      <c r="J1909" s="19" t="n">
        <v>152900</v>
      </c>
      <c r="K1909" s="20" t="n">
        <v>5</v>
      </c>
      <c r="L1909" s="4" t="inlineStr">
        <is>
          <t>https://www.gucci.com/jp/ja/pr/men/shoes-for-men/moccasins-loafers-for-men/mens-horsebit-1953-loafer-p-816370AAEHX2548</t>
        </is>
      </c>
      <c r="M1909" s="5">
        <f t="array" ref="M1909">_xlfn.IFS(J1909="NOTFOUND",I1909,J1909&gt;=I1909,J1909)</f>
        <v/>
      </c>
    </row>
    <row r="1910" ht="18" customHeight="1" s="16">
      <c r="A1910" s="5" t="n">
        <v>1909</v>
      </c>
      <c r="B1910" s="5" t="inlineStr">
        <is>
          <t>GU-4161</t>
        </is>
      </c>
      <c r="D1910" s="8" t="inlineStr">
        <is>
          <t>ホースビット 1953 ローファー</t>
        </is>
      </c>
      <c r="E1910" s="8" t="inlineStr">
        <is>
          <t>816370 AAEHX 1000</t>
        </is>
      </c>
      <c r="G1910" s="10" t="inlineStr">
        <is>
          <t>5.5_6_6.5_7_7.5_8_8.5_9_9.5_10</t>
        </is>
      </c>
      <c r="H1910" s="17" t="inlineStr">
        <is>
          <t>5.5_6_6.5_7_7.5_8_8.5_9_9.5_10</t>
        </is>
      </c>
      <c r="I1910" s="21" t="n">
        <v>152900</v>
      </c>
      <c r="J1910" s="19" t="n">
        <v>152900</v>
      </c>
      <c r="K1910" s="20" t="n">
        <v>5</v>
      </c>
      <c r="L1910" s="4" t="inlineStr">
        <is>
          <t>https://www.gucci.com/jp/ja/pr/men/shoes-for-men/moccasins-loafers-for-men/mens-horsebit-1953-loafer-p-816370AAEHX1000</t>
        </is>
      </c>
      <c r="M1910" s="5">
        <f t="array" ref="M1910">_xlfn.IFS(J1910="NOTFOUND",I1910,J1910&gt;=I1910,J1910)</f>
        <v/>
      </c>
    </row>
    <row r="1911" ht="18" customHeight="1" s="16">
      <c r="A1911" s="5" t="n">
        <v>1910</v>
      </c>
      <c r="B1911" s="5" t="inlineStr">
        <is>
          <t>GU-4162</t>
        </is>
      </c>
      <c r="D1911" s="8" t="inlineStr">
        <is>
          <t>ホースビット付き ドライビングシューズ</t>
        </is>
      </c>
      <c r="E1911" s="8" t="inlineStr">
        <is>
          <t>795279 AADWB 3346</t>
        </is>
      </c>
      <c r="G1911" s="10" t="inlineStr">
        <is>
          <t>5.5_6_6.5_7_7.5_8_8.5_9.5</t>
        </is>
      </c>
      <c r="H1911" s="17" t="inlineStr">
        <is>
          <t>5.5_6_6.5_7_7.5_8_8.5_9.5</t>
        </is>
      </c>
      <c r="I1911" s="21" t="n">
        <v>125400</v>
      </c>
      <c r="J1911" s="19" t="n">
        <v>125400</v>
      </c>
      <c r="K1911" s="20" t="n">
        <v>5</v>
      </c>
      <c r="L1911" s="4" t="inlineStr">
        <is>
          <t>https://www.gucci.com/jp/ja/pr/men/shoes-for-men/moccasins-loafers-for-men/driver-for-men/mens-driver-with-horsebit-p-795279AADWB3346</t>
        </is>
      </c>
      <c r="M1911" s="5">
        <f t="array" ref="M1911">_xlfn.IFS(J1911="NOTFOUND",I1911,J1911&gt;=I1911,J1911)</f>
        <v/>
      </c>
    </row>
    <row r="1912" ht="18" customHeight="1" s="16">
      <c r="A1912" s="5" t="n">
        <v>1911</v>
      </c>
      <c r="B1912" s="5" t="inlineStr">
        <is>
          <t>GU-4163</t>
        </is>
      </c>
      <c r="D1912" s="8" t="inlineStr">
        <is>
          <t>ホースビット付き ドライビングシューズ</t>
        </is>
      </c>
      <c r="E1912" s="8" t="inlineStr">
        <is>
          <t>795279 AADWB 4157</t>
        </is>
      </c>
      <c r="G1912" s="10" t="inlineStr">
        <is>
          <t>5_5.5_6_6.5_7_7.5_8_8.5_9_9.5_10_10.5_11</t>
        </is>
      </c>
      <c r="H1912" s="17" t="inlineStr">
        <is>
          <t>5_5.5_6_6.5_7_7.5_8_8.5_9_9.5_10_10.5_11</t>
        </is>
      </c>
      <c r="I1912" s="21" t="n">
        <v>125400</v>
      </c>
      <c r="J1912" s="19" t="n">
        <v>125400</v>
      </c>
      <c r="K1912" s="20" t="n">
        <v>5</v>
      </c>
      <c r="L1912" s="4" t="inlineStr">
        <is>
          <t>https://www.gucci.com/jp/ja/pr/men/shoes-for-men/moccasins-loafers-for-men/driver-for-men/mens-driver-with-horsebit-p-795279AADWB4157</t>
        </is>
      </c>
      <c r="M1912" s="5">
        <f t="array" ref="M1912">_xlfn.IFS(J1912="NOTFOUND",I1912,J1912&gt;=I1912,J1912)</f>
        <v/>
      </c>
    </row>
    <row r="1913" ht="18" customHeight="1" s="16">
      <c r="A1913" s="5" t="n">
        <v>1912</v>
      </c>
      <c r="B1913" s="5" t="inlineStr">
        <is>
          <t>GU-4164</t>
        </is>
      </c>
      <c r="D1913" s="8" t="inlineStr">
        <is>
          <t>ホースビット付き ドライビングシューズ</t>
        </is>
      </c>
      <c r="E1913" s="8" t="inlineStr">
        <is>
          <t>765859 1XH00 2140</t>
        </is>
      </c>
      <c r="G1913" s="10" t="inlineStr">
        <is>
          <t>5_5.5_6_6.5_7_7.5_8_8.5_9_9.5_10_10.5_11</t>
        </is>
      </c>
      <c r="H1913" s="17" t="inlineStr">
        <is>
          <t>5_5.5_6_6.5_7_7.5_8_8.5_9_9.5_10_10.5_11</t>
        </is>
      </c>
      <c r="I1913" s="21" t="n">
        <v>125400</v>
      </c>
      <c r="J1913" s="19" t="n">
        <v>125400</v>
      </c>
      <c r="K1913" s="20" t="n">
        <v>5</v>
      </c>
      <c r="L1913" s="4" t="inlineStr">
        <is>
          <t>https://www.gucci.com/jp/ja/pr/men/shoes-for-men/moccasins-loafers-for-men/driver-for-men/mens-driver-with-horsebit-p-7658591XH002140</t>
        </is>
      </c>
      <c r="M1913" s="5">
        <f t="array" ref="M1913">_xlfn.IFS(J1913="NOTFOUND",I1913,J1913&gt;=I1913,J1913)</f>
        <v/>
      </c>
    </row>
    <row r="1914" ht="18" customHeight="1" s="16">
      <c r="A1914" s="5" t="n">
        <v>1913</v>
      </c>
      <c r="B1914" s="5" t="inlineStr">
        <is>
          <t>GU-4165</t>
        </is>
      </c>
      <c r="D1914" s="8" t="inlineStr">
        <is>
          <t>ホースビット付き ドライビングシューズ</t>
        </is>
      </c>
      <c r="E1914" s="8" t="inlineStr">
        <is>
          <t>765859 1XH00 1000</t>
        </is>
      </c>
      <c r="G1914" s="10" t="inlineStr">
        <is>
          <t>5_5.5_6_6.5_7_7.5_8_8.5_9_9.5_10_11</t>
        </is>
      </c>
      <c r="H1914" s="17" t="inlineStr">
        <is>
          <t>5_5.5_6_6.5_7_7.5_8_8.5_9_9.5_10_11</t>
        </is>
      </c>
      <c r="I1914" s="21" t="n">
        <v>125400</v>
      </c>
      <c r="J1914" s="19" t="n">
        <v>125400</v>
      </c>
      <c r="K1914" s="20" t="n">
        <v>5</v>
      </c>
      <c r="L1914" s="4" t="inlineStr">
        <is>
          <t>https://www.gucci.com/jp/ja/pr/men/shoes-for-men/moccasins-loafers-for-men/driver-for-men/mens-driver-with-horsebit-p-7658591XH001000</t>
        </is>
      </c>
      <c r="M1914" s="5">
        <f t="array" ref="M1914">_xlfn.IFS(J1914="NOTFOUND",I1914,J1914&gt;=I1914,J1914)</f>
        <v/>
      </c>
    </row>
    <row r="1915" ht="18" customHeight="1" s="16">
      <c r="A1915" s="5" t="n">
        <v>1914</v>
      </c>
      <c r="B1915" s="5" t="inlineStr">
        <is>
          <t>GU-4166</t>
        </is>
      </c>
      <c r="D1915" s="8" t="inlineStr">
        <is>
          <t>ホースビット付き ドライビングシューズ</t>
        </is>
      </c>
      <c r="E1915" s="8" t="inlineStr">
        <is>
          <t>765859 AADQ4 1000</t>
        </is>
      </c>
      <c r="G1915" s="10" t="inlineStr">
        <is>
          <t>5_5.5_6_6.5_7_7.5_8_8.5_9_9.5_10_10.5_11</t>
        </is>
      </c>
      <c r="H1915" s="17" t="inlineStr">
        <is>
          <t>5_5.5_6_6.5_7_7.5_8_8.5_9_9.5_10_10.5_11</t>
        </is>
      </c>
      <c r="I1915" s="21" t="n">
        <v>136400</v>
      </c>
      <c r="J1915" s="19" t="n">
        <v>136400</v>
      </c>
      <c r="K1915" s="20" t="n">
        <v>5</v>
      </c>
      <c r="L1915" s="4" t="inlineStr">
        <is>
          <t>https://www.gucci.com/jp/ja/pr/men/shoes-for-men/moccasins-loafers-for-men/driver-for-men/mens-driver-with-horsebit-p-765859AADQ41000</t>
        </is>
      </c>
      <c r="M1915" s="5">
        <f t="array" ref="M1915">_xlfn.IFS(J1915="NOTFOUND",I1915,J1915&gt;=I1915,J1915)</f>
        <v/>
      </c>
    </row>
    <row r="1916" ht="18" customHeight="1" s="16">
      <c r="A1916" s="5" t="n">
        <v>1915</v>
      </c>
      <c r="B1916" s="5" t="inlineStr">
        <is>
          <t>GU-4167</t>
        </is>
      </c>
      <c r="D1916" s="8" t="inlineStr">
        <is>
          <t>ホースビット付き ローファー</t>
        </is>
      </c>
      <c r="E1916" s="8" t="inlineStr">
        <is>
          <t>816180 AADGL 3020</t>
        </is>
      </c>
      <c r="G1916" s="11" t="inlineStr">
        <is>
          <t>SOLD</t>
        </is>
      </c>
      <c r="H1916" s="22" t="inlineStr">
        <is>
          <t>SOLD</t>
        </is>
      </c>
      <c r="I1916" s="21" t="n">
        <v>165000</v>
      </c>
      <c r="J1916" s="23" t="inlineStr">
        <is>
          <t>NOTFOUND</t>
        </is>
      </c>
      <c r="K1916" s="20" t="n">
        <v>0</v>
      </c>
      <c r="L1916" s="4" t="inlineStr">
        <is>
          <t>https://www.gucci.com/jp/ja/pr/men/shoes-for-men/moccasins-loafers-for-men/mens-horsebit-1953-loafer-p-816180AADGL3020</t>
        </is>
      </c>
      <c r="M1916" s="5">
        <f t="array" ref="M1916">_xlfn.IFS(J1916="NOTFOUND",I1916,J1916&gt;=I1916,J1916)</f>
        <v/>
      </c>
    </row>
    <row r="1917" ht="18" customHeight="1" s="16">
      <c r="A1917" s="5" t="n">
        <v>1916</v>
      </c>
      <c r="B1917" s="5" t="inlineStr">
        <is>
          <t>GU-4168</t>
        </is>
      </c>
      <c r="D1917" s="8" t="inlineStr">
        <is>
          <t>ホースビット 1953 ローファー</t>
        </is>
      </c>
      <c r="E1917" s="8" t="inlineStr">
        <is>
          <t>307929 1M0C0 3154</t>
        </is>
      </c>
      <c r="G1917" s="10" t="inlineStr">
        <is>
          <t>5_5.5_6_6.5_7_7.5_8_8.5_9_9.5_10_10.5</t>
        </is>
      </c>
      <c r="H1917" s="17" t="inlineStr">
        <is>
          <t>5_5.5_6_6.5_7_7.5_8_8.5_9_9.5_10_10.5</t>
        </is>
      </c>
      <c r="I1917" s="21" t="n">
        <v>152900</v>
      </c>
      <c r="J1917" s="19" t="n">
        <v>152900</v>
      </c>
      <c r="K1917" s="20" t="n">
        <v>5</v>
      </c>
      <c r="L1917" s="4" t="inlineStr">
        <is>
          <t>https://www.gucci.com/jp/ja/pr/men/shoes-for-men/moccasins-loafers-for-men/mens-horsebit-1953-loafer-p-3079291M0C03154</t>
        </is>
      </c>
      <c r="M1917" s="5">
        <f t="array" ref="M1917">_xlfn.IFS(J1917="NOTFOUND",I1917,J1917&gt;=I1917,J1917)</f>
        <v/>
      </c>
    </row>
    <row r="1918" ht="18" customHeight="1" s="16">
      <c r="A1918" s="5" t="n">
        <v>1917</v>
      </c>
      <c r="B1918" s="5" t="inlineStr">
        <is>
          <t>GU-4169</t>
        </is>
      </c>
      <c r="D1918" s="8" t="inlineStr">
        <is>
          <t>ホースビット付き ローファー</t>
        </is>
      </c>
      <c r="E1918" s="8" t="inlineStr">
        <is>
          <t>730137 BNC00 1000</t>
        </is>
      </c>
      <c r="G1918" s="10" t="inlineStr">
        <is>
          <t>5_5.5_6_6.5_8_8.5</t>
        </is>
      </c>
      <c r="H1918" s="17" t="inlineStr">
        <is>
          <t>5_5.5_6_6.5_8_8.5</t>
        </is>
      </c>
      <c r="I1918" s="21" t="n">
        <v>152900</v>
      </c>
      <c r="J1918" s="19" t="n">
        <v>152900</v>
      </c>
      <c r="K1918" s="20" t="n">
        <v>5</v>
      </c>
      <c r="L1918" s="4" t="inlineStr">
        <is>
          <t>https://www.gucci.com/jp/ja/pr/men/shoes-for-men/moccasins-loafers-for-men/mens-loafer-with-horsebit-p-730137BNC001000</t>
        </is>
      </c>
      <c r="M1918" s="5">
        <f t="array" ref="M1918">_xlfn.IFS(J1918="NOTFOUND",I1918,J1918&gt;=I1918,J1918)</f>
        <v/>
      </c>
    </row>
    <row r="1919" ht="18" customHeight="1" s="16">
      <c r="A1919" s="5" t="n">
        <v>1918</v>
      </c>
      <c r="B1919" s="5" t="inlineStr">
        <is>
          <t>GU-4170</t>
        </is>
      </c>
      <c r="D1919" s="8" t="inlineStr">
        <is>
          <t>ホースビット付き ローファー</t>
        </is>
      </c>
      <c r="E1919" s="8" t="inlineStr">
        <is>
          <t>798997 AAD7E 1000</t>
        </is>
      </c>
      <c r="G1919" s="10" t="inlineStr">
        <is>
          <t>5.5_6_6.5_7_7.5_8_8.5_9_9.5_10</t>
        </is>
      </c>
      <c r="H1919" s="17" t="inlineStr">
        <is>
          <t>5.5_6_6.5_7_7.5_8_8.5_9_9.5_10</t>
        </is>
      </c>
      <c r="I1919" s="21" t="n">
        <v>152900</v>
      </c>
      <c r="J1919" s="19" t="n">
        <v>152900</v>
      </c>
      <c r="K1919" s="20" t="n">
        <v>5</v>
      </c>
      <c r="L1919" s="4" t="inlineStr">
        <is>
          <t>https://www.gucci.com/jp/ja/pr/men/shoes-for-men/moccasins-loafers-for-men/mens-loafer-with-horsebit-p-798997AAD7E1000</t>
        </is>
      </c>
      <c r="M1919" s="5">
        <f t="array" ref="M1919">_xlfn.IFS(J1919="NOTFOUND",I1919,J1919&gt;=I1919,J1919)</f>
        <v/>
      </c>
    </row>
    <row r="1920" ht="18" customHeight="1" s="16">
      <c r="A1920" s="5" t="n">
        <v>1919</v>
      </c>
      <c r="B1920" s="5" t="inlineStr">
        <is>
          <t>GU-4171</t>
        </is>
      </c>
      <c r="D1920" s="8" t="inlineStr">
        <is>
          <t>ホースビット ローファー</t>
        </is>
      </c>
      <c r="E1920" s="8" t="inlineStr">
        <is>
          <t>795116 AADQC 2106</t>
        </is>
      </c>
      <c r="G1920" s="10" t="inlineStr">
        <is>
          <t>5.5_6_6.5_7_7.5_8_8.5_9_10</t>
        </is>
      </c>
      <c r="H1920" s="17" t="inlineStr">
        <is>
          <t>5.5_6_6.5_7_7.5_8_8.5_9_10</t>
        </is>
      </c>
      <c r="I1920" s="21" t="n">
        <v>152900</v>
      </c>
      <c r="J1920" s="19" t="n">
        <v>152900</v>
      </c>
      <c r="K1920" s="20" t="n">
        <v>5</v>
      </c>
      <c r="L1920" s="4" t="inlineStr">
        <is>
          <t>https://www.gucci.com/jp/ja/pr/men/shoes-for-men/moccasins-loafers-for-men/mens-loafer-with-horsebit-p-795116AADQC2106</t>
        </is>
      </c>
      <c r="M1920" s="5">
        <f t="array" ref="M1920">_xlfn.IFS(J1920="NOTFOUND",I1920,J1920&gt;=I1920,J1920)</f>
        <v/>
      </c>
    </row>
    <row r="1921" ht="18" customHeight="1" s="16">
      <c r="A1921" s="5" t="n">
        <v>1920</v>
      </c>
      <c r="B1921" s="5" t="inlineStr">
        <is>
          <t>GU-4172</t>
        </is>
      </c>
      <c r="D1921" s="8" t="inlineStr">
        <is>
          <t>ホースビット付き ローファー</t>
        </is>
      </c>
      <c r="E1921" s="8" t="inlineStr">
        <is>
          <t>812133 AAEAK 1000</t>
        </is>
      </c>
      <c r="G1921" s="11" t="inlineStr">
        <is>
          <t>SOLD</t>
        </is>
      </c>
      <c r="H1921" s="22" t="inlineStr">
        <is>
          <t>SOLD</t>
        </is>
      </c>
      <c r="I1921" s="21" t="n">
        <v>192500</v>
      </c>
      <c r="J1921" s="23" t="inlineStr">
        <is>
          <t>NOTFOUND</t>
        </is>
      </c>
      <c r="K1921" s="20" t="n">
        <v>0</v>
      </c>
      <c r="L1921" s="4" t="inlineStr">
        <is>
          <t>https://www.gucci.com/jp/ja/pr/men/shoes-for-men/moccasins-loafers-for-men/mens-loafer-with-horsebit-p-812133AAEAK1000</t>
        </is>
      </c>
      <c r="M1921" s="5">
        <f t="array" ref="M1921">_xlfn.IFS(J1921="NOTFOUND",I1921,J1921&gt;=I1921,J1921)</f>
        <v/>
      </c>
    </row>
    <row r="1922" ht="18" customHeight="1" s="16">
      <c r="A1922" s="5" t="n">
        <v>1921</v>
      </c>
      <c r="B1922" s="5" t="inlineStr">
        <is>
          <t>GU-4173</t>
        </is>
      </c>
      <c r="D1922" s="8" t="inlineStr">
        <is>
          <t>ホースビット付き ローファー</t>
        </is>
      </c>
      <c r="E1922" s="8" t="inlineStr">
        <is>
          <t>812152 AAD7W 1000</t>
        </is>
      </c>
      <c r="G1922" s="10" t="inlineStr">
        <is>
          <t>5.5_6_6.5_7_7.5_8_8.5_9</t>
        </is>
      </c>
      <c r="H1922" s="17" t="inlineStr">
        <is>
          <t>5.5_6_6.5_7_7.5_8_8.5_9</t>
        </is>
      </c>
      <c r="I1922" s="21" t="n">
        <v>156200</v>
      </c>
      <c r="J1922" s="19" t="n">
        <v>156200</v>
      </c>
      <c r="K1922" s="20" t="n">
        <v>5</v>
      </c>
      <c r="L1922" s="4" t="inlineStr">
        <is>
          <t>https://www.gucci.com/jp/ja/pr/men/shoes-for-men/moccasins-loafers-for-men/mens-loafer-with-horsebit-p-812152AAD7W1000</t>
        </is>
      </c>
      <c r="M1922" s="5">
        <f t="array" ref="M1922">_xlfn.IFS(J1922="NOTFOUND",I1922,J1922&gt;=I1922,J1922)</f>
        <v/>
      </c>
    </row>
    <row r="1923" ht="18" customHeight="1" s="16">
      <c r="A1923" s="5" t="n">
        <v>1922</v>
      </c>
      <c r="B1923" s="5" t="inlineStr">
        <is>
          <t>GU-4174</t>
        </is>
      </c>
      <c r="D1923" s="8" t="inlineStr">
        <is>
          <t>レースアップシューズ</t>
        </is>
      </c>
      <c r="E1923" s="8" t="inlineStr">
        <is>
          <t>794178 AACZS 1000</t>
        </is>
      </c>
      <c r="G1923" s="10" t="inlineStr">
        <is>
          <t>5_5.5_6_6.5_7_7.5_8_8.5_9_9.5_10</t>
        </is>
      </c>
      <c r="H1923" s="17" t="inlineStr">
        <is>
          <t>5_5.5_6_6.5_7_7.5_8_8.5_9_9.5_10</t>
        </is>
      </c>
      <c r="I1923" s="21" t="n">
        <v>167200</v>
      </c>
      <c r="J1923" s="19" t="n">
        <v>167200</v>
      </c>
      <c r="K1923" s="20" t="n">
        <v>5</v>
      </c>
      <c r="L1923" s="4" t="inlineStr">
        <is>
          <t>https://www.gucci.com/jp/ja/pr/men/shoes-for-men/moccasins-loafers-for-men/mens-lace-up-shoe-p-794178AACZS1000</t>
        </is>
      </c>
      <c r="M1923" s="5">
        <f t="array" ref="M1923">_xlfn.IFS(J1923="NOTFOUND",I1923,J1923&gt;=I1923,J1923)</f>
        <v/>
      </c>
    </row>
    <row r="1924" ht="18" customHeight="1" s="16">
      <c r="A1924" s="5" t="n">
        <v>1923</v>
      </c>
      <c r="B1924" s="5" t="inlineStr">
        <is>
          <t>GU-4175</t>
        </is>
      </c>
      <c r="D1924" s="8" t="inlineStr">
        <is>
          <t>レースアップシューズ</t>
        </is>
      </c>
      <c r="E1924" s="8" t="inlineStr">
        <is>
          <t>643621 06F00 1000</t>
        </is>
      </c>
      <c r="G1924" s="10" t="inlineStr">
        <is>
          <t>4.5_5_5.5_6.5_8_8.5_10_10.5</t>
        </is>
      </c>
      <c r="H1924" s="17" t="inlineStr">
        <is>
          <t>4.5_5_5.5_6.5_8_8.5_9_10_10.5</t>
        </is>
      </c>
      <c r="I1924" s="21" t="n">
        <v>132000</v>
      </c>
      <c r="J1924" s="19" t="n">
        <v>132000</v>
      </c>
      <c r="K1924" s="20" t="n">
        <v>5</v>
      </c>
      <c r="L1924" s="4" t="inlineStr">
        <is>
          <t>https://www.gucci.com/jp/ja/pr/men/shoes-for-men/moccasins-loafers-for-men/mens-lace-up-shoe-p-64362106F001000</t>
        </is>
      </c>
      <c r="M1924" s="5">
        <f t="array" ref="M1924">_xlfn.IFS(J1924="NOTFOUND",I1924,J1924&gt;=I1924,J1924)</f>
        <v/>
      </c>
    </row>
    <row r="1925" ht="18" customHeight="1" s="16">
      <c r="A1925" s="5" t="n">
        <v>1924</v>
      </c>
      <c r="B1925" s="5" t="inlineStr">
        <is>
          <t>GU-4176</t>
        </is>
      </c>
      <c r="D1925" s="8" t="inlineStr">
        <is>
          <t>ダブルG付き レースアップシューズ</t>
        </is>
      </c>
      <c r="E1925" s="8" t="inlineStr">
        <is>
          <t>624663 BNC00 1000</t>
        </is>
      </c>
      <c r="G1925" s="10" t="inlineStr">
        <is>
          <t>5_5.5_6_6.5_7_7.5_8_8.5_9_9.5_10_10.5_11.5_12</t>
        </is>
      </c>
      <c r="H1925" s="17" t="inlineStr">
        <is>
          <t>5_5.5_6_6.5_7_7.5_8_8.5_10_10.5_11.5_12</t>
        </is>
      </c>
      <c r="I1925" s="21" t="n">
        <v>137500</v>
      </c>
      <c r="J1925" s="19" t="n">
        <v>137500</v>
      </c>
      <c r="K1925" s="20" t="n">
        <v>5</v>
      </c>
      <c r="L1925" s="4" t="inlineStr">
        <is>
          <t>https://www.gucci.com/jp/ja/pr/men/shoes-for-men/moccasins-loafers-for-men/mens-lace-up-shoe-with-double-g-p-624663BNC001000</t>
        </is>
      </c>
      <c r="M1925" s="5">
        <f t="array" ref="M1925">_xlfn.IFS(J1925="NOTFOUND",I1925,J1925&gt;=I1925,J1925)</f>
        <v/>
      </c>
    </row>
    <row r="1926" ht="18" customHeight="1" s="16">
      <c r="A1926" s="5" t="n">
        <v>1925</v>
      </c>
      <c r="B1926" s="5" t="inlineStr">
        <is>
          <t>GU-4177</t>
        </is>
      </c>
      <c r="D1926" s="8" t="inlineStr">
        <is>
          <t>ホースビット ローファー</t>
        </is>
      </c>
      <c r="E1926" s="8" t="inlineStr">
        <is>
          <t>794202 0GQ00 1000</t>
        </is>
      </c>
      <c r="G1926" s="10" t="inlineStr">
        <is>
          <t>5_5.5_6_6.5_7_7.5_8_8.5_9_9.5_10_10.5_11</t>
        </is>
      </c>
      <c r="H1926" s="17" t="inlineStr">
        <is>
          <t>5_5.5_6_6.5_7_7.5_8_8.5_9_9.5_10_10.5_11</t>
        </is>
      </c>
      <c r="I1926" s="21" t="n">
        <v>149600</v>
      </c>
      <c r="J1926" s="19" t="n">
        <v>149600</v>
      </c>
      <c r="K1926" s="20" t="n">
        <v>5</v>
      </c>
      <c r="L1926" s="4" t="inlineStr">
        <is>
          <t>https://www.gucci.com/jp/ja/pr/men/shoes-for-men/moccasins-loafers-for-men/mens-loafer-with-horsebit-p-7942020GQ001000</t>
        </is>
      </c>
      <c r="M1926" s="5">
        <f t="array" ref="M1926">_xlfn.IFS(J1926="NOTFOUND",I1926,J1926&gt;=I1926,J1926)</f>
        <v/>
      </c>
    </row>
    <row r="1927" ht="18" customHeight="1" s="16">
      <c r="A1927" s="5" t="n">
        <v>1926</v>
      </c>
      <c r="B1927" s="5" t="inlineStr">
        <is>
          <t>GU-4178</t>
        </is>
      </c>
      <c r="D1927" s="8" t="inlineStr">
        <is>
          <t>ウェブ ストライプ付き ローファー</t>
        </is>
      </c>
      <c r="E1927" s="8" t="inlineStr">
        <is>
          <t>838136 AAEYD 1060</t>
        </is>
      </c>
      <c r="G1927" s="10" t="inlineStr">
        <is>
          <t>5.5_6_6.5_7_7.5_8_8.5_9</t>
        </is>
      </c>
      <c r="H1927" s="17" t="inlineStr">
        <is>
          <t>5.5_6_6.5_7_7.5_8_8.5_9</t>
        </is>
      </c>
      <c r="I1927" s="21" t="n">
        <v>174900</v>
      </c>
      <c r="J1927" s="19" t="n">
        <v>174900</v>
      </c>
      <c r="K1927" s="20" t="n">
        <v>5</v>
      </c>
      <c r="L1927" s="4" t="inlineStr">
        <is>
          <t>https://www.gucci.com/jp/ja/pr/men/shoes-for-men/moccasins-loafers-for-men/moccasins-for-men/mens-loafer-with-web-p-838136AAEYD1060</t>
        </is>
      </c>
      <c r="M1927" s="5">
        <f t="array" ref="M1927">_xlfn.IFS(J1927="NOTFOUND",I1927,J1927&gt;=I1927,J1927)</f>
        <v/>
      </c>
    </row>
    <row r="1928" ht="18" customHeight="1" s="16">
      <c r="A1928" s="5" t="n">
        <v>1927</v>
      </c>
      <c r="B1928" s="5" t="inlineStr">
        <is>
          <t>GU-4179</t>
        </is>
      </c>
      <c r="D1928" s="8" t="inlineStr">
        <is>
          <t>ディテール付き ローファー</t>
        </is>
      </c>
      <c r="E1928" s="8" t="inlineStr">
        <is>
          <t>831274 AAD7W 2109</t>
        </is>
      </c>
      <c r="G1928" s="10" t="inlineStr">
        <is>
          <t>5_5.5_6_6.5_7_7.5_8_8.5_9</t>
        </is>
      </c>
      <c r="H1928" s="17" t="inlineStr">
        <is>
          <t>5_5.5_6_6.5_7_7.5_8_8.5_9</t>
        </is>
      </c>
      <c r="I1928" s="21" t="n">
        <v>174900</v>
      </c>
      <c r="J1928" s="19" t="n">
        <v>174900</v>
      </c>
      <c r="K1928" s="20" t="n">
        <v>5</v>
      </c>
      <c r="L1928" s="4" t="inlineStr">
        <is>
          <t>https://www.gucci.com/jp/ja/pr/men/shoes-for-men/moccasins-loafers-for-men/moccasins-for-men/mens-loafer-with-removable-detail-p-831274AAD7W2109</t>
        </is>
      </c>
      <c r="M1928" s="5">
        <f t="array" ref="M1928">_xlfn.IFS(J1928="NOTFOUND",I1928,J1928&gt;=I1928,J1928)</f>
        <v/>
      </c>
    </row>
    <row r="1929" ht="18" customHeight="1" s="16">
      <c r="A1929" s="5" t="n">
        <v>1928</v>
      </c>
      <c r="B1929" s="5" t="inlineStr">
        <is>
          <t>GU-4180</t>
        </is>
      </c>
      <c r="D1929" s="8" t="inlineStr">
        <is>
          <t>ディテール付き ローファー</t>
        </is>
      </c>
      <c r="E1929" s="8" t="inlineStr">
        <is>
          <t>831274 AAD7W 1000</t>
        </is>
      </c>
      <c r="G1929" s="10" t="inlineStr">
        <is>
          <t>5_5.5_6_6.5_7_7.5_8_8.5_9_9.5</t>
        </is>
      </c>
      <c r="H1929" s="17" t="inlineStr">
        <is>
          <t>5_5.5_6_6.5_7_7.5_8_8.5_9_9.5_10</t>
        </is>
      </c>
      <c r="I1929" s="21" t="n">
        <v>174900</v>
      </c>
      <c r="J1929" s="19" t="n">
        <v>174900</v>
      </c>
      <c r="K1929" s="20" t="n">
        <v>5</v>
      </c>
      <c r="L1929" s="4" t="inlineStr">
        <is>
          <t>https://www.gucci.com/jp/ja/pr/men/shoes-for-men/moccasins-loafers-for-men/moccasins-for-men/mens-loafer-with-removable-detail-p-831274AAD7W1000</t>
        </is>
      </c>
      <c r="M1929" s="5">
        <f t="array" ref="M1929">_xlfn.IFS(J1929="NOTFOUND",I1929,J1929&gt;=I1929,J1929)</f>
        <v/>
      </c>
    </row>
    <row r="1930" ht="18" customHeight="1" s="16">
      <c r="A1930" s="5" t="n">
        <v>1929</v>
      </c>
      <c r="B1930" s="5" t="inlineStr">
        <is>
          <t>GU-4181</t>
        </is>
      </c>
      <c r="D1930" s="2" t="inlineStr">
        <is>
          <t>ヒグチユウコ ミディアム トートバッグ</t>
        </is>
      </c>
      <c r="E1930" s="5" t="inlineStr">
        <is>
          <t>841487 AAFO7 8851</t>
        </is>
      </c>
      <c r="G1930" s="10" t="inlineStr">
        <is>
          <t>OneSize</t>
        </is>
      </c>
      <c r="H1930" s="17" t="inlineStr">
        <is>
          <t>OneSize</t>
        </is>
      </c>
      <c r="I1930" s="21" t="n">
        <v>726000</v>
      </c>
      <c r="J1930" s="19" t="n">
        <v>726000</v>
      </c>
      <c r="K1930" s="20" t="n">
        <v>5</v>
      </c>
      <c r="L1930" s="4" t="inlineStr">
        <is>
          <t>https://www.gucci.com/jp/ja/pr/women/handbags/shoulder-bags-for-women/yuko-higuchi-gucci-diana-medium-tote-bag-p-841487AAFO78851</t>
        </is>
      </c>
      <c r="M1930" s="5">
        <f t="array" ref="M1930">_xlfn.IFS(J1930="NOTFOUND",I1930,J1930&gt;=I1930,J1930)</f>
        <v/>
      </c>
    </row>
    <row r="1931" ht="18" customHeight="1" s="16">
      <c r="A1931" s="5" t="n">
        <v>1930</v>
      </c>
      <c r="B1931" s="5" t="inlineStr">
        <is>
          <t>GU-4182</t>
        </is>
      </c>
      <c r="D1931" s="2" t="inlineStr">
        <is>
          <t>ヒグチユウコ スモール ウォレット 財布</t>
        </is>
      </c>
      <c r="E1931" s="5" t="inlineStr">
        <is>
          <t>847923 AAFL1 6282</t>
        </is>
      </c>
      <c r="G1931" s="10" t="inlineStr">
        <is>
          <t>OneSize</t>
        </is>
      </c>
      <c r="H1931" s="17" t="inlineStr">
        <is>
          <t>OneSize</t>
        </is>
      </c>
      <c r="I1931" s="21" t="n">
        <v>134200</v>
      </c>
      <c r="J1931" s="19" t="n">
        <v>134200</v>
      </c>
      <c r="K1931" s="20" t="n">
        <v>5</v>
      </c>
      <c r="L1931" s="4" t="inlineStr">
        <is>
          <t>https://www.gucci.com/jp/ja/pr/women/small-leather-goods-for-women/folded-wallets-for-women/yuko-higuchi-small-wallet-p-847923AAFL16282</t>
        </is>
      </c>
      <c r="M1931" s="5">
        <f t="array" ref="M1931">_xlfn.IFS(J1931="NOTFOUND",I1931,J1931&gt;=I1931,J1931)</f>
        <v/>
      </c>
    </row>
    <row r="1932" ht="18" customHeight="1" s="16">
      <c r="A1932" s="5" t="n">
        <v>1931</v>
      </c>
      <c r="B1932" s="5" t="inlineStr">
        <is>
          <t>GU-4183</t>
        </is>
      </c>
      <c r="D1932" s="2" t="inlineStr">
        <is>
          <t>ヒグチユウコ スモール トートバッグ</t>
        </is>
      </c>
      <c r="E1932" s="5" t="inlineStr">
        <is>
          <t>841488 AAFO7 8852</t>
        </is>
      </c>
      <c r="G1932" s="10" t="inlineStr">
        <is>
          <t>OneSize</t>
        </is>
      </c>
      <c r="H1932" s="17" t="inlineStr">
        <is>
          <t>OneSize</t>
        </is>
      </c>
      <c r="I1932" s="21" t="n">
        <v>607200</v>
      </c>
      <c r="J1932" s="19" t="n">
        <v>607200</v>
      </c>
      <c r="K1932" s="20" t="n">
        <v>5</v>
      </c>
      <c r="L1932" s="4" t="inlineStr">
        <is>
          <t>https://www.gucci.com/jp/ja/pr/women/handbags/shoulder-bags-for-women/yuko-higuchi-gucci-diana-small-tote-bag-p-841488AAFO78852</t>
        </is>
      </c>
      <c r="M1932" s="5">
        <f t="array" ref="M1932">_xlfn.IFS(J1932="NOTFOUND",I1932,J1932&gt;=I1932,J1932)</f>
        <v/>
      </c>
    </row>
    <row r="1933" ht="18" customHeight="1" s="16">
      <c r="A1933" s="5" t="n">
        <v>1932</v>
      </c>
      <c r="B1933" s="5" t="inlineStr">
        <is>
          <t>GU-4184</t>
        </is>
      </c>
      <c r="D1933" s="2" t="inlineStr">
        <is>
          <t>ヒグチユウコ シルク ネックボウ</t>
        </is>
      </c>
      <c r="E1933" s="5" t="inlineStr">
        <is>
          <t>848291 3G001 6172</t>
        </is>
      </c>
      <c r="G1933" s="10" t="inlineStr">
        <is>
          <t>OneSize</t>
        </is>
      </c>
      <c r="H1933" s="17" t="inlineStr">
        <is>
          <t>OneSize</t>
        </is>
      </c>
      <c r="I1933" s="21" t="n">
        <v>39600</v>
      </c>
      <c r="J1933" s="19" t="n">
        <v>39600</v>
      </c>
      <c r="K1933" s="20" t="n">
        <v>5</v>
      </c>
      <c r="L1933" s="4" t="inlineStr">
        <is>
          <t>https://www.gucci.com/jp/ja/pr/women/accessories-for-women/scarves-silks-for-women/yuko-higuchi-silk-neck-bow-p-8482913G0016172</t>
        </is>
      </c>
      <c r="M1933" s="5">
        <f t="array" ref="M1933">_xlfn.IFS(J1933="NOTFOUND",I1933,J1933&gt;=I1933,J1933)</f>
        <v/>
      </c>
    </row>
    <row r="1934" ht="18" customHeight="1" s="16">
      <c r="A1934" s="5" t="n">
        <v>1933</v>
      </c>
      <c r="B1934" s="5" t="inlineStr">
        <is>
          <t>GU-4185</t>
        </is>
      </c>
      <c r="D1934" s="2" t="inlineStr">
        <is>
          <t>ヒグチユウコ プリント シルクスカーフ</t>
        </is>
      </c>
      <c r="E1934" s="5" t="inlineStr">
        <is>
          <t>848288 3G001 6172</t>
        </is>
      </c>
      <c r="G1934" s="10" t="inlineStr">
        <is>
          <t>OneSize</t>
        </is>
      </c>
      <c r="H1934" s="17" t="inlineStr">
        <is>
          <t>OneSize</t>
        </is>
      </c>
      <c r="I1934" s="21" t="n">
        <v>93500</v>
      </c>
      <c r="J1934" s="19" t="n">
        <v>93500</v>
      </c>
      <c r="K1934" s="20" t="n">
        <v>5</v>
      </c>
      <c r="L1934" s="4" t="inlineStr">
        <is>
          <t>https://www.gucci.com/jp/ja/pr/women/accessories-for-women/scarves-silks-for-women/square-shaped-scarves-for-women/yuko-higuchi-printed-silk-carre-p-8482883G0016172</t>
        </is>
      </c>
      <c r="M1934" s="5">
        <f t="array" ref="M1934">_xlfn.IFS(J1934="NOTFOUND",I1934,J1934&gt;=I1934,J1934)</f>
        <v/>
      </c>
    </row>
    <row r="1935" ht="18" customHeight="1" s="16">
      <c r="A1935" s="5" t="n">
        <v>1934</v>
      </c>
      <c r="B1935" s="5" t="inlineStr">
        <is>
          <t>GU-4186</t>
        </is>
      </c>
      <c r="D1935" s="2" t="inlineStr">
        <is>
          <t>ヒグチユウコ 猫 （BO）キーチェーン</t>
        </is>
      </c>
      <c r="E1935" s="5" t="inlineStr">
        <is>
          <t>851743 FAFC1 8165</t>
        </is>
      </c>
      <c r="G1935" s="10" t="inlineStr">
        <is>
          <t>OneSize</t>
        </is>
      </c>
      <c r="H1935" s="17" t="inlineStr">
        <is>
          <t>OneSize</t>
        </is>
      </c>
      <c r="I1935" s="21" t="n">
        <v>93500</v>
      </c>
      <c r="J1935" s="19" t="n">
        <v>93500</v>
      </c>
      <c r="K1935" s="20" t="n">
        <v>5</v>
      </c>
      <c r="L1935" s="4" t="inlineStr">
        <is>
          <t>https://www.gucci.com/jp/ja/pr/women/small-leather-goods-for-women/yuko-higuchi-cat-shaped-keychain-p-851743FAFC18165</t>
        </is>
      </c>
      <c r="M1935" s="5">
        <f t="array" ref="M1935">_xlfn.IFS(J1935="NOTFOUND",I1935,J1935&gt;=I1935,J1935)</f>
        <v/>
      </c>
    </row>
    <row r="1936" ht="18" customHeight="1" s="16">
      <c r="A1936" s="5" t="n">
        <v>1935</v>
      </c>
      <c r="B1936" s="5" t="inlineStr">
        <is>
          <t>GU-4187</t>
        </is>
      </c>
      <c r="D1936" s="2" t="inlineStr">
        <is>
          <t>ヒグチユウコ ジップアラウンドウォレット 財布</t>
        </is>
      </c>
      <c r="E1936" s="5" t="inlineStr">
        <is>
          <t>847918 AAFLZ 8748</t>
        </is>
      </c>
      <c r="G1936" s="10" t="inlineStr">
        <is>
          <t>OneSize</t>
        </is>
      </c>
      <c r="H1936" s="17" t="inlineStr">
        <is>
          <t>OneSize</t>
        </is>
      </c>
      <c r="I1936" s="21" t="n">
        <v>148500</v>
      </c>
      <c r="J1936" s="19" t="n">
        <v>148500</v>
      </c>
      <c r="K1936" s="20" t="n">
        <v>5</v>
      </c>
      <c r="L1936" s="4" t="inlineStr">
        <is>
          <t>https://www.gucci.com/jp/ja/pr/women/small-leather-goods-for-women/zip-around-wallets-for-women/yuko-higuchi-zip-around-wallet-p-847918AAFLZ8748</t>
        </is>
      </c>
      <c r="M1936" s="5">
        <f t="array" ref="M1936">_xlfn.IFS(J1936="NOTFOUND",I1936,J1936&gt;=I1936,J1936)</f>
        <v/>
      </c>
    </row>
    <row r="1937" ht="18" customHeight="1" s="16">
      <c r="A1937" s="5" t="n">
        <v>1936</v>
      </c>
      <c r="B1937" s="5" t="inlineStr">
        <is>
          <t>GU-4188</t>
        </is>
      </c>
      <c r="D1937" s="2" t="inlineStr">
        <is>
          <t>ヒグチユウコ 猫 （BORIS）キーチェーン</t>
        </is>
      </c>
      <c r="E1937" s="5" t="inlineStr">
        <is>
          <t>851742 FAFCZ 8164</t>
        </is>
      </c>
      <c r="G1937" s="10" t="inlineStr">
        <is>
          <t>OneSize</t>
        </is>
      </c>
      <c r="H1937" s="17" t="inlineStr">
        <is>
          <t>OneSize</t>
        </is>
      </c>
      <c r="I1937" s="21" t="n">
        <v>93500</v>
      </c>
      <c r="J1937" s="19" t="n">
        <v>93500</v>
      </c>
      <c r="K1937" s="20" t="n">
        <v>5</v>
      </c>
      <c r="L1937" s="4" t="inlineStr">
        <is>
          <t>https://www.gucci.com/jp/ja/pr/women/small-leather-goods-for-women/yuko-higuchi-cat-shaped-keychain-p-851742FAFCZ8164</t>
        </is>
      </c>
      <c r="M1937" s="5">
        <f t="array" ref="M1937">_xlfn.IFS(J1937="NOTFOUND",I1937,J1937&gt;=I1937,J1937)</f>
        <v/>
      </c>
    </row>
    <row r="1938" ht="18" customHeight="1" s="16">
      <c r="A1938" s="5" t="n">
        <v>1937</v>
      </c>
      <c r="B1938" s="5" t="inlineStr">
        <is>
          <t>GU-4189</t>
        </is>
      </c>
      <c r="D1938" s="2" t="inlineStr">
        <is>
          <t>ヒグチユウコ GGキャンバス ベースボールキャップ</t>
        </is>
      </c>
      <c r="E1938" s="5" t="inlineStr">
        <is>
          <t>847862 3HBFT 9884</t>
        </is>
      </c>
      <c r="G1938" s="10" t="inlineStr">
        <is>
          <t>S_M_L</t>
        </is>
      </c>
      <c r="H1938" s="17" t="inlineStr">
        <is>
          <t>S_M_L</t>
        </is>
      </c>
      <c r="I1938" s="21" t="n">
        <v>93500</v>
      </c>
      <c r="J1938" s="19" t="n">
        <v>93500</v>
      </c>
      <c r="K1938" s="20" t="n">
        <v>5</v>
      </c>
      <c r="L1938" s="4" t="inlineStr">
        <is>
          <t>https://www.gucci.com/jp/ja/pr/men/accessories-for-men/hats-gloves-for-men/baseballl-hats-for-men/yuko-higuchi-gg-canvas-baseball-cap-p-8478623HBFT9884</t>
        </is>
      </c>
      <c r="M1938" s="5">
        <f t="array" ref="M1938">_xlfn.IFS(J1938="NOTFOUND",I1938,J1938&gt;=I1938,J1938)</f>
        <v/>
      </c>
    </row>
    <row r="1939" ht="18" customHeight="1" s="16">
      <c r="A1939" s="5" t="n">
        <v>1938</v>
      </c>
      <c r="B1939" s="5" t="inlineStr">
        <is>
          <t>GU-4190</t>
        </is>
      </c>
      <c r="D1939" s="2" t="inlineStr">
        <is>
          <t>ヒグチユウコ プリント GG ヘアバンド</t>
        </is>
      </c>
      <c r="E1939" s="5" t="inlineStr">
        <is>
          <t>847863 4HBEY 9700</t>
        </is>
      </c>
      <c r="G1939" s="10" t="inlineStr">
        <is>
          <t>OneSize</t>
        </is>
      </c>
      <c r="H1939" s="17" t="inlineStr">
        <is>
          <t>OneSize</t>
        </is>
      </c>
      <c r="I1939" s="21" t="n">
        <v>66000</v>
      </c>
      <c r="J1939" s="19" t="n">
        <v>66000</v>
      </c>
      <c r="K1939" s="20" t="n">
        <v>5</v>
      </c>
      <c r="L1939" s="4" t="inlineStr">
        <is>
          <t>https://www.gucci.com/jp/ja/pr/women/accessories-for-women/hair-accessories-for-women/headbands-for-women/yuko-higuchi-printed-gg-hairband-p-8478634HBEY9700</t>
        </is>
      </c>
      <c r="M1939" s="5">
        <f t="array" ref="M1939">_xlfn.IFS(J1939="NOTFOUND",I1939,J1939&gt;=I1939,J1939)</f>
        <v/>
      </c>
    </row>
    <row r="1940" ht="18" customHeight="1" s="16">
      <c r="A1940" s="5" t="n">
        <v>1939</v>
      </c>
      <c r="B1940" s="5" t="inlineStr">
        <is>
          <t>GU-4191</t>
        </is>
      </c>
      <c r="D1940" s="2" t="inlineStr">
        <is>
          <t>ヒグチユウコ GGキャンバス ベースボールキャップ</t>
        </is>
      </c>
      <c r="E1940" s="5" t="inlineStr">
        <is>
          <t>847862 3HBFT 9784</t>
        </is>
      </c>
      <c r="G1940" s="10" t="inlineStr">
        <is>
          <t>S_M_L</t>
        </is>
      </c>
      <c r="H1940" s="17" t="inlineStr">
        <is>
          <t>S_M_L</t>
        </is>
      </c>
      <c r="I1940" s="21" t="n">
        <v>93500</v>
      </c>
      <c r="J1940" s="19" t="n">
        <v>93500</v>
      </c>
      <c r="K1940" s="20" t="n">
        <v>5</v>
      </c>
      <c r="L1940" s="4" t="inlineStr">
        <is>
          <t>https://www.gucci.com/jp/ja/pr/men/accessories-for-men/hats-gloves-for-men/baseballl-hats-for-men/yuko-higuchi-gg-canvas-baseball-cap-p-8478623HBFT9784</t>
        </is>
      </c>
      <c r="M1940" s="5">
        <f t="array" ref="M1940">_xlfn.IFS(J1940="NOTFOUND",I1940,J1940&gt;=I1940,J1940)</f>
        <v/>
      </c>
    </row>
    <row r="1941" ht="18" customHeight="1" s="16">
      <c r="A1941" s="5" t="n">
        <v>1940</v>
      </c>
      <c r="B1941" s="5" t="inlineStr">
        <is>
          <t>GU-4192</t>
        </is>
      </c>
      <c r="D1941" s="2" t="inlineStr">
        <is>
          <t>ヒグチユウコ 猫 （BORIS）チャーム</t>
        </is>
      </c>
      <c r="E1941" s="5" t="inlineStr">
        <is>
          <t>844247 JAAJU 8085</t>
        </is>
      </c>
      <c r="G1941" s="10" t="inlineStr">
        <is>
          <t>OneSize</t>
        </is>
      </c>
      <c r="H1941" s="17" t="inlineStr">
        <is>
          <t>OneSize</t>
        </is>
      </c>
      <c r="I1941" s="21" t="n">
        <v>74800</v>
      </c>
      <c r="J1941" s="19" t="n">
        <v>74800</v>
      </c>
      <c r="K1941" s="20" t="n">
        <v>5</v>
      </c>
      <c r="L1941" s="4" t="inlineStr">
        <is>
          <t>https://www.gucci.com/jp/ja/pr/women/small-leather-goods-for-women/yuko-higuchi-cat-shaped-keychain-p-844247JAAJU8085</t>
        </is>
      </c>
      <c r="M1941" s="5">
        <f t="array" ref="M1941">_xlfn.IFS(J1941="NOTFOUND",I1941,J1941&gt;=I1941,J1941)</f>
        <v/>
      </c>
    </row>
    <row r="1942" ht="18" customHeight="1" s="16">
      <c r="A1942" s="5" t="n">
        <v>1941</v>
      </c>
      <c r="B1942" s="5" t="inlineStr">
        <is>
          <t>GU-4193</t>
        </is>
      </c>
      <c r="D1942" s="2" t="inlineStr">
        <is>
          <t>ヒグチユウコ バイカラー キーケース</t>
        </is>
      </c>
      <c r="E1942" s="5" t="inlineStr">
        <is>
          <t>847916 FAE84 9891</t>
        </is>
      </c>
      <c r="G1942" s="10" t="inlineStr">
        <is>
          <t>OneSize</t>
        </is>
      </c>
      <c r="H1942" s="17" t="inlineStr">
        <is>
          <t>OneSize</t>
        </is>
      </c>
      <c r="I1942" s="21" t="n">
        <v>93500</v>
      </c>
      <c r="J1942" s="19" t="n">
        <v>93500</v>
      </c>
      <c r="K1942" s="20" t="n">
        <v>5</v>
      </c>
      <c r="L1942" s="4" t="inlineStr">
        <is>
          <t>https://www.gucci.com/jp/ja/pr/women/small-leather-goods-for-women/yuko-higuchi-bi-color-key-pouch-p-847916FAE849891</t>
        </is>
      </c>
      <c r="M1942" s="5">
        <f t="array" ref="M1942">_xlfn.IFS(J1942="NOTFOUND",I1942,J1942&gt;=I1942,J1942)</f>
        <v/>
      </c>
    </row>
    <row r="1943" ht="18" customHeight="1" s="16">
      <c r="A1943" s="5" t="n">
        <v>1942</v>
      </c>
      <c r="B1943" s="5" t="inlineStr">
        <is>
          <t>GU-4194</t>
        </is>
      </c>
      <c r="D1943" s="2" t="inlineStr">
        <is>
          <t>ヒグチユウコ バイカラー ジップアラウンドウォレット 財布</t>
        </is>
      </c>
      <c r="E1943" s="5" t="inlineStr">
        <is>
          <t>847926 FAE87 9893</t>
        </is>
      </c>
      <c r="G1943" s="10" t="inlineStr">
        <is>
          <t>OneSize</t>
        </is>
      </c>
      <c r="H1943" s="17" t="inlineStr">
        <is>
          <t>OneSize</t>
        </is>
      </c>
      <c r="I1943" s="21" t="n">
        <v>148500</v>
      </c>
      <c r="J1943" s="19" t="n">
        <v>148500</v>
      </c>
      <c r="K1943" s="20" t="n">
        <v>5</v>
      </c>
      <c r="L1943" s="4" t="inlineStr">
        <is>
          <t>https://www.gucci.com/jp/ja/pr/women/small-leather-goods-for-women/zip-around-wallets-for-women/yuko-higuchi-bi-color-zip-around-wallet-p-847926FAE879893</t>
        </is>
      </c>
      <c r="M1943" s="5">
        <f t="array" ref="M1943">_xlfn.IFS(J1943="NOTFOUND",I1943,J1943&gt;=I1943,J1943)</f>
        <v/>
      </c>
    </row>
    <row r="1944" ht="18" customHeight="1" s="16">
      <c r="A1944" s="5" t="n">
        <v>1943</v>
      </c>
      <c r="B1944" s="5" t="inlineStr">
        <is>
          <t>GU-4195</t>
        </is>
      </c>
      <c r="D1944" s="2" t="inlineStr">
        <is>
          <t>ヒグチユウコ キャット プリント GG ラージ ノートブック</t>
        </is>
      </c>
      <c r="E1944" s="5" t="inlineStr">
        <is>
          <t>661731 FAE9I 8584</t>
        </is>
      </c>
      <c r="G1944" s="11" t="inlineStr">
        <is>
          <t>SOLD</t>
        </is>
      </c>
      <c r="H1944" s="22" t="inlineStr">
        <is>
          <t>SOLD</t>
        </is>
      </c>
      <c r="I1944" s="21" t="n">
        <v>38500</v>
      </c>
      <c r="J1944" s="23" t="inlineStr">
        <is>
          <t>NOTFOUND</t>
        </is>
      </c>
      <c r="K1944" s="20" t="n">
        <v>0</v>
      </c>
      <c r="L1944" s="4" t="inlineStr">
        <is>
          <t>https://www.gucci.com/jp/ja/pr/decor-lifestyle/lifestyle/books-and-stationery/notebooks/yuko-higuchi-cat-print-gg-large-notebook-p-661731FAE9I8584</t>
        </is>
      </c>
      <c r="M1944" s="5">
        <f t="array" ref="M1944">_xlfn.IFS(J1944="NOTFOUND",I1944,J1944&gt;=I1944,J1944)</f>
        <v/>
      </c>
    </row>
    <row r="1945" ht="18" customHeight="1" s="16">
      <c r="A1945" s="5" t="n">
        <v>1944</v>
      </c>
      <c r="B1945" s="5" t="inlineStr">
        <is>
          <t>GU-4196</t>
        </is>
      </c>
      <c r="D1945" s="2" t="inlineStr">
        <is>
          <t>ヒグチユウコ キャット プリント ペンケース</t>
        </is>
      </c>
      <c r="E1945" s="5" t="inlineStr">
        <is>
          <t>662129 FAE9H 8585</t>
        </is>
      </c>
      <c r="G1945" s="11" t="inlineStr">
        <is>
          <t>SOLD</t>
        </is>
      </c>
      <c r="H1945" s="22" t="inlineStr">
        <is>
          <t>SOLD</t>
        </is>
      </c>
      <c r="I1945" s="21" t="n">
        <v>60500</v>
      </c>
      <c r="J1945" s="23" t="inlineStr">
        <is>
          <t>NOTFOUND</t>
        </is>
      </c>
      <c r="K1945" s="20" t="n">
        <v>0</v>
      </c>
      <c r="L1945" s="4" t="inlineStr">
        <is>
          <t>https://www.gucci.com/jp/ja/pr/decor-lifestyle/lifestyle/books-and-stationery/pencil-cases/yuko-higuchi-cat-print-gg-pencil-case-p-662129FAE9H8585</t>
        </is>
      </c>
      <c r="M1945" s="5">
        <f t="array" ref="M1945">_xlfn.IFS(J1945="NOTFOUND",I1945,J1945&gt;=I1945,J1945)</f>
        <v/>
      </c>
    </row>
    <row r="1946" ht="18" customHeight="1" s="16">
      <c r="A1946" s="5" t="n">
        <v>1945</v>
      </c>
      <c r="B1946" s="8" t="inlineStr">
        <is>
          <t>GU-4197</t>
        </is>
      </c>
      <c r="D1946" s="8" t="inlineStr">
        <is>
          <t>エンブロイダリー付き コットンポプリン シャツ</t>
        </is>
      </c>
      <c r="E1946" s="8" t="inlineStr">
        <is>
          <t>833294 Z7AUX 9000</t>
        </is>
      </c>
      <c r="G1946" s="12" t="inlineStr">
        <is>
          <t>44_46_48_50_52_54</t>
        </is>
      </c>
      <c r="H1946" s="17" t="inlineStr">
        <is>
          <t>44_46_48_50_52_54</t>
        </is>
      </c>
      <c r="I1946" s="18" t="n">
        <v>159500</v>
      </c>
      <c r="J1946" s="19" t="n">
        <v>159500</v>
      </c>
      <c r="K1946" s="20" t="n">
        <v>5</v>
      </c>
      <c r="L1946" s="4" t="inlineStr">
        <is>
          <t>https://www.gucci.com/jp/ja/pr/men/ready-to-wear-for-men/shirts-for-men/long-slevees-for-men/cotton-poplin-shirt-with-embroidery-p-833294Z7AUX9000</t>
        </is>
      </c>
      <c r="M1946" s="5">
        <f t="array" ref="M1946">_xlfn.IFS(J1946="NOTFOUND",I1946,J1946&gt;=I1946,J1946)</f>
        <v/>
      </c>
    </row>
    <row r="1947" ht="18" customHeight="1" s="16">
      <c r="A1947" s="5" t="n">
        <v>1946</v>
      </c>
      <c r="B1947" s="8" t="inlineStr">
        <is>
          <t>GU-4198</t>
        </is>
      </c>
      <c r="D1947" s="8" t="inlineStr">
        <is>
          <t>エンボス ロゴ ストライプ コットン シャツ</t>
        </is>
      </c>
      <c r="E1947" s="8" t="inlineStr">
        <is>
          <t>833294 Z7APT 4421</t>
        </is>
      </c>
      <c r="G1947" s="12" t="inlineStr">
        <is>
          <t>44_46_48_50_52_54</t>
        </is>
      </c>
      <c r="H1947" s="17" t="inlineStr">
        <is>
          <t>44_46_48_50_52_54</t>
        </is>
      </c>
      <c r="I1947" s="18" t="n">
        <v>159500</v>
      </c>
      <c r="J1947" s="19" t="n">
        <v>159500</v>
      </c>
      <c r="K1947" s="20" t="n">
        <v>5</v>
      </c>
      <c r="L1947" s="4" t="inlineStr">
        <is>
          <t>https://www.gucci.com/jp/ja/pr/men/ready-to-wear-for-men/shirts-for-men/long-slevees-for-men/striped-cotton-shirt-with-embossed-logo-p-833294Z7APT4421</t>
        </is>
      </c>
      <c r="M1947" s="5">
        <f t="array" ref="M1947">_xlfn.IFS(J1947="NOTFOUND",I1947,J1947&gt;=I1947,J1947)</f>
        <v/>
      </c>
    </row>
    <row r="1948" ht="18" customHeight="1" s="16">
      <c r="A1948" s="5" t="n">
        <v>1947</v>
      </c>
      <c r="B1948" s="8" t="inlineStr">
        <is>
          <t>GU-4199</t>
        </is>
      </c>
      <c r="D1948" s="8" t="inlineStr">
        <is>
          <t>プリント GGコットン ジャカード シャツ</t>
        </is>
      </c>
      <c r="E1948" s="8" t="inlineStr">
        <is>
          <t>833312 Z7AQM 6066</t>
        </is>
      </c>
      <c r="G1948" s="12" t="inlineStr">
        <is>
          <t>42_44_46_48_50</t>
        </is>
      </c>
      <c r="H1948" s="17" t="inlineStr">
        <is>
          <t>42_44_46_48_50</t>
        </is>
      </c>
      <c r="I1948" s="18" t="n">
        <v>352000</v>
      </c>
      <c r="J1948" s="19" t="n">
        <v>352000</v>
      </c>
      <c r="K1948" s="20" t="n">
        <v>5</v>
      </c>
      <c r="L1948" s="4" t="inlineStr">
        <is>
          <t>https://www.gucci.com/jp/ja/pr/men/ready-to-wear-for-men/shirts-for-men/printed-gg-cotton-jacquard-shirt-p-833312Z7AQM6066</t>
        </is>
      </c>
      <c r="M1948" s="5">
        <f t="array" ref="M1948">_xlfn.IFS(J1948="NOTFOUND",I1948,J1948&gt;=I1948,J1948)</f>
        <v/>
      </c>
    </row>
    <row r="1949" ht="18" customHeight="1" s="16">
      <c r="A1949" s="5" t="n">
        <v>1948</v>
      </c>
      <c r="B1949" s="8" t="inlineStr">
        <is>
          <t>GU-4200</t>
        </is>
      </c>
      <c r="D1949" s="8" t="inlineStr">
        <is>
          <t>エンブロイダリー付き コットンポプリン シャツ</t>
        </is>
      </c>
      <c r="E1949" s="8" t="inlineStr">
        <is>
          <t>810604 Z7AUX 4850</t>
        </is>
      </c>
      <c r="G1949" s="12" t="inlineStr">
        <is>
          <t>44_46_48_50_52</t>
        </is>
      </c>
      <c r="H1949" s="17" t="inlineStr">
        <is>
          <t>44_46_48_50_52</t>
        </is>
      </c>
      <c r="I1949" s="18" t="n">
        <v>154000</v>
      </c>
      <c r="J1949" s="19" t="n">
        <v>154000</v>
      </c>
      <c r="K1949" s="20" t="n">
        <v>5</v>
      </c>
      <c r="L1949" s="4" t="inlineStr">
        <is>
          <t>https://www.gucci.com/jp/ja/pr/men/ready-to-wear-for-men/shirts-for-men/cotton-poplin-shirt-with-embroidery-p-810604Z7AUX4850</t>
        </is>
      </c>
      <c r="M1949" s="5">
        <f t="array" ref="M1949">_xlfn.IFS(J1949="NOTFOUND",I1949,J1949&gt;=I1949,J1949)</f>
        <v/>
      </c>
    </row>
    <row r="1950" ht="18" customHeight="1" s="16">
      <c r="A1950" s="5" t="n">
        <v>1949</v>
      </c>
      <c r="B1950" s="8" t="inlineStr">
        <is>
          <t>GU-4201</t>
        </is>
      </c>
      <c r="D1950" s="8" t="inlineStr">
        <is>
          <t>プリント コットンポプリン ボウリングシャツ</t>
        </is>
      </c>
      <c r="E1950" s="8" t="inlineStr">
        <is>
          <t>794907 ZAS8E 4373</t>
        </is>
      </c>
      <c r="G1950" s="12" t="inlineStr">
        <is>
          <t>44_46_48_50</t>
        </is>
      </c>
      <c r="H1950" s="17" t="inlineStr">
        <is>
          <t>44_46_48_50_52</t>
        </is>
      </c>
      <c r="I1950" s="18" t="n">
        <v>203500</v>
      </c>
      <c r="J1950" s="19" t="n">
        <v>203500</v>
      </c>
      <c r="K1950" s="20" t="n">
        <v>5</v>
      </c>
      <c r="L1950" s="4" t="inlineStr">
        <is>
          <t>https://www.gucci.com/jp/ja/pr/men/ready-to-wear-for-men/shirts-for-men/printed-cotton-poplin-bowling-shirt-p-794907ZAS8E4373</t>
        </is>
      </c>
      <c r="M1950" s="5">
        <f t="array" ref="M1950">_xlfn.IFS(J1950="NOTFOUND",I1950,J1950&gt;=I1950,J1950)</f>
        <v/>
      </c>
    </row>
    <row r="1951" ht="18" customHeight="1" s="16">
      <c r="A1951" s="5" t="n">
        <v>1950</v>
      </c>
      <c r="B1951" s="8" t="inlineStr">
        <is>
          <t>GU-4202</t>
        </is>
      </c>
      <c r="D1951" s="8" t="inlineStr">
        <is>
          <t>プリント シルクツイル ボウリングシャツ</t>
        </is>
      </c>
      <c r="E1951" s="8" t="inlineStr">
        <is>
          <t>794907 Z7ARD 4019</t>
        </is>
      </c>
      <c r="G1951" s="12" t="inlineStr">
        <is>
          <t>44_46_48_50_52</t>
        </is>
      </c>
      <c r="H1951" s="17" t="inlineStr">
        <is>
          <t>44_46_48_50_52</t>
        </is>
      </c>
      <c r="I1951" s="18" t="n">
        <v>203500</v>
      </c>
      <c r="J1951" s="19" t="n">
        <v>203500</v>
      </c>
      <c r="K1951" s="20" t="n">
        <v>5</v>
      </c>
      <c r="L1951" s="4" t="inlineStr">
        <is>
          <t>https://www.gucci.com/jp/ja/pr/men/ready-to-wear-for-men/shirts-for-men/printed-silk-twill-bowling-shirt-p-794907Z7ARD4019</t>
        </is>
      </c>
      <c r="M1951" s="5">
        <f t="array" ref="M1951">_xlfn.IFS(J1951="NOTFOUND",I1951,J1951&gt;=I1951,J1951)</f>
        <v/>
      </c>
    </row>
    <row r="1952" ht="18" customHeight="1" s="16">
      <c r="A1952" s="5" t="n">
        <v>1951</v>
      </c>
      <c r="B1952" s="8" t="inlineStr">
        <is>
          <t>GU-4203</t>
        </is>
      </c>
      <c r="D1952" s="8" t="inlineStr">
        <is>
          <t>ストライプ コットン ボウリングシャツ</t>
        </is>
      </c>
      <c r="E1952" s="8" t="inlineStr">
        <is>
          <t>794907 Z7AQO 9678</t>
        </is>
      </c>
      <c r="G1952" s="12" t="inlineStr">
        <is>
          <t>44_46_48_50</t>
        </is>
      </c>
      <c r="H1952" s="17" t="inlineStr">
        <is>
          <t>44_46_48_50</t>
        </is>
      </c>
      <c r="I1952" s="18" t="n">
        <v>203500</v>
      </c>
      <c r="J1952" s="19" t="n">
        <v>203500</v>
      </c>
      <c r="K1952" s="20" t="n">
        <v>5</v>
      </c>
      <c r="L1952" s="4" t="inlineStr">
        <is>
          <t>https://www.gucci.com/jp/ja/pr/men/ready-to-wear-for-men/shirts-for-men/striped-cotton-bowling-shirt-p-794907Z7AQO9678</t>
        </is>
      </c>
      <c r="M1952" s="5">
        <f t="array" ref="M1952">_xlfn.IFS(J1952="NOTFOUND",I1952,J1952&gt;=I1952,J1952)</f>
        <v/>
      </c>
    </row>
    <row r="1953" ht="18" customHeight="1" s="16">
      <c r="A1953" s="5" t="n">
        <v>1952</v>
      </c>
      <c r="B1953" s="8" t="inlineStr">
        <is>
          <t>GU-4205</t>
        </is>
      </c>
      <c r="D1953" s="8" t="inlineStr">
        <is>
          <t>リネンブレンド GGキャンバス シャツ</t>
        </is>
      </c>
      <c r="E1953" s="8" t="inlineStr">
        <is>
          <t>814694 Z7AHL 9000</t>
        </is>
      </c>
      <c r="G1953" s="12" t="inlineStr">
        <is>
          <t>46_48_50_52_54</t>
        </is>
      </c>
      <c r="H1953" s="17" t="inlineStr">
        <is>
          <t>46_48_52</t>
        </is>
      </c>
      <c r="I1953" s="18" t="n">
        <v>176000</v>
      </c>
      <c r="J1953" s="19" t="n">
        <v>176000</v>
      </c>
      <c r="K1953" s="20" t="n">
        <v>5</v>
      </c>
      <c r="L1953" s="4" t="inlineStr">
        <is>
          <t>https://www.gucci.com/jp/ja/pr/men/ready-to-wear-for-men/shirts-for-men/short-slevees-for-men/linen-blend-gg-canvas-shirt-p-814694Z7AHL9000</t>
        </is>
      </c>
      <c r="M1953" s="5">
        <f t="array" ref="M1953">_xlfn.IFS(J1953="NOTFOUND",I1953,J1953&gt;=I1953,J1953)</f>
        <v/>
      </c>
    </row>
    <row r="1954" ht="18" customHeight="1" s="16">
      <c r="A1954" s="5" t="n">
        <v>1953</v>
      </c>
      <c r="B1954" s="8" t="inlineStr">
        <is>
          <t>GU-4206</t>
        </is>
      </c>
      <c r="D1954" s="8" t="inlineStr">
        <is>
          <t>ウェブ ストライプ レギュラーフィット コットン シャツ</t>
        </is>
      </c>
      <c r="E1954" s="8" t="inlineStr">
        <is>
          <t>794907 Z7AHA 9000</t>
        </is>
      </c>
      <c r="G1954" s="12" t="inlineStr">
        <is>
          <t>42_44_46_48_50_52_54</t>
        </is>
      </c>
      <c r="H1954" s="17" t="inlineStr">
        <is>
          <t>42_44_46_48_50_52_54</t>
        </is>
      </c>
      <c r="I1954" s="18" t="n">
        <v>143000</v>
      </c>
      <c r="J1954" s="19" t="n">
        <v>143000</v>
      </c>
      <c r="K1954" s="20" t="n">
        <v>5</v>
      </c>
      <c r="L1954" s="4" t="inlineStr">
        <is>
          <t>https://www.gucci.com/jp/ja/pr/men/ready-to-wear-for-men/shirts-for-men/short-slevees-for-men/regular-fit-cotton-shirt-with-web-p-794907Z7AHA9000</t>
        </is>
      </c>
      <c r="M1954" s="5">
        <f t="array" ref="M1954">_xlfn.IFS(J1954="NOTFOUND",I1954,J1954&gt;=I1954,J1954)</f>
        <v/>
      </c>
    </row>
    <row r="1955" ht="18" customHeight="1" s="16">
      <c r="A1955" s="5" t="n">
        <v>1954</v>
      </c>
      <c r="B1955" s="8" t="inlineStr">
        <is>
          <t>GU-4208</t>
        </is>
      </c>
      <c r="D1955" s="8" t="inlineStr">
        <is>
          <t>コットンポプリン シャツ</t>
        </is>
      </c>
      <c r="E1955" s="8" t="inlineStr">
        <is>
          <t>814704 Z7AHA 4294</t>
        </is>
      </c>
      <c r="G1955" s="12" t="inlineStr">
        <is>
          <t>50</t>
        </is>
      </c>
      <c r="H1955" s="22" t="inlineStr">
        <is>
          <t>SOLD</t>
        </is>
      </c>
      <c r="I1955" s="18" t="n">
        <v>137500</v>
      </c>
      <c r="J1955" s="19" t="n">
        <v>137500</v>
      </c>
      <c r="K1955" s="20" t="n">
        <v>0</v>
      </c>
      <c r="L1955" s="4" t="inlineStr">
        <is>
          <t>https://www.gucci.com/jp/ja/pr/men/ready-to-wear-for-men/shirts-for-men/short-slevees-for-men/cotton-poplin-shirt-p-814704Z7AHA4294</t>
        </is>
      </c>
      <c r="M1955" s="5">
        <f t="array" ref="M1955">_xlfn.IFS(J1955="NOTFOUND",I1955,J1955&gt;=I1955,J1955)</f>
        <v/>
      </c>
    </row>
    <row r="1956" ht="18" customHeight="1" s="16">
      <c r="A1956" s="5" t="n">
        <v>1955</v>
      </c>
      <c r="B1956" s="8" t="inlineStr">
        <is>
          <t>GU-4209</t>
        </is>
      </c>
      <c r="D1956" s="8" t="inlineStr">
        <is>
          <t>エンブロイダリー入り オックスフォードコットン シャツ</t>
        </is>
      </c>
      <c r="E1956" s="8" t="inlineStr">
        <is>
          <t>814715 Z7AG8 4910</t>
        </is>
      </c>
      <c r="G1956" s="12" t="inlineStr">
        <is>
          <t>44_46_48_50_52_54</t>
        </is>
      </c>
      <c r="H1956" s="17" t="inlineStr">
        <is>
          <t>44_46_48_50_52_54</t>
        </is>
      </c>
      <c r="I1956" s="18" t="n">
        <v>126500</v>
      </c>
      <c r="J1956" s="19" t="n">
        <v>126500</v>
      </c>
      <c r="K1956" s="20" t="n">
        <v>5</v>
      </c>
      <c r="L1956" s="4" t="inlineStr">
        <is>
          <t>https://www.gucci.com/jp/ja/pr/men/ready-to-wear-for-men/shirts-for-men/long-slevees-for-men/embroidered-oxford-cotton-shirt-p-814715Z7AG84910</t>
        </is>
      </c>
      <c r="M1956" s="5">
        <f t="array" ref="M1956">_xlfn.IFS(J1956="NOTFOUND",I1956,J1956&gt;=I1956,J1956)</f>
        <v/>
      </c>
    </row>
    <row r="1957" ht="18" customHeight="1" s="16">
      <c r="A1957" s="5" t="n">
        <v>1956</v>
      </c>
      <c r="B1957" s="8" t="inlineStr">
        <is>
          <t>GU-4210</t>
        </is>
      </c>
      <c r="D1957" s="8" t="inlineStr">
        <is>
          <t>エンボス コットンポプリン シャツ</t>
        </is>
      </c>
      <c r="E1957" s="8" t="inlineStr">
        <is>
          <t>797213 ZAJP1 4850</t>
        </is>
      </c>
      <c r="G1957" s="12" t="inlineStr">
        <is>
          <t>48_52_54</t>
        </is>
      </c>
      <c r="H1957" s="17" t="inlineStr">
        <is>
          <t>48_52_54</t>
        </is>
      </c>
      <c r="I1957" s="18" t="n">
        <v>159500</v>
      </c>
      <c r="J1957" s="19" t="n">
        <v>159500</v>
      </c>
      <c r="K1957" s="20" t="n">
        <v>5</v>
      </c>
      <c r="L1957" s="4" t="inlineStr">
        <is>
          <t>https://www.gucci.com/jp/ja/pr/men/ready-to-wear-for-men/shirts-for-men/long-slevees-for-men/embossed-cotton-poplin-shirt-p-797213ZAJP14850</t>
        </is>
      </c>
      <c r="M1957" s="5">
        <f t="array" ref="M1957">_xlfn.IFS(J1957="NOTFOUND",I1957,J1957&gt;=I1957,J1957)</f>
        <v/>
      </c>
    </row>
    <row r="1958" ht="18" customHeight="1" s="16">
      <c r="A1958" s="5" t="n">
        <v>1957</v>
      </c>
      <c r="B1958" s="8" t="inlineStr">
        <is>
          <t>GU-4211</t>
        </is>
      </c>
      <c r="D1958" s="8" t="inlineStr">
        <is>
          <t>プリント ライトコットン シャツ</t>
        </is>
      </c>
      <c r="E1958" s="8" t="inlineStr">
        <is>
          <t>821630 Z7AMN 9020</t>
        </is>
      </c>
      <c r="G1958" s="12" t="inlineStr">
        <is>
          <t>44_48_50_54</t>
        </is>
      </c>
      <c r="H1958" s="17" t="inlineStr">
        <is>
          <t>44_48_50_54</t>
        </is>
      </c>
      <c r="I1958" s="18" t="n">
        <v>434500</v>
      </c>
      <c r="J1958" s="19" t="n">
        <v>434500</v>
      </c>
      <c r="K1958" s="20" t="n">
        <v>5</v>
      </c>
      <c r="L1958" s="4" t="inlineStr">
        <is>
          <t>https://www.gucci.com/jp/ja/pr/men/ready-to-wear-for-men/shirts-for-men/short-slevees-for-men/printed-light-cotton-shirt-p-821630Z7AMN9020</t>
        </is>
      </c>
      <c r="M1958" s="5">
        <f t="array" ref="M1958">_xlfn.IFS(J1958="NOTFOUND",I1958,J1958&gt;=I1958,J1958)</f>
        <v/>
      </c>
    </row>
    <row r="1959" ht="18" customHeight="1" s="16">
      <c r="A1959" s="5" t="n">
        <v>1958</v>
      </c>
      <c r="B1959" s="8" t="inlineStr">
        <is>
          <t>GU-4212</t>
        </is>
      </c>
      <c r="D1959" s="8" t="inlineStr">
        <is>
          <t>プリント ライトコットン ポプリン シャツ</t>
        </is>
      </c>
      <c r="E1959" s="8" t="inlineStr">
        <is>
          <t>821498 Z7AMZ 2040</t>
        </is>
      </c>
      <c r="G1959" s="12" t="inlineStr">
        <is>
          <t>42_44_46_48_50</t>
        </is>
      </c>
      <c r="H1959" s="17" t="inlineStr">
        <is>
          <t>42_44_46_48_50</t>
        </is>
      </c>
      <c r="I1959" s="18" t="n">
        <v>275000</v>
      </c>
      <c r="J1959" s="19" t="n">
        <v>275000</v>
      </c>
      <c r="K1959" s="20" t="n">
        <v>5</v>
      </c>
      <c r="L1959" s="4" t="inlineStr">
        <is>
          <t>https://www.gucci.com/jp/ja/pr/men/ready-to-wear-for-men/shirts-for-men/short-slevees-for-men/printed-light-cotton-poplin-shirt-p-821498Z7AMZ2040</t>
        </is>
      </c>
      <c r="M1959" s="5">
        <f t="array" ref="M1959">_xlfn.IFS(J1959="NOTFOUND",I1959,J1959&gt;=I1959,J1959)</f>
        <v/>
      </c>
    </row>
    <row r="1960" ht="18" customHeight="1" s="16">
      <c r="A1960" s="5" t="n">
        <v>1959</v>
      </c>
      <c r="B1960" s="8" t="inlineStr">
        <is>
          <t>GU-4213</t>
        </is>
      </c>
      <c r="D1960" s="8" t="inlineStr">
        <is>
          <t>プリント コットン ポプリン シャツ</t>
        </is>
      </c>
      <c r="E1960" s="8" t="inlineStr">
        <is>
          <t>821498 Z7AM0 1061</t>
        </is>
      </c>
      <c r="G1960" s="12" t="inlineStr">
        <is>
          <t>44</t>
        </is>
      </c>
      <c r="H1960" s="17" t="inlineStr">
        <is>
          <t>44_46</t>
        </is>
      </c>
      <c r="I1960" s="18" t="n">
        <v>275000</v>
      </c>
      <c r="J1960" s="19" t="n">
        <v>275000</v>
      </c>
      <c r="K1960" s="20" t="n">
        <v>5</v>
      </c>
      <c r="L1960" s="4" t="inlineStr">
        <is>
          <t>https://www.gucci.com/jp/ja/pr/men/ready-to-wear-for-men/shirts-for-men/short-slevees-for-men/printed-cotton-poplin-shirt-p-821498Z7AM01061</t>
        </is>
      </c>
      <c r="M1960" s="5">
        <f t="array" ref="M1960">_xlfn.IFS(J1960="NOTFOUND",I1960,J1960&gt;=I1960,J1960)</f>
        <v/>
      </c>
    </row>
    <row r="1961" ht="18" customHeight="1" s="16">
      <c r="A1961" s="5" t="n">
        <v>1960</v>
      </c>
      <c r="B1961" s="8" t="inlineStr">
        <is>
          <t>GU-4214</t>
        </is>
      </c>
      <c r="D1961" s="8" t="inlineStr">
        <is>
          <t>プリント シルク ボウリングシャツ</t>
        </is>
      </c>
      <c r="E1961" s="8" t="inlineStr">
        <is>
          <t>824165 Z7AN3 1173</t>
        </is>
      </c>
      <c r="G1961" s="12" t="inlineStr">
        <is>
          <t>44_46_48_50</t>
        </is>
      </c>
      <c r="H1961" s="17" t="inlineStr">
        <is>
          <t>44_46_48_50</t>
        </is>
      </c>
      <c r="I1961" s="18" t="n">
        <v>203500</v>
      </c>
      <c r="J1961" s="19" t="n">
        <v>203500</v>
      </c>
      <c r="K1961" s="20" t="n">
        <v>5</v>
      </c>
      <c r="L1961" s="4" t="inlineStr">
        <is>
          <t>https://www.gucci.com/jp/ja/pr/men/ready-to-wear-for-men/shirts-for-men/short-slevees-for-men/printed-silk-bowling-shirt-p-824165Z7AN31173</t>
        </is>
      </c>
      <c r="M1961" s="5">
        <f t="array" ref="M1961">_xlfn.IFS(J1961="NOTFOUND",I1961,J1961&gt;=I1961,J1961)</f>
        <v/>
      </c>
    </row>
    <row r="1962" ht="18" customHeight="1" s="16">
      <c r="A1962" s="5" t="n">
        <v>1961</v>
      </c>
      <c r="B1962" s="8" t="inlineStr">
        <is>
          <t>GU-4215</t>
        </is>
      </c>
      <c r="D1962" s="8" t="inlineStr">
        <is>
          <t>プリント コットンポプリン オーバーサイズシャツ</t>
        </is>
      </c>
      <c r="E1962" s="8" t="inlineStr">
        <is>
          <t>821630 Z7AMZ 2047</t>
        </is>
      </c>
      <c r="G1962" s="12" t="inlineStr">
        <is>
          <t>44_46_48</t>
        </is>
      </c>
      <c r="H1962" s="17" t="inlineStr">
        <is>
          <t>44_46_48</t>
        </is>
      </c>
      <c r="I1962" s="18" t="n">
        <v>434500</v>
      </c>
      <c r="J1962" s="19" t="n">
        <v>434500</v>
      </c>
      <c r="K1962" s="20" t="n">
        <v>5</v>
      </c>
      <c r="L1962" s="4" t="inlineStr">
        <is>
          <t>https://www.gucci.com/jp/ja/pr/men/ready-to-wear-for-men/shirts-for-men/short-slevees-for-men/printed-oversize-cotton-poplin-shirt-p-821630Z7AMZ2047</t>
        </is>
      </c>
      <c r="M1962" s="5">
        <f t="array" ref="M1962">_xlfn.IFS(J1962="NOTFOUND",I1962,J1962&gt;=I1962,J1962)</f>
        <v/>
      </c>
    </row>
    <row r="1963" ht="18" customHeight="1" s="16">
      <c r="A1963" s="5" t="n">
        <v>1962</v>
      </c>
      <c r="B1963" s="8" t="inlineStr">
        <is>
          <t>GU-4216</t>
        </is>
      </c>
      <c r="D1963" s="8" t="inlineStr">
        <is>
          <t>オーバーサイズ GGコットン シャツ</t>
        </is>
      </c>
      <c r="E1963" s="8" t="inlineStr">
        <is>
          <t>811732 ZASO2 4030</t>
        </is>
      </c>
      <c r="G1963" s="12" t="inlineStr">
        <is>
          <t>42_44_46_48_50</t>
        </is>
      </c>
      <c r="H1963" s="17" t="inlineStr">
        <is>
          <t>42_44_46_48_50_52</t>
        </is>
      </c>
      <c r="I1963" s="18" t="n">
        <v>352000</v>
      </c>
      <c r="J1963" s="19" t="n">
        <v>352000</v>
      </c>
      <c r="K1963" s="20" t="n">
        <v>5</v>
      </c>
      <c r="L1963" s="4" t="inlineStr">
        <is>
          <t>https://www.gucci.com/jp/ja/pr/men/ready-to-wear-for-men/shirts-for-men/short-slevees-for-men/oversize-gg-cotton-shirt-p-811732ZASO24030</t>
        </is>
      </c>
      <c r="M1963" s="5">
        <f t="array" ref="M1963">_xlfn.IFS(J1963="NOTFOUND",I1963,J1963&gt;=I1963,J1963)</f>
        <v/>
      </c>
    </row>
    <row r="1964" ht="18" customHeight="1" s="16">
      <c r="A1964" s="5" t="n">
        <v>1963</v>
      </c>
      <c r="B1964" s="8" t="inlineStr">
        <is>
          <t>GU-4217</t>
        </is>
      </c>
      <c r="D1964" s="8" t="inlineStr">
        <is>
          <t>GGギンガムチェック コットンウール ジャカード シャツ</t>
        </is>
      </c>
      <c r="E1964" s="8" t="inlineStr">
        <is>
          <t>814715 ZASIZ 4309</t>
        </is>
      </c>
      <c r="G1964" s="12" t="inlineStr">
        <is>
          <t>44_46_48_50_52</t>
        </is>
      </c>
      <c r="H1964" s="17" t="inlineStr">
        <is>
          <t>44_46_48_50_52</t>
        </is>
      </c>
      <c r="I1964" s="18" t="n">
        <v>170500</v>
      </c>
      <c r="J1964" s="19" t="n">
        <v>170500</v>
      </c>
      <c r="K1964" s="20" t="n">
        <v>5</v>
      </c>
      <c r="L1964" s="4" t="inlineStr">
        <is>
          <t>https://www.gucci.com/jp/ja/pr/men/ready-to-wear-for-men/shirts-for-men/long-slevees-for-men/gg-vichy-cotton-wool-jacquard-shirt-p-814715ZASIZ4309</t>
        </is>
      </c>
      <c r="M1964" s="5">
        <f t="array" ref="M1964">_xlfn.IFS(J1964="NOTFOUND",I1964,J1964&gt;=I1964,J1964)</f>
        <v/>
      </c>
    </row>
    <row r="1965" ht="18" customHeight="1" s="16">
      <c r="A1965" s="5" t="n">
        <v>1964</v>
      </c>
      <c r="B1965" s="8" t="inlineStr">
        <is>
          <t>GU-4218</t>
        </is>
      </c>
      <c r="D1965" s="8" t="inlineStr">
        <is>
          <t>プリント コットンポプリン ボウリングシャツ</t>
        </is>
      </c>
      <c r="E1965" s="8" t="inlineStr">
        <is>
          <t>794907 Z7ARC 4023</t>
        </is>
      </c>
      <c r="G1965" s="12" t="inlineStr">
        <is>
          <t>44_46_48_50_52</t>
        </is>
      </c>
      <c r="H1965" s="17" t="inlineStr">
        <is>
          <t>44_46_48_50_52</t>
        </is>
      </c>
      <c r="I1965" s="18" t="n">
        <v>170500</v>
      </c>
      <c r="J1965" s="19" t="n">
        <v>170500</v>
      </c>
      <c r="K1965" s="20" t="n">
        <v>5</v>
      </c>
      <c r="L1965" s="4" t="inlineStr">
        <is>
          <t>https://www.gucci.com/jp/ja/pr/men/ready-to-wear-for-men/shirts-for-men/printed-cotton-poplin-bowling-shirt-p-794907Z7ARC4023</t>
        </is>
      </c>
      <c r="M1965" s="5">
        <f t="array" ref="M1965">_xlfn.IFS(J1965="NOTFOUND",I1965,J1965&gt;=I1965,J1965)</f>
        <v/>
      </c>
    </row>
    <row r="1966" ht="18" customHeight="1" s="16">
      <c r="A1966" s="5" t="n">
        <v>1965</v>
      </c>
      <c r="B1966" s="8" t="inlineStr">
        <is>
          <t>GU-4219</t>
        </is>
      </c>
      <c r="D1966" s="8" t="inlineStr">
        <is>
          <t>GGキャンバス シャツ</t>
        </is>
      </c>
      <c r="E1966" s="8" t="inlineStr">
        <is>
          <t>838551 ZAF4S 3065</t>
        </is>
      </c>
      <c r="G1966" s="12" t="inlineStr">
        <is>
          <t>42_44_46_48_50_52_54</t>
        </is>
      </c>
      <c r="H1966" s="17" t="inlineStr">
        <is>
          <t>44_46_48_50_52_54</t>
        </is>
      </c>
      <c r="I1966" s="18" t="n">
        <v>203500</v>
      </c>
      <c r="J1966" s="19" t="n">
        <v>225500</v>
      </c>
      <c r="K1966" s="20" t="n">
        <v>5</v>
      </c>
      <c r="L1966" s="4" t="inlineStr">
        <is>
          <t>https://www.gucci.com/jp/ja/pr/men/ready-to-wear-for-men/shirts-for-men/long-slevees-for-men/gg-canvas-shirt-p-838551ZAF4S3065</t>
        </is>
      </c>
      <c r="M1966" s="5">
        <f t="array" ref="M1966">_xlfn.IFS(J1966="NOTFOUND",I1966,J1966&gt;=I1966,J1966)</f>
        <v/>
      </c>
    </row>
    <row r="1967" ht="18" customHeight="1" s="16">
      <c r="A1967" s="5" t="n">
        <v>1966</v>
      </c>
      <c r="B1967" s="8" t="inlineStr">
        <is>
          <t>GU-4221</t>
        </is>
      </c>
      <c r="D1967" s="8" t="inlineStr">
        <is>
          <t>GGキャンバス リネン ブレンド ボウリングシャツ</t>
        </is>
      </c>
      <c r="E1967" s="8" t="inlineStr">
        <is>
          <t>794907 Z7AO7 1000</t>
        </is>
      </c>
      <c r="G1967" s="12" t="inlineStr">
        <is>
          <t>44_46_48_50</t>
        </is>
      </c>
      <c r="H1967" s="17" t="inlineStr">
        <is>
          <t>44_46_48_50</t>
        </is>
      </c>
      <c r="I1967" s="18" t="n">
        <v>176000</v>
      </c>
      <c r="J1967" s="19" t="n">
        <v>176000</v>
      </c>
      <c r="K1967" s="20" t="n">
        <v>5</v>
      </c>
      <c r="L1967" s="4" t="inlineStr">
        <is>
          <t>https://www.gucci.com/jp/ja/pr/men/ready-to-wear-for-men/shirts-for-men/gg-canvas-linen-blend-bowling-shirt-p-794907Z7AO71000</t>
        </is>
      </c>
      <c r="M1967" s="5">
        <f t="array" ref="M1967">_xlfn.IFS(J1967="NOTFOUND",I1967,J1967&gt;=I1967,J1967)</f>
        <v/>
      </c>
    </row>
    <row r="1968" ht="18" customHeight="1" s="16">
      <c r="A1968" s="5" t="n">
        <v>1967</v>
      </c>
      <c r="B1968" s="8" t="inlineStr">
        <is>
          <t>GU-4224</t>
        </is>
      </c>
      <c r="D1968" s="8" t="inlineStr">
        <is>
          <t>コットンシルク GG ファイユ シャツ</t>
        </is>
      </c>
      <c r="E1968" s="8" t="inlineStr">
        <is>
          <t>819356 Z7AM2 1000</t>
        </is>
      </c>
      <c r="G1968" s="12" t="inlineStr">
        <is>
          <t>44_46_48_50</t>
        </is>
      </c>
      <c r="H1968" s="17" t="inlineStr">
        <is>
          <t>44_46_48_50</t>
        </is>
      </c>
      <c r="I1968" s="18" t="n">
        <v>313500</v>
      </c>
      <c r="J1968" s="19" t="n">
        <v>313500</v>
      </c>
      <c r="K1968" s="20" t="n">
        <v>5</v>
      </c>
      <c r="L1968" s="4" t="inlineStr">
        <is>
          <t>https://www.gucci.com/jp/ja/pr/men/ready-to-wear-for-men/shirts-for-men/short-slevees-for-men/cotton-silk-gg-faille-shirt-p-819356Z7AM21000</t>
        </is>
      </c>
      <c r="M1968" s="5">
        <f t="array" ref="M1968">_xlfn.IFS(J1968="NOTFOUND",I1968,J1968&gt;=I1968,J1968)</f>
        <v/>
      </c>
    </row>
    <row r="1969" ht="18" customHeight="1" s="16">
      <c r="A1969" s="5" t="n">
        <v>1968</v>
      </c>
      <c r="B1969" s="8" t="inlineStr">
        <is>
          <t>GU-4226</t>
        </is>
      </c>
      <c r="D1969" s="8" t="inlineStr">
        <is>
          <t>GG ホースビット プリント シルクツイル シャツ</t>
        </is>
      </c>
      <c r="E1969" s="8" t="inlineStr">
        <is>
          <t>794907 ZAQ9F 3285</t>
        </is>
      </c>
      <c r="G1969" s="12" t="inlineStr">
        <is>
          <t>44_46_48_50</t>
        </is>
      </c>
      <c r="H1969" s="17" t="inlineStr">
        <is>
          <t>44_46_48_50</t>
        </is>
      </c>
      <c r="I1969" s="18" t="n">
        <v>203500</v>
      </c>
      <c r="J1969" s="19" t="n">
        <v>203500</v>
      </c>
      <c r="K1969" s="20" t="n">
        <v>5</v>
      </c>
      <c r="L1969" s="4" t="inlineStr">
        <is>
          <t>https://www.gucci.com/jp/ja/pr/men/ready-to-wear-for-men/shirts-for-men/printed-silk-shirt-p-794907ZAQ9F3285</t>
        </is>
      </c>
      <c r="M1969" s="5">
        <f t="array" ref="M1969">_xlfn.IFS(J1969="NOTFOUND",I1969,J1969&gt;=I1969,J1969)</f>
        <v/>
      </c>
    </row>
    <row r="1970" ht="18" customHeight="1" s="16">
      <c r="A1970" s="5" t="n">
        <v>1969</v>
      </c>
      <c r="B1970" s="8" t="inlineStr">
        <is>
          <t>GU-4227</t>
        </is>
      </c>
      <c r="D1970" s="8" t="inlineStr">
        <is>
          <t>ウェブ ストライプ GGコットン シャツ</t>
        </is>
      </c>
      <c r="E1970" s="8" t="inlineStr">
        <is>
          <t>791771 ZAQ0R 9669</t>
        </is>
      </c>
      <c r="G1970" s="12" t="inlineStr">
        <is>
          <t>44_46_48_50_52</t>
        </is>
      </c>
      <c r="H1970" s="17" t="inlineStr">
        <is>
          <t>44_46_48_50_52</t>
        </is>
      </c>
      <c r="I1970" s="18" t="n">
        <v>170500</v>
      </c>
      <c r="J1970" s="19" t="n">
        <v>170500</v>
      </c>
      <c r="K1970" s="20" t="n">
        <v>5</v>
      </c>
      <c r="L1970" s="4" t="inlineStr">
        <is>
          <t>https://www.gucci.com/jp/ja/pr/men/ready-to-wear-for-men/shirts-for-men/gg-cotton-shirt-with-web-p-791771ZAQ0R9669</t>
        </is>
      </c>
      <c r="M1970" s="5">
        <f t="array" ref="M1970">_xlfn.IFS(J1970="NOTFOUND",I1970,J1970&gt;=I1970,J1970)</f>
        <v/>
      </c>
    </row>
    <row r="1971" ht="18" customHeight="1" s="16">
      <c r="A1971" s="5" t="n">
        <v>1970</v>
      </c>
      <c r="B1971" s="8" t="inlineStr">
        <is>
          <t>GU-4228</t>
        </is>
      </c>
      <c r="D1971" s="8" t="inlineStr">
        <is>
          <t>GGリネンブレンドキャンバス シャツ</t>
        </is>
      </c>
      <c r="E1971" s="8" t="inlineStr">
        <is>
          <t>742707 ZAM7G 9118</t>
        </is>
      </c>
      <c r="G1971" s="12" t="inlineStr">
        <is>
          <t>44_46_48_50_52_54</t>
        </is>
      </c>
      <c r="H1971" s="17" t="inlineStr">
        <is>
          <t>44_46_48_50_52</t>
        </is>
      </c>
      <c r="I1971" s="18" t="n">
        <v>176000</v>
      </c>
      <c r="J1971" s="19" t="n">
        <v>176000</v>
      </c>
      <c r="K1971" s="20" t="n">
        <v>5</v>
      </c>
      <c r="L1971" s="4" t="inlineStr">
        <is>
          <t>https://www.gucci.com/jp/ja/pr/men/ready-to-wear-for-men/shirts-for-men/gg-linen-blend-canvas-shirt-p-742707ZAM7G9118</t>
        </is>
      </c>
      <c r="M1971" s="5">
        <f t="array" ref="M1971">_xlfn.IFS(J1971="NOTFOUND",I1971,J1971&gt;=I1971,J1971)</f>
        <v/>
      </c>
    </row>
    <row r="1972" ht="18" customHeight="1" s="16">
      <c r="A1972" s="5" t="n">
        <v>1971</v>
      </c>
      <c r="B1972" s="8" t="inlineStr">
        <is>
          <t>GU-4229</t>
        </is>
      </c>
      <c r="D1972" s="8" t="inlineStr">
        <is>
          <t>GGリネン ブレンド キャンバス シャツ</t>
        </is>
      </c>
      <c r="E1972" s="8" t="inlineStr">
        <is>
          <t>742707 ZAM7G 2580</t>
        </is>
      </c>
      <c r="G1972" s="12" t="inlineStr">
        <is>
          <t>44_46_48_50_52_54_56</t>
        </is>
      </c>
      <c r="H1972" s="17" t="inlineStr">
        <is>
          <t>44_46_48_50_52_54_56</t>
        </is>
      </c>
      <c r="I1972" s="18" t="n">
        <v>176000</v>
      </c>
      <c r="J1972" s="19" t="n">
        <v>176000</v>
      </c>
      <c r="K1972" s="20" t="n">
        <v>5</v>
      </c>
      <c r="L1972" s="4" t="inlineStr">
        <is>
          <t>https://www.gucci.com/jp/ja/pr/men/ready-to-wear-for-men/shirts-for-men/gg-linen-blend-canvas-shirt-p-742707ZAM7G2580</t>
        </is>
      </c>
      <c r="M1972" s="5">
        <f t="array" ref="M1972">_xlfn.IFS(J1972="NOTFOUND",I1972,J1972&gt;=I1972,J1972)</f>
        <v/>
      </c>
    </row>
    <row r="1973" ht="18" customHeight="1" s="16">
      <c r="A1973" s="5" t="n">
        <v>1972</v>
      </c>
      <c r="B1973" s="8" t="inlineStr">
        <is>
          <t>GU-4230</t>
        </is>
      </c>
      <c r="D1973" s="8" t="inlineStr">
        <is>
          <t>エンボス コットンポプリン シャツ</t>
        </is>
      </c>
      <c r="E1973" s="8" t="inlineStr">
        <is>
          <t>823830 Z7AMD 2319</t>
        </is>
      </c>
      <c r="G1973" s="12" t="inlineStr">
        <is>
          <t>44_46_48_50_52</t>
        </is>
      </c>
      <c r="H1973" s="17" t="inlineStr">
        <is>
          <t>44_46_48_50_52</t>
        </is>
      </c>
      <c r="I1973" s="18" t="n">
        <v>143000</v>
      </c>
      <c r="J1973" s="19" t="n">
        <v>143000</v>
      </c>
      <c r="K1973" s="20" t="n">
        <v>5</v>
      </c>
      <c r="L1973" s="4" t="inlineStr">
        <is>
          <t>https://www.gucci.com/jp/ja/pr/men/ready-to-wear-for-men/shirts-for-men/long-slevees-for-men/embossed-cotton-poplin-shirt-p-823830Z7AMD2319</t>
        </is>
      </c>
      <c r="M1973" s="5">
        <f t="array" ref="M1973">_xlfn.IFS(J1973="NOTFOUND",I1973,J1973&gt;=I1973,J1973)</f>
        <v/>
      </c>
    </row>
    <row r="1974" ht="18" customHeight="1" s="16">
      <c r="A1974" s="5" t="n">
        <v>1973</v>
      </c>
      <c r="B1974" s="8" t="inlineStr">
        <is>
          <t>GU-4231</t>
        </is>
      </c>
      <c r="D1974" s="8" t="inlineStr">
        <is>
          <t>コットンポプリン シャツ</t>
        </is>
      </c>
      <c r="E1974" s="8" t="inlineStr">
        <is>
          <t>823830 Z7AMD 1000</t>
        </is>
      </c>
      <c r="G1974" s="12" t="inlineStr">
        <is>
          <t>44_46_48_50</t>
        </is>
      </c>
      <c r="H1974" s="17" t="inlineStr">
        <is>
          <t>44_46_48_50</t>
        </is>
      </c>
      <c r="I1974" s="18" t="n">
        <v>143000</v>
      </c>
      <c r="J1974" s="19" t="n">
        <v>143000</v>
      </c>
      <c r="K1974" s="20" t="n">
        <v>5</v>
      </c>
      <c r="L1974" s="4" t="inlineStr">
        <is>
          <t>https://www.gucci.com/jp/ja/pr/men/ready-to-wear-for-men/shirts-for-men/long-slevees-for-men/cotton-poplin-shirt-p-823830Z7AMD1000</t>
        </is>
      </c>
      <c r="M1974" s="5">
        <f t="array" ref="M1974">_xlfn.IFS(J1974="NOTFOUND",I1974,J1974&gt;=I1974,J1974)</f>
        <v/>
      </c>
    </row>
    <row r="1975" ht="18" customHeight="1" s="16">
      <c r="A1975" s="5" t="n">
        <v>1974</v>
      </c>
      <c r="B1975" s="8" t="inlineStr">
        <is>
          <t>GU-4232</t>
        </is>
      </c>
      <c r="D1975" s="8" t="inlineStr">
        <is>
          <t>GGキャンバス シャツ</t>
        </is>
      </c>
      <c r="E1975" s="8" t="inlineStr">
        <is>
          <t>795200 ZAF4S 4596</t>
        </is>
      </c>
      <c r="G1975" s="12" t="inlineStr">
        <is>
          <t>42_44_46_48_50_52_54</t>
        </is>
      </c>
      <c r="H1975" s="17" t="inlineStr">
        <is>
          <t>42_44_46_48_50_52_54</t>
        </is>
      </c>
      <c r="I1975" s="18" t="n">
        <v>176000</v>
      </c>
      <c r="J1975" s="19" t="n">
        <v>176000</v>
      </c>
      <c r="K1975" s="20" t="n">
        <v>5</v>
      </c>
      <c r="L1975" s="4" t="inlineStr">
        <is>
          <t>https://www.gucci.com/jp/ja/pr/men/ready-to-wear-for-men/shirts-for-men/long-slevees-for-men/gg-canvas-shirt-p-795200ZAF4S4596</t>
        </is>
      </c>
      <c r="M1975" s="5">
        <f t="array" ref="M1975">_xlfn.IFS(J1975="NOTFOUND",I1975,J1975&gt;=I1975,J1975)</f>
        <v/>
      </c>
    </row>
    <row r="1976" ht="18" customHeight="1" s="16">
      <c r="A1976" s="5" t="n">
        <v>1975</v>
      </c>
      <c r="B1976" s="8" t="inlineStr">
        <is>
          <t>GU-4233</t>
        </is>
      </c>
      <c r="D1976" s="8" t="inlineStr">
        <is>
          <t>エンブロイダリー ウール シャツ</t>
        </is>
      </c>
      <c r="E1976" s="8" t="inlineStr">
        <is>
          <t>794866 ZAQ1F 1089</t>
        </is>
      </c>
      <c r="G1976" s="12" t="inlineStr">
        <is>
          <t>50_52</t>
        </is>
      </c>
      <c r="H1976" s="17" t="inlineStr">
        <is>
          <t>50_52</t>
        </is>
      </c>
      <c r="I1976" s="18" t="n">
        <v>214500</v>
      </c>
      <c r="J1976" s="19" t="n">
        <v>214500</v>
      </c>
      <c r="K1976" s="20" t="n">
        <v>5</v>
      </c>
      <c r="L1976" s="4" t="inlineStr">
        <is>
          <t>https://www.gucci.com/jp/ja/pr/men/ready-to-wear-for-men/shirts-for-men/long-slevees-for-men/wool-shirt-with-embroidery-p-794866ZAQ1F1089</t>
        </is>
      </c>
      <c r="M1976" s="5">
        <f t="array" ref="M1976">_xlfn.IFS(J1976="NOTFOUND",I1976,J1976&gt;=I1976,J1976)</f>
        <v/>
      </c>
    </row>
    <row r="1977" ht="18" customHeight="1" s="16">
      <c r="A1977" s="5" t="n">
        <v>1976</v>
      </c>
      <c r="B1977" s="8" t="inlineStr">
        <is>
          <t>GU-4236</t>
        </is>
      </c>
      <c r="D1977" s="8" t="inlineStr">
        <is>
          <t>マキシ GGキャンバス シャツ</t>
        </is>
      </c>
      <c r="E1977" s="8" t="inlineStr">
        <is>
          <t>770426 ZAHT5 2580</t>
        </is>
      </c>
      <c r="G1977" s="12" t="inlineStr">
        <is>
          <t>44_46_48_50_52_54</t>
        </is>
      </c>
      <c r="H1977" s="17" t="inlineStr">
        <is>
          <t>44_46_48_50_52</t>
        </is>
      </c>
      <c r="I1977" s="18" t="n">
        <v>176000</v>
      </c>
      <c r="J1977" s="19" t="n">
        <v>176000</v>
      </c>
      <c r="K1977" s="20" t="n">
        <v>5</v>
      </c>
      <c r="L1977" s="4" t="inlineStr">
        <is>
          <t>https://www.gucci.com/jp/ja/pr/men/ready-to-wear-for-men/shirts-for-men/long-slevees-for-men/maxi-gg-canvas-shirt-p-770426ZAHT52580</t>
        </is>
      </c>
      <c r="M1977" s="5">
        <f t="array" ref="M1977">_xlfn.IFS(J1977="NOTFOUND",I1977,J1977&gt;=I1977,J1977)</f>
        <v/>
      </c>
    </row>
    <row r="1978" ht="18" customHeight="1" s="16">
      <c r="A1978" s="5" t="n">
        <v>1977</v>
      </c>
      <c r="B1978" s="8" t="inlineStr">
        <is>
          <t>GU-4242</t>
        </is>
      </c>
      <c r="D1978" s="8" t="inlineStr">
        <is>
          <t>インターシャ コットンピケ ポロTシャツ</t>
        </is>
      </c>
      <c r="E1978" s="8" t="inlineStr">
        <is>
          <t>824477 XKEYD 9275</t>
        </is>
      </c>
      <c r="G1978" s="12" t="inlineStr">
        <is>
          <t>XS_S_M_L_XL</t>
        </is>
      </c>
      <c r="H1978" s="17" t="inlineStr">
        <is>
          <t>XS_S_M_L</t>
        </is>
      </c>
      <c r="I1978" s="18" t="n">
        <v>214500</v>
      </c>
      <c r="J1978" s="19" t="n">
        <v>214500</v>
      </c>
      <c r="K1978" s="20" t="n">
        <v>5</v>
      </c>
      <c r="L1978" s="4" t="inlineStr">
        <is>
          <t>https://www.gucci.com/jp/ja/pr/men/ready-to-wear-for-men/knitwear-for-men/knitted-polo-for-men/cotton-piquet-polo-shirt-with-intarsia-p-824477XKEYD9275</t>
        </is>
      </c>
      <c r="M1978" s="5">
        <f t="array" ref="M1978">_xlfn.IFS(J1978="NOTFOUND",I1978,J1978&gt;=I1978,J1978)</f>
        <v/>
      </c>
    </row>
    <row r="1979" ht="18" customHeight="1" s="16">
      <c r="A1979" s="5" t="n">
        <v>1978</v>
      </c>
      <c r="B1979" s="8" t="inlineStr">
        <is>
          <t>GU-4243</t>
        </is>
      </c>
      <c r="D1979" s="8" t="inlineStr">
        <is>
          <t>インターシャ コットン カーディガン</t>
        </is>
      </c>
      <c r="E1979" s="8" t="inlineStr">
        <is>
          <t>814520 XKEJS 9133</t>
        </is>
      </c>
      <c r="G1979" s="12" t="inlineStr">
        <is>
          <t>XS_S_M_L</t>
        </is>
      </c>
      <c r="H1979" s="17" t="inlineStr">
        <is>
          <t>XS_S_M</t>
        </is>
      </c>
      <c r="I1979" s="18" t="n">
        <v>341000</v>
      </c>
      <c r="J1979" s="19" t="n">
        <v>341000</v>
      </c>
      <c r="K1979" s="20" t="n">
        <v>5</v>
      </c>
      <c r="L1979" s="4" t="inlineStr">
        <is>
          <t>https://www.gucci.com/jp/ja/pr/men/ready-to-wear-for-men/knitwear-for-men/cardigans-for-men/cotton-cardigan-with-intarsia-p-814520XKEJS9133</t>
        </is>
      </c>
      <c r="M1979" s="5">
        <f t="array" ref="M1979">_xlfn.IFS(J1979="NOTFOUND",I1979,J1979&gt;=I1979,J1979)</f>
        <v/>
      </c>
    </row>
    <row r="1980" ht="18" customHeight="1" s="16">
      <c r="A1980" s="5" t="n">
        <v>1979</v>
      </c>
      <c r="B1980" s="8" t="inlineStr">
        <is>
          <t>GU-4244</t>
        </is>
      </c>
      <c r="D1980" s="8" t="inlineStr">
        <is>
          <t>GG コットンニット ジャカード ポロTシャツ</t>
        </is>
      </c>
      <c r="E1980" s="8" t="inlineStr">
        <is>
          <t>834168 XKEZD 4804</t>
        </is>
      </c>
      <c r="G1980" s="12" t="inlineStr">
        <is>
          <t>XS_S_M_L_XL</t>
        </is>
      </c>
      <c r="H1980" s="17" t="inlineStr">
        <is>
          <t>XS_S_M_L_XL</t>
        </is>
      </c>
      <c r="I1980" s="18" t="n">
        <v>258500</v>
      </c>
      <c r="J1980" s="19" t="n">
        <v>258500</v>
      </c>
      <c r="K1980" s="20" t="n">
        <v>5</v>
      </c>
      <c r="L1980" s="4" t="inlineStr">
        <is>
          <t>https://www.gucci.com/jp/ja/pr/men/ready-to-wear-for-men/knitwear-for-men/knitted-polo-for-men/gg-cotton-knit-jacquard-polo-shirt-p-834168XKEZD4804</t>
        </is>
      </c>
      <c r="M1980" s="5">
        <f t="array" ref="M1980">_xlfn.IFS(J1980="NOTFOUND",I1980,J1980&gt;=I1980,J1980)</f>
        <v/>
      </c>
    </row>
    <row r="1981" ht="18" customHeight="1" s="16">
      <c r="A1981" s="5" t="n">
        <v>1980</v>
      </c>
      <c r="B1981" s="8" t="inlineStr">
        <is>
          <t>GU-4245</t>
        </is>
      </c>
      <c r="D1981" s="8" t="inlineStr">
        <is>
          <t>ウェブ ストライプ シルクコットン ポロシャツ</t>
        </is>
      </c>
      <c r="E1981" s="8" t="inlineStr">
        <is>
          <t>814994 XKEKK 4345</t>
        </is>
      </c>
      <c r="G1981" s="12" t="inlineStr">
        <is>
          <t>XS_S_M_L</t>
        </is>
      </c>
      <c r="H1981" s="17" t="inlineStr">
        <is>
          <t>XS_S_M_L</t>
        </is>
      </c>
      <c r="I1981" s="18" t="n">
        <v>231000</v>
      </c>
      <c r="J1981" s="19" t="n">
        <v>231000</v>
      </c>
      <c r="K1981" s="20" t="n">
        <v>5</v>
      </c>
      <c r="L1981" s="4" t="inlineStr">
        <is>
          <t>https://www.gucci.com/jp/ja/pr/men/ready-to-wear-for-men/knitwear-for-men/knitted-polo-for-men/silk-cotton-polo-shirt-with-web-p-814994XKEKK4345</t>
        </is>
      </c>
      <c r="M1981" s="5">
        <f t="array" ref="M1981">_xlfn.IFS(J1981="NOTFOUND",I1981,J1981&gt;=I1981,J1981)</f>
        <v/>
      </c>
    </row>
    <row r="1982" ht="18" customHeight="1" s="16">
      <c r="A1982" s="5" t="n">
        <v>1981</v>
      </c>
      <c r="B1982" s="8" t="inlineStr">
        <is>
          <t>GU-4246</t>
        </is>
      </c>
      <c r="D1982" s="8" t="inlineStr">
        <is>
          <t>シルクコットン ニット ポロシャツ</t>
        </is>
      </c>
      <c r="E1982" s="8" t="inlineStr">
        <is>
          <t>784644 XKD2A 4137</t>
        </is>
      </c>
      <c r="G1982" s="12" t="inlineStr">
        <is>
          <t>XS_S_M_L_XL</t>
        </is>
      </c>
      <c r="H1982" s="17" t="inlineStr">
        <is>
          <t>XS_S_M_L_XL</t>
        </is>
      </c>
      <c r="I1982" s="18" t="n">
        <v>225500</v>
      </c>
      <c r="J1982" s="19" t="n">
        <v>225500</v>
      </c>
      <c r="K1982" s="20" t="n">
        <v>5</v>
      </c>
      <c r="L1982" s="4" t="inlineStr">
        <is>
          <t>https://www.gucci.com/jp/ja/pr/men/ready-to-wear-for-men/knitwear-for-men/knitted-polo-for-men/silk-cotton-knit-polo-shirt-p-784644XKD2A4137</t>
        </is>
      </c>
      <c r="M1982" s="5">
        <f t="array" ref="M1982">_xlfn.IFS(J1982="NOTFOUND",I1982,J1982&gt;=I1982,J1982)</f>
        <v/>
      </c>
    </row>
    <row r="1983" ht="18" customHeight="1" s="16">
      <c r="A1983" s="5" t="n">
        <v>1982</v>
      </c>
      <c r="B1983" s="8" t="inlineStr">
        <is>
          <t>GU-4247</t>
        </is>
      </c>
      <c r="D1983" s="8" t="inlineStr">
        <is>
          <t>インターシャ シルクコットン ニット セーター</t>
        </is>
      </c>
      <c r="E1983" s="8" t="inlineStr">
        <is>
          <t>828711 XKD2A 4137</t>
        </is>
      </c>
      <c r="G1983" s="12" t="inlineStr">
        <is>
          <t>XS_S_M_L_XL</t>
        </is>
      </c>
      <c r="H1983" s="17" t="inlineStr">
        <is>
          <t>XS_S_M_L_XL</t>
        </is>
      </c>
      <c r="I1983" s="18" t="n">
        <v>198000</v>
      </c>
      <c r="J1983" s="19" t="n">
        <v>198000</v>
      </c>
      <c r="K1983" s="20" t="n">
        <v>5</v>
      </c>
      <c r="L1983" s="4" t="inlineStr">
        <is>
          <t>https://www.gucci.com/jp/ja/pr/men/ready-to-wear-for-men/knitwear-for-men/crewnecks-for-men/silk-cotton-knit-sweater-with-intarsia-p-828711XKD2A4137</t>
        </is>
      </c>
      <c r="M1983" s="5">
        <f t="array" ref="M1983">_xlfn.IFS(J1983="NOTFOUND",I1983,J1983&gt;=I1983,J1983)</f>
        <v/>
      </c>
    </row>
    <row r="1984" ht="18" customHeight="1" s="16">
      <c r="A1984" s="5" t="n">
        <v>1983</v>
      </c>
      <c r="B1984" s="8" t="inlineStr">
        <is>
          <t>GU-4248</t>
        </is>
      </c>
      <c r="D1984" s="8" t="inlineStr">
        <is>
          <t>ウェブ ストライプ ウールニット カーディガン</t>
        </is>
      </c>
      <c r="E1984" s="8" t="inlineStr">
        <is>
          <t>814529 XKEJV 1127</t>
        </is>
      </c>
      <c r="G1984" s="12" t="inlineStr">
        <is>
          <t>XS_S_M_L_XL</t>
        </is>
      </c>
      <c r="H1984" s="17" t="inlineStr">
        <is>
          <t>XS_S_M_L_XL</t>
        </is>
      </c>
      <c r="I1984" s="18" t="n">
        <v>258500</v>
      </c>
      <c r="J1984" s="19" t="n">
        <v>258500</v>
      </c>
      <c r="K1984" s="20" t="n">
        <v>5</v>
      </c>
      <c r="L1984" s="4" t="inlineStr">
        <is>
          <t>https://www.gucci.com/jp/ja/pr/men/ready-to-wear-for-men/knitwear-for-men/cardigans-for-men/wool-knit-cardigan-with-web-p-814529XKEJV1127</t>
        </is>
      </c>
      <c r="M1984" s="5">
        <f t="array" ref="M1984">_xlfn.IFS(J1984="NOTFOUND",I1984,J1984&gt;=I1984,J1984)</f>
        <v/>
      </c>
    </row>
    <row r="1985" ht="18" customHeight="1" s="16">
      <c r="A1985" s="5" t="n">
        <v>1984</v>
      </c>
      <c r="B1985" s="8" t="inlineStr">
        <is>
          <t>GU-4249</t>
        </is>
      </c>
      <c r="D1985" s="8" t="inlineStr">
        <is>
          <t>インターシャ シルクコットン セーター</t>
        </is>
      </c>
      <c r="E1985" s="8" t="inlineStr">
        <is>
          <t>814988 XKEKI 9034</t>
        </is>
      </c>
      <c r="G1985" s="12" t="inlineStr">
        <is>
          <t>XS_S_M_L_XL</t>
        </is>
      </c>
      <c r="H1985" s="17" t="inlineStr">
        <is>
          <t>XS_S_M_L_XL</t>
        </is>
      </c>
      <c r="I1985" s="18" t="n">
        <v>225500</v>
      </c>
      <c r="J1985" s="19" t="n">
        <v>225500</v>
      </c>
      <c r="K1985" s="20" t="n">
        <v>5</v>
      </c>
      <c r="L1985" s="4" t="inlineStr">
        <is>
          <t>https://www.gucci.com/jp/ja/pr/men/ready-to-wear-for-men/knitwear-for-men/crewnecks-for-men/silk-cotton-sweater-with-intarsia-p-814988XKEKI9034</t>
        </is>
      </c>
      <c r="M1985" s="5">
        <f t="array" ref="M1985">_xlfn.IFS(J1985="NOTFOUND",I1985,J1985&gt;=I1985,J1985)</f>
        <v/>
      </c>
    </row>
    <row r="1986" ht="18" customHeight="1" s="16">
      <c r="A1986" s="5" t="n">
        <v>1985</v>
      </c>
      <c r="B1986" s="8" t="inlineStr">
        <is>
          <t>GU-4250</t>
        </is>
      </c>
      <c r="D1986" s="8" t="inlineStr">
        <is>
          <t>インターシャ シルクコットン Tシャツ</t>
        </is>
      </c>
      <c r="E1986" s="8" t="inlineStr">
        <is>
          <t>787736 XKD2A 1423</t>
        </is>
      </c>
      <c r="G1986" s="12" t="inlineStr">
        <is>
          <t>XS_S_M_L_XL</t>
        </is>
      </c>
      <c r="H1986" s="17" t="inlineStr">
        <is>
          <t>XS_S_M_L_XL</t>
        </is>
      </c>
      <c r="I1986" s="18" t="n">
        <v>176000</v>
      </c>
      <c r="J1986" s="19" t="n">
        <v>176000</v>
      </c>
      <c r="K1986" s="20" t="n">
        <v>5</v>
      </c>
      <c r="L1986" s="4" t="inlineStr">
        <is>
          <t>https://www.gucci.com/jp/ja/pr/men/ready-to-wear-for-men/knitwear-for-men/crewnecks-for-men/silk-cotton-t-shirt-with-intarsia-p-787736XKD2A1423</t>
        </is>
      </c>
      <c r="M1986" s="5">
        <f t="array" ref="M1986">_xlfn.IFS(J1986="NOTFOUND",I1986,J1986&gt;=I1986,J1986)</f>
        <v/>
      </c>
    </row>
    <row r="1987" ht="18" customHeight="1" s="16">
      <c r="A1987" s="5" t="n">
        <v>1986</v>
      </c>
      <c r="B1987" s="8" t="inlineStr">
        <is>
          <t>GU-4251</t>
        </is>
      </c>
      <c r="D1987" s="8" t="inlineStr">
        <is>
          <t>GUCCI インターシャ シルクコットン Tシャツ</t>
        </is>
      </c>
      <c r="E1987" s="8" t="inlineStr">
        <is>
          <t>787736 XKD2A 6419</t>
        </is>
      </c>
      <c r="G1987" s="12" t="inlineStr">
        <is>
          <t>XS_M_L_XXL</t>
        </is>
      </c>
      <c r="H1987" s="17" t="inlineStr">
        <is>
          <t>XS_M_L_XXL</t>
        </is>
      </c>
      <c r="I1987" s="18" t="n">
        <v>176000</v>
      </c>
      <c r="J1987" s="19" t="n">
        <v>176000</v>
      </c>
      <c r="K1987" s="20" t="n">
        <v>5</v>
      </c>
      <c r="L1987" s="4" t="inlineStr">
        <is>
          <t>https://www.gucci.com/jp/ja/pr/men/ready-to-wear-for-men/knitwear-for-men/crewnecks-for-men/silk-cotton-t-shirt-with-gucci-intarsia-p-787736XKD2A6419</t>
        </is>
      </c>
      <c r="M1987" s="5">
        <f t="array" ref="M1987">_xlfn.IFS(J1987="NOTFOUND",I1987,J1987&gt;=I1987,J1987)</f>
        <v/>
      </c>
    </row>
    <row r="1988" ht="18" customHeight="1" s="16">
      <c r="A1988" s="5" t="n">
        <v>1987</v>
      </c>
      <c r="B1988" s="8" t="inlineStr">
        <is>
          <t>GU-4252</t>
        </is>
      </c>
      <c r="D1988" s="8" t="inlineStr">
        <is>
          <t>インターシャ シルクコットン セーター</t>
        </is>
      </c>
      <c r="E1988" s="8" t="inlineStr">
        <is>
          <t>819421 XKD2A 1423</t>
        </is>
      </c>
      <c r="G1988" s="12" t="inlineStr">
        <is>
          <t>XS_S_M_L_XL_XXL</t>
        </is>
      </c>
      <c r="H1988" s="17" t="inlineStr">
        <is>
          <t>XS_S_M_L_XL_XXL</t>
        </is>
      </c>
      <c r="I1988" s="18" t="n">
        <v>198000</v>
      </c>
      <c r="J1988" s="19" t="n">
        <v>198000</v>
      </c>
      <c r="K1988" s="20" t="n">
        <v>5</v>
      </c>
      <c r="L1988" s="4" t="inlineStr">
        <is>
          <t>https://www.gucci.com/jp/ja/pr/men/ready-to-wear-for-men/knitwear-for-men/crewnecks-for-men/silk-cotton-sweater-with-intarsia-p-819421XKD2A1423</t>
        </is>
      </c>
      <c r="M1988" s="5">
        <f t="array" ref="M1988">_xlfn.IFS(J1988="NOTFOUND",I1988,J1988&gt;=I1988,J1988)</f>
        <v/>
      </c>
    </row>
    <row r="1989" ht="18" customHeight="1" s="16">
      <c r="A1989" s="5" t="n">
        <v>1988</v>
      </c>
      <c r="B1989" s="8" t="inlineStr">
        <is>
          <t>GU-4253</t>
        </is>
      </c>
      <c r="D1989" s="8" t="inlineStr">
        <is>
          <t>インターシャ シルクコットン カーディガン</t>
        </is>
      </c>
      <c r="E1989" s="8" t="inlineStr">
        <is>
          <t>814990 XKEKJ 4144</t>
        </is>
      </c>
      <c r="G1989" s="12" t="inlineStr">
        <is>
          <t>XS_S_M_L</t>
        </is>
      </c>
      <c r="H1989" s="17" t="inlineStr">
        <is>
          <t>XS_S_M_L</t>
        </is>
      </c>
      <c r="I1989" s="18" t="n">
        <v>286000</v>
      </c>
      <c r="J1989" s="19" t="n">
        <v>286000</v>
      </c>
      <c r="K1989" s="20" t="n">
        <v>5</v>
      </c>
      <c r="L1989" s="4" t="inlineStr">
        <is>
          <t>https://www.gucci.com/jp/ja/pr/men/ready-to-wear-for-men/knitwear-for-men/cardigans-for-men/silk-cotton-cardigan-with-intarsia-p-814990XKEKJ4144</t>
        </is>
      </c>
      <c r="M1989" s="5">
        <f t="array" ref="M1989">_xlfn.IFS(J1989="NOTFOUND",I1989,J1989&gt;=I1989,J1989)</f>
        <v/>
      </c>
    </row>
    <row r="1990" ht="18" customHeight="1" s="16">
      <c r="A1990" s="5" t="n">
        <v>1989</v>
      </c>
      <c r="B1990" s="8" t="inlineStr">
        <is>
          <t>GU-4254</t>
        </is>
      </c>
      <c r="D1990" s="8" t="inlineStr">
        <is>
          <t>インターシャ ファインウールニット ポロトップ</t>
        </is>
      </c>
      <c r="E1990" s="8" t="inlineStr">
        <is>
          <t>824124 XKEP1 1070</t>
        </is>
      </c>
      <c r="G1990" s="12" t="inlineStr">
        <is>
          <t>XS_S_M_L_XL_XXL</t>
        </is>
      </c>
      <c r="H1990" s="17" t="inlineStr">
        <is>
          <t>XS_S_M_L_XL</t>
        </is>
      </c>
      <c r="I1990" s="18" t="n">
        <v>203500</v>
      </c>
      <c r="J1990" s="19" t="n">
        <v>203500</v>
      </c>
      <c r="K1990" s="20" t="n">
        <v>5</v>
      </c>
      <c r="L1990" s="4" t="inlineStr">
        <is>
          <t>https://www.gucci.com/jp/ja/pr/men/ready-to-wear-for-men/knitwear-for-men/knitted-polo-for-men/fine-wool-knit-polo-top-with-intarsia-p-824124XKEP11070</t>
        </is>
      </c>
      <c r="M1990" s="5">
        <f t="array" ref="M1990">_xlfn.IFS(J1990="NOTFOUND",I1990,J1990&gt;=I1990,J1990)</f>
        <v/>
      </c>
    </row>
    <row r="1991" ht="18" customHeight="1" s="16">
      <c r="A1991" s="5" t="n">
        <v>1990</v>
      </c>
      <c r="B1991" s="8" t="inlineStr">
        <is>
          <t>GU-4255</t>
        </is>
      </c>
      <c r="D1991" s="8" t="inlineStr">
        <is>
          <t>インターシャ ファインウールニット トップ</t>
        </is>
      </c>
      <c r="E1991" s="8" t="inlineStr">
        <is>
          <t>824126 XKER2 3051</t>
        </is>
      </c>
      <c r="G1991" s="12" t="inlineStr">
        <is>
          <t>XS_S_M_L_XL</t>
        </is>
      </c>
      <c r="H1991" s="17" t="inlineStr">
        <is>
          <t>XS_S_M_L_XL_XXL</t>
        </is>
      </c>
      <c r="I1991" s="18" t="n">
        <v>181500</v>
      </c>
      <c r="J1991" s="19" t="n">
        <v>181500</v>
      </c>
      <c r="K1991" s="20" t="n">
        <v>5</v>
      </c>
      <c r="L1991" s="4" t="inlineStr">
        <is>
          <t>https://www.gucci.com/jp/ja/pr/men/ready-to-wear-for-men/knitwear-for-men/crewnecks-for-men/fine-wool-knit-top-with-intarsia-p-824126XKER23051</t>
        </is>
      </c>
      <c r="M1991" s="5">
        <f t="array" ref="M1991">_xlfn.IFS(J1991="NOTFOUND",I1991,J1991&gt;=I1991,J1991)</f>
        <v/>
      </c>
    </row>
    <row r="1992" ht="18" customHeight="1" s="16">
      <c r="A1992" s="5" t="n">
        <v>1991</v>
      </c>
      <c r="B1992" s="8" t="inlineStr">
        <is>
          <t>GU-4256</t>
        </is>
      </c>
      <c r="D1992" s="8" t="inlineStr">
        <is>
          <t>GGウール リバーシブル フーデッド ジップジャケット</t>
        </is>
      </c>
      <c r="E1992" s="8" t="inlineStr">
        <is>
          <t>794935 XKD7E 4594</t>
        </is>
      </c>
      <c r="G1992" s="12" t="inlineStr">
        <is>
          <t>XS_S_M_L_XL</t>
        </is>
      </c>
      <c r="H1992" s="17" t="inlineStr">
        <is>
          <t>XS_S_M_L_XL</t>
        </is>
      </c>
      <c r="I1992" s="18" t="n">
        <v>412500</v>
      </c>
      <c r="J1992" s="19" t="n">
        <v>412500</v>
      </c>
      <c r="K1992" s="20" t="n">
        <v>5</v>
      </c>
      <c r="L1992" s="4" t="inlineStr">
        <is>
          <t>https://www.gucci.com/jp/ja/pr/men/ready-to-wear-for-men/knitwear-for-men/reversible-gg-wool-hooded-zip-jacket-p-794935XKD7E4594</t>
        </is>
      </c>
      <c r="M1992" s="5">
        <f t="array" ref="M1992">_xlfn.IFS(J1992="NOTFOUND",I1992,J1992&gt;=I1992,J1992)</f>
        <v/>
      </c>
    </row>
    <row r="1993" ht="18" customHeight="1" s="16">
      <c r="A1993" s="5" t="n">
        <v>1992</v>
      </c>
      <c r="B1993" s="8" t="inlineStr">
        <is>
          <t>GU-4257</t>
        </is>
      </c>
      <c r="D1993" s="8" t="inlineStr">
        <is>
          <t>エンブロイダリー付き ウールカシミア セーター</t>
        </is>
      </c>
      <c r="E1993" s="8" t="inlineStr">
        <is>
          <t>815007 XKEK4 1078</t>
        </is>
      </c>
      <c r="G1993" s="12" t="inlineStr">
        <is>
          <t>XS_S_M_L_XL</t>
        </is>
      </c>
      <c r="H1993" s="17" t="inlineStr">
        <is>
          <t>XS_S_M_L_XL</t>
        </is>
      </c>
      <c r="I1993" s="18" t="n">
        <v>203500</v>
      </c>
      <c r="J1993" s="19" t="n">
        <v>203500</v>
      </c>
      <c r="K1993" s="20" t="n">
        <v>5</v>
      </c>
      <c r="L1993" s="4" t="inlineStr">
        <is>
          <t>https://www.gucci.com/jp/ja/pr/men/ready-to-wear-for-men/knitwear-for-men/crewnecks-for-men/embroidered-wool-cashmere-sweater-p-815007XKEK41078</t>
        </is>
      </c>
      <c r="M1993" s="5">
        <f t="array" ref="M1993">_xlfn.IFS(J1993="NOTFOUND",I1993,J1993&gt;=I1993,J1993)</f>
        <v/>
      </c>
    </row>
    <row r="1994" ht="18" customHeight="1" s="16">
      <c r="A1994" s="5" t="n">
        <v>1993</v>
      </c>
      <c r="B1994" s="8" t="inlineStr">
        <is>
          <t>GU-4258</t>
        </is>
      </c>
      <c r="D1994" s="8" t="inlineStr">
        <is>
          <t>GG インターシャ ウール セーター</t>
        </is>
      </c>
      <c r="E1994" s="8" t="inlineStr">
        <is>
          <t>770509 XKDSJ 4735</t>
        </is>
      </c>
      <c r="G1994" s="12" t="inlineStr">
        <is>
          <t>XS_S_M_L_XL</t>
        </is>
      </c>
      <c r="H1994" s="17" t="inlineStr">
        <is>
          <t>XS_S_M_L_XL</t>
        </is>
      </c>
      <c r="I1994" s="18" t="n">
        <v>214500</v>
      </c>
      <c r="J1994" s="19" t="n">
        <v>214500</v>
      </c>
      <c r="K1994" s="20" t="n">
        <v>5</v>
      </c>
      <c r="L1994" s="4" t="inlineStr">
        <is>
          <t>https://www.gucci.com/jp/ja/pr/men/ready-to-wear-for-men/knitwear-for-men/crewnecks-for-men/wool-sweater-with-gg-intarsia-p-770509XKDSJ4735</t>
        </is>
      </c>
      <c r="M1994" s="5">
        <f t="array" ref="M1994">_xlfn.IFS(J1994="NOTFOUND",I1994,J1994&gt;=I1994,J1994)</f>
        <v/>
      </c>
    </row>
    <row r="1995" ht="18" customHeight="1" s="16">
      <c r="A1995" s="5" t="n">
        <v>1994</v>
      </c>
      <c r="B1995" s="8" t="inlineStr">
        <is>
          <t>GU-4259</t>
        </is>
      </c>
      <c r="D1995" s="8" t="inlineStr">
        <is>
          <t>GGインターシャ ウール カーディガン</t>
        </is>
      </c>
      <c r="E1995" s="8" t="inlineStr">
        <is>
          <t>770507 XKDSJ 4735</t>
        </is>
      </c>
      <c r="G1995" s="12" t="inlineStr">
        <is>
          <t>XXS_XS_S_M_L_XL_XXL</t>
        </is>
      </c>
      <c r="H1995" s="17" t="inlineStr">
        <is>
          <t>XXS_XS_S_M_L_XL</t>
        </is>
      </c>
      <c r="I1995" s="18" t="n">
        <v>253000</v>
      </c>
      <c r="J1995" s="19" t="n">
        <v>253000</v>
      </c>
      <c r="K1995" s="20" t="n">
        <v>5</v>
      </c>
      <c r="L1995" s="4" t="inlineStr">
        <is>
          <t>https://www.gucci.com/jp/ja/pr/men/ready-to-wear-for-men/knitwear-for-men/cardigans-for-men/wool-cardigan-with-gg-intarsia-p-770507XKDSJ4735</t>
        </is>
      </c>
      <c r="M1995" s="5">
        <f t="array" ref="M1995">_xlfn.IFS(J1995="NOTFOUND",I1995,J1995&gt;=I1995,J1995)</f>
        <v/>
      </c>
    </row>
    <row r="1996" ht="18" customHeight="1" s="16">
      <c r="A1996" s="5" t="n">
        <v>1995</v>
      </c>
      <c r="B1996" s="8" t="inlineStr">
        <is>
          <t>GU-4260</t>
        </is>
      </c>
      <c r="D1996" s="8" t="inlineStr">
        <is>
          <t>GG インターシャ ウール カーディガン</t>
        </is>
      </c>
      <c r="E1996" s="8" t="inlineStr">
        <is>
          <t>770507 XKDSJ 1128</t>
        </is>
      </c>
      <c r="G1996" s="12" t="inlineStr">
        <is>
          <t>XS_S_M_L_XL_XXL</t>
        </is>
      </c>
      <c r="H1996" s="17" t="inlineStr">
        <is>
          <t>XS_S_M_L_XL_XXL</t>
        </is>
      </c>
      <c r="I1996" s="18" t="n">
        <v>253000</v>
      </c>
      <c r="J1996" s="19" t="n">
        <v>253000</v>
      </c>
      <c r="K1996" s="20" t="n">
        <v>5</v>
      </c>
      <c r="L1996" s="4" t="inlineStr">
        <is>
          <t>https://www.gucci.com/jp/ja/pr/men/ready-to-wear-for-men/knitwear-for-men/cardigans-for-men/wool-cardigan-with-gg-intarsia-p-770507XKDSJ1128</t>
        </is>
      </c>
      <c r="M1996" s="5">
        <f t="array" ref="M1996">_xlfn.IFS(J1996="NOTFOUND",I1996,J1996&gt;=I1996,J1996)</f>
        <v/>
      </c>
    </row>
    <row r="1997" ht="18" customHeight="1" s="16">
      <c r="A1997" s="5" t="n">
        <v>1996</v>
      </c>
      <c r="B1997" s="8" t="inlineStr">
        <is>
          <t>GU-4261</t>
        </is>
      </c>
      <c r="D1997" s="8" t="inlineStr">
        <is>
          <t>GG インターシャ ウール セーター</t>
        </is>
      </c>
      <c r="E1997" s="8" t="inlineStr">
        <is>
          <t>770509 XKDSJ 1152</t>
        </is>
      </c>
      <c r="G1997" s="12" t="inlineStr">
        <is>
          <t>XXS_XS_S_M_L_XL</t>
        </is>
      </c>
      <c r="H1997" s="17" t="inlineStr">
        <is>
          <t>XXS_XS_S_M_L_XL</t>
        </is>
      </c>
      <c r="I1997" s="18" t="n">
        <v>214500</v>
      </c>
      <c r="J1997" s="19" t="n">
        <v>214500</v>
      </c>
      <c r="K1997" s="20" t="n">
        <v>5</v>
      </c>
      <c r="L1997" s="4" t="inlineStr">
        <is>
          <t>https://www.gucci.com/jp/ja/pr/men/ready-to-wear-for-men/knitwear-for-men/crewnecks-for-men/wool-sweater-with-gg-intarsia-p-770509XKDSJ1152</t>
        </is>
      </c>
      <c r="M1997" s="5">
        <f t="array" ref="M1997">_xlfn.IFS(J1997="NOTFOUND",I1997,J1997&gt;=I1997,J1997)</f>
        <v/>
      </c>
    </row>
    <row r="1998" ht="18" customHeight="1" s="16">
      <c r="A1998" s="5" t="n">
        <v>1997</v>
      </c>
      <c r="B1998" s="8" t="inlineStr">
        <is>
          <t>GU-4262</t>
        </is>
      </c>
      <c r="D1998" s="8" t="inlineStr">
        <is>
          <t>テクスチャード GGウールジャカード カーディガン</t>
        </is>
      </c>
      <c r="E1998" s="8" t="inlineStr">
        <is>
          <t>795012 XKD42 3529</t>
        </is>
      </c>
      <c r="G1998" s="12" t="inlineStr">
        <is>
          <t>XS_S_M_L_XL</t>
        </is>
      </c>
      <c r="H1998" s="17" t="inlineStr">
        <is>
          <t>XS_S_M_L_XL</t>
        </is>
      </c>
      <c r="I1998" s="18" t="n">
        <v>247500</v>
      </c>
      <c r="J1998" s="19" t="n">
        <v>247500</v>
      </c>
      <c r="K1998" s="20" t="n">
        <v>5</v>
      </c>
      <c r="L1998" s="4" t="inlineStr">
        <is>
          <t>https://www.gucci.com/jp/ja/pr/men/ready-to-wear-for-men/knitwear-for-men/cardigans-for-men/gg-degrade-wool-jacquard-cardigan-p-795012XKD423529</t>
        </is>
      </c>
      <c r="M1998" s="5">
        <f t="array" ref="M1998">_xlfn.IFS(J1998="NOTFOUND",I1998,J1998&gt;=I1998,J1998)</f>
        <v/>
      </c>
    </row>
    <row r="1999" ht="18" customHeight="1" s="16">
      <c r="A1999" s="5" t="n">
        <v>1998</v>
      </c>
      <c r="B1999" s="8" t="inlineStr">
        <is>
          <t>GU-4263</t>
        </is>
      </c>
      <c r="D1999" s="8" t="inlineStr">
        <is>
          <t>テクスチャード GGウールジャカード セーター</t>
        </is>
      </c>
      <c r="E1999" s="8" t="inlineStr">
        <is>
          <t>788533 XKD42 4271</t>
        </is>
      </c>
      <c r="G1999" s="12" t="inlineStr">
        <is>
          <t>XXS_XS_S_M_L_XL_XXL</t>
        </is>
      </c>
      <c r="H1999" s="17" t="inlineStr">
        <is>
          <t>XXS_XS_S_M_L_XL</t>
        </is>
      </c>
      <c r="I1999" s="18" t="n">
        <v>176000</v>
      </c>
      <c r="J1999" s="19" t="n">
        <v>176000</v>
      </c>
      <c r="K1999" s="20" t="n">
        <v>5</v>
      </c>
      <c r="L1999" s="4" t="inlineStr">
        <is>
          <t>https://www.gucci.com/jp/ja/pr/men/ready-to-wear-for-men/knitwear-for-men/crewnecks-for-men/gg-degrade-wool-jacquard-sweater-p-788533XKD424271</t>
        </is>
      </c>
      <c r="M1999" s="5">
        <f t="array" ref="M1999">_xlfn.IFS(J1999="NOTFOUND",I1999,J1999&gt;=I1999,J1999)</f>
        <v/>
      </c>
    </row>
    <row r="2000" ht="18" customHeight="1" s="16">
      <c r="A2000" s="5" t="n">
        <v>1999</v>
      </c>
      <c r="B2000" s="8" t="inlineStr">
        <is>
          <t>GU-4264</t>
        </is>
      </c>
      <c r="D2000" s="8" t="inlineStr">
        <is>
          <t>GGウール ジャカード カーディガン</t>
        </is>
      </c>
      <c r="E2000" s="8" t="inlineStr">
        <is>
          <t>761550 XKDK5 1230</t>
        </is>
      </c>
      <c r="G2000" s="12" t="inlineStr">
        <is>
          <t>XXS_XS_S_M_L_XL_XXL</t>
        </is>
      </c>
      <c r="H2000" s="17" t="inlineStr">
        <is>
          <t>XXS_XS_S_M_L_XL_XXL</t>
        </is>
      </c>
      <c r="I2000" s="18" t="n">
        <v>236500</v>
      </c>
      <c r="J2000" s="19" t="n">
        <v>236500</v>
      </c>
      <c r="K2000" s="20" t="n">
        <v>5</v>
      </c>
      <c r="L2000" s="4" t="inlineStr">
        <is>
          <t>https://www.gucci.com/jp/ja/pr/men/ready-to-wear-for-men/knitwear-for-men/cardigans-for-men/gg-wool-jacquard-cardigan-p-761550XKDK51230</t>
        </is>
      </c>
      <c r="M2000" s="5">
        <f t="array" ref="M2000">_xlfn.IFS(J2000="NOTFOUND",I2000,J2000&gt;=I2000,J2000)</f>
        <v/>
      </c>
    </row>
    <row r="2001" ht="18" customHeight="1" s="16">
      <c r="A2001" s="5" t="n">
        <v>2000</v>
      </c>
      <c r="B2001" s="8" t="inlineStr">
        <is>
          <t>GU-4265</t>
        </is>
      </c>
      <c r="D2001" s="8" t="inlineStr">
        <is>
          <t>GGウール ジャカード セーター</t>
        </is>
      </c>
      <c r="E2001" s="8" t="inlineStr">
        <is>
          <t>761549 XKDK5 1230</t>
        </is>
      </c>
      <c r="G2001" s="12" t="inlineStr">
        <is>
          <t>XXS_XS_S_M_L_XL_XXL</t>
        </is>
      </c>
      <c r="H2001" s="17" t="inlineStr">
        <is>
          <t>XXS_XS_S_M_L_XL_XXL</t>
        </is>
      </c>
      <c r="I2001" s="18" t="n">
        <v>165000</v>
      </c>
      <c r="J2001" s="19" t="n">
        <v>165000</v>
      </c>
      <c r="K2001" s="20" t="n">
        <v>5</v>
      </c>
      <c r="L2001" s="4" t="inlineStr">
        <is>
          <t>https://www.gucci.com/jp/ja/pr/men/ready-to-wear-for-men/knitwear-for-men/crewnecks-for-men/gg-wool-jacquard-sweater-p-761549XKDK51230</t>
        </is>
      </c>
      <c r="M2001" s="5">
        <f t="array" ref="M2001">_xlfn.IFS(J2001="NOTFOUND",I2001,J2001&gt;=I2001,J2001)</f>
        <v/>
      </c>
    </row>
    <row r="2002" ht="18" customHeight="1" s="16">
      <c r="A2002" s="5" t="n">
        <v>2001</v>
      </c>
      <c r="B2002" s="8" t="inlineStr">
        <is>
          <t>GU-4266</t>
        </is>
      </c>
      <c r="D2002" s="8" t="inlineStr">
        <is>
          <t>ウェブ ストライプ付き コットンジャージーニット カーディガン</t>
        </is>
      </c>
      <c r="E2002" s="8" t="inlineStr">
        <is>
          <t>788009 XKD15 4345</t>
        </is>
      </c>
      <c r="G2002" s="12" t="inlineStr">
        <is>
          <t>XS_S_M_L_XL</t>
        </is>
      </c>
      <c r="H2002" s="17" t="inlineStr">
        <is>
          <t>XS_S_M_L_XL</t>
        </is>
      </c>
      <c r="I2002" s="18" t="n">
        <v>225500</v>
      </c>
      <c r="J2002" s="19" t="n">
        <v>225500</v>
      </c>
      <c r="K2002" s="20" t="n">
        <v>5</v>
      </c>
      <c r="L2002" s="4" t="inlineStr">
        <is>
          <t>https://www.gucci.com/jp/ja/pr/men/ready-to-wear-for-men/knitwear-for-men/cardigans-for-men/ajour-cotton-knit-cardigan-with-web-p-788009XKD154345</t>
        </is>
      </c>
      <c r="M2002" s="5">
        <f t="array" ref="M2002">_xlfn.IFS(J2002="NOTFOUND",I2002,J2002&gt;=I2002,J2002)</f>
        <v/>
      </c>
    </row>
    <row r="2003" ht="18" customHeight="1" s="16">
      <c r="A2003" s="5" t="n">
        <v>2002</v>
      </c>
      <c r="B2003" s="8" t="inlineStr">
        <is>
          <t>GU-4267</t>
        </is>
      </c>
      <c r="D2003" s="8" t="inlineStr">
        <is>
          <t>インターシャ ファインウールニット カーディガン</t>
        </is>
      </c>
      <c r="E2003" s="8" t="inlineStr">
        <is>
          <t>822599 XKEP1 1070</t>
        </is>
      </c>
      <c r="G2003" s="12" t="inlineStr">
        <is>
          <t>XS_S_M_L_XL</t>
        </is>
      </c>
      <c r="H2003" s="17" t="inlineStr">
        <is>
          <t>XS_S_M_L_XL</t>
        </is>
      </c>
      <c r="I2003" s="18" t="n">
        <v>242000</v>
      </c>
      <c r="J2003" s="19" t="n">
        <v>242000</v>
      </c>
      <c r="K2003" s="20" t="n">
        <v>5</v>
      </c>
      <c r="L2003" s="4" t="inlineStr">
        <is>
          <t>https://www.gucci.com/jp/ja/pr/men/ready-to-wear-for-men/knitwear-for-men/cardigans-for-men/fine-wool-knit-cardigan-with-intarsia-p-822599XKEP11070</t>
        </is>
      </c>
      <c r="M2003" s="5">
        <f t="array" ref="M2003">_xlfn.IFS(J2003="NOTFOUND",I2003,J2003&gt;=I2003,J2003)</f>
        <v/>
      </c>
    </row>
    <row r="2004" ht="18" customHeight="1" s="16">
      <c r="A2004" s="5" t="n">
        <v>2003</v>
      </c>
      <c r="B2004" s="8" t="inlineStr">
        <is>
          <t>GU-4268</t>
        </is>
      </c>
      <c r="D2004" s="8" t="inlineStr">
        <is>
          <t>コットンピケ ニット カーディガン</t>
        </is>
      </c>
      <c r="E2004" s="8" t="inlineStr">
        <is>
          <t>836390 XKE0V 9074</t>
        </is>
      </c>
      <c r="G2004" s="12" t="inlineStr">
        <is>
          <t>XS_S_M_L</t>
        </is>
      </c>
      <c r="H2004" s="17" t="inlineStr">
        <is>
          <t>XS_S_M_L</t>
        </is>
      </c>
      <c r="I2004" s="18" t="n">
        <v>258500</v>
      </c>
      <c r="J2004" s="19" t="n">
        <v>258500</v>
      </c>
      <c r="K2004" s="20" t="n">
        <v>5</v>
      </c>
      <c r="L2004" s="4" t="inlineStr">
        <is>
          <t>https://www.gucci.com/jp/ja/pr/men/ready-to-wear-for-men/knitwear-for-men/cardigans-for-men/cotton-piquet-knit-cardigan-p-836390XKE0V9074</t>
        </is>
      </c>
      <c r="M2004" s="5">
        <f t="array" ref="M2004">_xlfn.IFS(J2004="NOTFOUND",I2004,J2004&gt;=I2004,J2004)</f>
        <v/>
      </c>
    </row>
    <row r="2005" ht="18" customHeight="1" s="16">
      <c r="A2005" s="5" t="n">
        <v>2004</v>
      </c>
      <c r="B2005" s="8" t="inlineStr">
        <is>
          <t>GU-4269</t>
        </is>
      </c>
      <c r="D2005" s="8" t="inlineStr">
        <is>
          <t>インターシャ シルクコットン ニット Tシャツ</t>
        </is>
      </c>
      <c r="E2005" s="8" t="inlineStr">
        <is>
          <t>787736 XKD2A 3058</t>
        </is>
      </c>
      <c r="G2005" s="12" t="inlineStr">
        <is>
          <t>XS_S_M_L_XL</t>
        </is>
      </c>
      <c r="H2005" s="17" t="inlineStr">
        <is>
          <t>XS_S_M_L_XL</t>
        </is>
      </c>
      <c r="I2005" s="18" t="n">
        <v>176000</v>
      </c>
      <c r="J2005" s="19" t="n">
        <v>176000</v>
      </c>
      <c r="K2005" s="20" t="n">
        <v>5</v>
      </c>
      <c r="L2005" s="4" t="inlineStr">
        <is>
          <t>https://www.gucci.com/jp/ja/pr/men/ready-to-wear-for-men/knitwear-for-men/crewnecks-for-men/silk-cotton-knit-t-shirt-with-intarsia-p-787736XKD2A3058</t>
        </is>
      </c>
      <c r="M2005" s="5">
        <f t="array" ref="M2005">_xlfn.IFS(J2005="NOTFOUND",I2005,J2005&gt;=I2005,J2005)</f>
        <v/>
      </c>
    </row>
    <row r="2006" ht="18" customHeight="1" s="16">
      <c r="A2006" s="5" t="n">
        <v>2005</v>
      </c>
      <c r="B2006" s="8" t="inlineStr">
        <is>
          <t>GU-4270</t>
        </is>
      </c>
      <c r="D2006" s="8" t="inlineStr">
        <is>
          <t>ウェブ ストライプ付き コットンニット カーディガン</t>
        </is>
      </c>
      <c r="E2006" s="8" t="inlineStr">
        <is>
          <t>788009 XKD15 1060</t>
        </is>
      </c>
      <c r="G2006" s="12" t="inlineStr">
        <is>
          <t>XS_S_M_L_XL_XXL_XXXL</t>
        </is>
      </c>
      <c r="H2006" s="17" t="inlineStr">
        <is>
          <t>XS_S_M_L_XL_XXL_XXXL</t>
        </is>
      </c>
      <c r="I2006" s="18" t="n">
        <v>225500</v>
      </c>
      <c r="J2006" s="19" t="n">
        <v>225500</v>
      </c>
      <c r="K2006" s="20" t="n">
        <v>5</v>
      </c>
      <c r="L2006" s="4" t="inlineStr">
        <is>
          <t>https://www.gucci.com/jp/ja/pr/men/ready-to-wear-for-men/knitwear-for-men/cardigans-for-men/cotton-knit-cardigan-with-web-p-788009XKD151060</t>
        </is>
      </c>
      <c r="M2006" s="5">
        <f t="array" ref="M2006">_xlfn.IFS(J2006="NOTFOUND",I2006,J2006&gt;=I2006,J2006)</f>
        <v/>
      </c>
    </row>
    <row r="2007" ht="18" customHeight="1" s="16">
      <c r="A2007" s="5" t="n">
        <v>2006</v>
      </c>
      <c r="B2007" s="8" t="inlineStr">
        <is>
          <t>GU-4271</t>
        </is>
      </c>
      <c r="D2007" s="8" t="inlineStr">
        <is>
          <t>GUCCI インターシャ シルクコットン Tシャツ</t>
        </is>
      </c>
      <c r="E2007" s="8" t="inlineStr">
        <is>
          <t>787736 XKD2A 1070</t>
        </is>
      </c>
      <c r="G2007" s="12" t="inlineStr">
        <is>
          <t>XS_S_M_L_XL_XXL_XXXL</t>
        </is>
      </c>
      <c r="H2007" s="17" t="inlineStr">
        <is>
          <t>XS_S_M_L_XL_XXL_XXXL</t>
        </is>
      </c>
      <c r="I2007" s="18" t="n">
        <v>176000</v>
      </c>
      <c r="J2007" s="19" t="n">
        <v>176000</v>
      </c>
      <c r="K2007" s="20" t="n">
        <v>5</v>
      </c>
      <c r="L2007" s="4" t="inlineStr">
        <is>
          <t>https://www.gucci.com/jp/ja/pr/men/ready-to-wear-for-men/knitwear-for-men/crewnecks-for-men/silk-cotton-t-shirt-with-gucci-intarsia-p-787736XKD2A1070</t>
        </is>
      </c>
      <c r="M2007" s="5">
        <f t="array" ref="M2007">_xlfn.IFS(J2007="NOTFOUND",I2007,J2007&gt;=I2007,J2007)</f>
        <v/>
      </c>
    </row>
    <row r="2008" ht="18" customHeight="1" s="16">
      <c r="A2008" s="5" t="n">
        <v>2007</v>
      </c>
      <c r="B2008" s="8" t="inlineStr">
        <is>
          <t>GU-4272</t>
        </is>
      </c>
      <c r="D2008" s="8" t="inlineStr">
        <is>
          <t>インターシャ コットンニット ポロシャツ</t>
        </is>
      </c>
      <c r="E2008" s="8" t="inlineStr">
        <is>
          <t>787814 XKD20 9983</t>
        </is>
      </c>
      <c r="G2008" s="12" t="inlineStr">
        <is>
          <t>XS_S_M_L_XL</t>
        </is>
      </c>
      <c r="H2008" s="17" t="inlineStr">
        <is>
          <t>XS_S_M_L_XL</t>
        </is>
      </c>
      <c r="I2008" s="18" t="n">
        <v>214500</v>
      </c>
      <c r="J2008" s="19" t="n">
        <v>214500</v>
      </c>
      <c r="K2008" s="20" t="n">
        <v>5</v>
      </c>
      <c r="L2008" s="4" t="inlineStr">
        <is>
          <t>https://www.gucci.com/jp/ja/pr/men/ready-to-wear-for-men/knitwear-for-men/knitted-polo-for-men/knit-cotton-polo-shirt-with-intarsia-p-787814XKD209983</t>
        </is>
      </c>
      <c r="M2008" s="5">
        <f t="array" ref="M2008">_xlfn.IFS(J2008="NOTFOUND",I2008,J2008&gt;=I2008,J2008)</f>
        <v/>
      </c>
    </row>
    <row r="2009" ht="18" customHeight="1" s="16">
      <c r="A2009" s="5" t="n">
        <v>2008</v>
      </c>
      <c r="B2009" s="8" t="inlineStr">
        <is>
          <t>GU-4273</t>
        </is>
      </c>
      <c r="D2009" s="8" t="inlineStr">
        <is>
          <t>GUCCI インターシャ シルクコットン Tシャツ</t>
        </is>
      </c>
      <c r="E2009" s="8" t="inlineStr">
        <is>
          <t>787736 XKD2A 4137</t>
        </is>
      </c>
      <c r="G2009" s="12" t="inlineStr">
        <is>
          <t>XS_S_M_L_XL</t>
        </is>
      </c>
      <c r="H2009" s="17" t="inlineStr">
        <is>
          <t>XS_S_M_L_XL</t>
        </is>
      </c>
      <c r="I2009" s="18" t="n">
        <v>176000</v>
      </c>
      <c r="J2009" s="19" t="n">
        <v>176000</v>
      </c>
      <c r="K2009" s="20" t="n">
        <v>5</v>
      </c>
      <c r="L2009" s="4" t="inlineStr">
        <is>
          <t>https://www.gucci.com/jp/ja/pr/men/ready-to-wear-for-men/knitwear-for-men/crewnecks-for-men/silk-cotton-t-shirt-with-gucci-intarsia-p-787736XKD2A4137</t>
        </is>
      </c>
      <c r="M2009" s="5">
        <f t="array" ref="M2009">_xlfn.IFS(J2009="NOTFOUND",I2009,J2009&gt;=I2009,J2009)</f>
        <v/>
      </c>
    </row>
    <row r="2010" ht="18" customHeight="1" s="16">
      <c r="A2010" s="5" t="n">
        <v>2009</v>
      </c>
      <c r="B2010" s="8" t="inlineStr">
        <is>
          <t>GU-4274</t>
        </is>
      </c>
      <c r="D2010" s="8" t="inlineStr">
        <is>
          <t>コットンジャージー プリント スウェットシャツ</t>
        </is>
      </c>
      <c r="E2010" s="8" t="inlineStr">
        <is>
          <t>788771 XJHDP 1230</t>
        </is>
      </c>
      <c r="G2010" s="12" t="inlineStr">
        <is>
          <t>XXS_XS_S_M_L_XL_XXL</t>
        </is>
      </c>
      <c r="H2010" s="17" t="inlineStr">
        <is>
          <t>XXS_XS_S_M_L_XL_XXL</t>
        </is>
      </c>
      <c r="I2010" s="18" t="n">
        <v>176000</v>
      </c>
      <c r="J2010" s="19" t="n">
        <v>176000</v>
      </c>
      <c r="K2010" s="20" t="n">
        <v>5</v>
      </c>
      <c r="L2010" s="4" t="inlineStr">
        <is>
          <t>https://www.gucci.com/jp/ja/pr/men/ready-to-wear-for-men/tracksuit-sweatshirts-for-men/tops-for-men/printed-cotton-jersey-sweatshirt-p-788771XJHDP1230</t>
        </is>
      </c>
      <c r="M2010" s="5">
        <f t="array" ref="M2010">_xlfn.IFS(J2010="NOTFOUND",I2010,J2010&gt;=I2010,J2010)</f>
        <v/>
      </c>
    </row>
    <row r="2011" ht="18" customHeight="1" s="16">
      <c r="A2011" s="5" t="n">
        <v>2010</v>
      </c>
      <c r="B2011" s="8" t="inlineStr">
        <is>
          <t>GU-4275</t>
        </is>
      </c>
      <c r="D2011" s="8" t="inlineStr">
        <is>
          <t>コットンジャージー プリント スウェットシャツ</t>
        </is>
      </c>
      <c r="E2011" s="8" t="inlineStr">
        <is>
          <t>784413 XJHD1 4027</t>
        </is>
      </c>
      <c r="G2011" s="12" t="inlineStr">
        <is>
          <t>XXS_XS_S_M_L_XL_XXL</t>
        </is>
      </c>
      <c r="H2011" s="17" t="inlineStr">
        <is>
          <t>XXS_XS_S_M_L_XL</t>
        </is>
      </c>
      <c r="I2011" s="18" t="n">
        <v>176000</v>
      </c>
      <c r="J2011" s="19" t="n">
        <v>176000</v>
      </c>
      <c r="K2011" s="20" t="n">
        <v>5</v>
      </c>
      <c r="L2011" s="4" t="inlineStr">
        <is>
          <t>https://www.gucci.com/jp/ja/pr/men/ready-to-wear-for-men/tracksuit-sweatshirts-for-men/tops-for-men/printed-cotton-jersey-sweatshirt-p-784413XJHD14027</t>
        </is>
      </c>
      <c r="M2011" s="5">
        <f t="array" ref="M2011">_xlfn.IFS(J2011="NOTFOUND",I2011,J2011&gt;=I2011,J2011)</f>
        <v/>
      </c>
    </row>
    <row r="2012" ht="18" customHeight="1" s="16">
      <c r="A2012" s="5" t="n">
        <v>2011</v>
      </c>
      <c r="B2012" s="8" t="inlineStr">
        <is>
          <t>GU-4276</t>
        </is>
      </c>
      <c r="D2012" s="8" t="inlineStr">
        <is>
          <t>パッチ付き ジャージー ハーフジップ ジャケット</t>
        </is>
      </c>
      <c r="E2012" s="8" t="inlineStr">
        <is>
          <t>814583 XJG10 4794</t>
        </is>
      </c>
      <c r="G2012" s="12" t="inlineStr">
        <is>
          <t>XXS_XS_S_M_L_XL_XXL</t>
        </is>
      </c>
      <c r="H2012" s="17" t="inlineStr">
        <is>
          <t>XXS_XS_S_M_L_XL</t>
        </is>
      </c>
      <c r="I2012" s="18" t="n">
        <v>203500</v>
      </c>
      <c r="J2012" s="19" t="n">
        <v>203500</v>
      </c>
      <c r="K2012" s="20" t="n">
        <v>5</v>
      </c>
      <c r="L2012" s="4" t="inlineStr">
        <is>
          <t>https://www.gucci.com/jp/ja/pr/men/ready-to-wear-for-men/tracksuit-sweatshirts-for-men/jersey-half-zip-jacket-with-patch-p-814583XJG104794</t>
        </is>
      </c>
      <c r="M2012" s="5">
        <f t="array" ref="M2012">_xlfn.IFS(J2012="NOTFOUND",I2012,J2012&gt;=I2012,J2012)</f>
        <v/>
      </c>
    </row>
    <row r="2013" ht="18" customHeight="1" s="16">
      <c r="A2013" s="5" t="n">
        <v>2012</v>
      </c>
      <c r="B2013" s="8" t="inlineStr">
        <is>
          <t>GU-4277</t>
        </is>
      </c>
      <c r="D2013" s="8" t="inlineStr">
        <is>
          <t>エンブロイダリー付き ジャージー スウェットシャツ</t>
        </is>
      </c>
      <c r="E2013" s="8" t="inlineStr">
        <is>
          <t>824343 XJG70 1038</t>
        </is>
      </c>
      <c r="G2013" s="12" t="inlineStr">
        <is>
          <t>XXS_XS_S_M_L_XL_XXL</t>
        </is>
      </c>
      <c r="H2013" s="17" t="inlineStr">
        <is>
          <t>XXS_XS_S_M_L_XL_XXL</t>
        </is>
      </c>
      <c r="I2013" s="18" t="n">
        <v>225500</v>
      </c>
      <c r="J2013" s="19" t="n">
        <v>225500</v>
      </c>
      <c r="K2013" s="20" t="n">
        <v>5</v>
      </c>
      <c r="L2013" s="4" t="inlineStr">
        <is>
          <t>https://www.gucci.com/jp/ja/pr/men/ready-to-wear-for-men/tracksuit-sweatshirts-for-men/embroidered-jersey-sweatshirt-p-824343XJG701038</t>
        </is>
      </c>
      <c r="M2013" s="5">
        <f t="array" ref="M2013">_xlfn.IFS(J2013="NOTFOUND",I2013,J2013&gt;=I2013,J2013)</f>
        <v/>
      </c>
    </row>
    <row r="2014" ht="18" customHeight="1" s="16">
      <c r="A2014" s="5" t="n">
        <v>2013</v>
      </c>
      <c r="B2014" s="8" t="inlineStr">
        <is>
          <t>GU-4278</t>
        </is>
      </c>
      <c r="D2014" s="8" t="inlineStr">
        <is>
          <t>エンボス コットンジャージー スウェットシャツ</t>
        </is>
      </c>
      <c r="E2014" s="8" t="inlineStr">
        <is>
          <t>817263 XJG2E 1056</t>
        </is>
      </c>
      <c r="G2014" s="12" t="inlineStr">
        <is>
          <t>XXS_XS_S_M_L_XL_XXL</t>
        </is>
      </c>
      <c r="H2014" s="17" t="inlineStr">
        <is>
          <t>XXS_XS_S_M_L_XL_XXL</t>
        </is>
      </c>
      <c r="I2014" s="18" t="n">
        <v>198000</v>
      </c>
      <c r="J2014" s="19" t="n">
        <v>198000</v>
      </c>
      <c r="K2014" s="20" t="n">
        <v>5</v>
      </c>
      <c r="L2014" s="4" t="inlineStr">
        <is>
          <t>https://www.gucci.com/jp/ja/pr/men/ready-to-wear-for-men/tracksuit-sweatshirts-for-men/embossed-cotton-jersey-sweatshirt-p-817263XJG2E1056</t>
        </is>
      </c>
      <c r="M2014" s="5">
        <f t="array" ref="M2014">_xlfn.IFS(J2014="NOTFOUND",I2014,J2014&gt;=I2014,J2014)</f>
        <v/>
      </c>
    </row>
    <row r="2015" ht="18" customHeight="1" s="16">
      <c r="A2015" s="5" t="n">
        <v>2014</v>
      </c>
      <c r="B2015" s="8" t="inlineStr">
        <is>
          <t>GU-4279</t>
        </is>
      </c>
      <c r="D2015" s="8" t="inlineStr">
        <is>
          <t>GGナイロン＆ジャージー ジップジャケット</t>
        </is>
      </c>
      <c r="E2015" s="8" t="inlineStr">
        <is>
          <t>768550 XJG1Y 4140</t>
        </is>
      </c>
      <c r="G2015" s="12" t="inlineStr">
        <is>
          <t>XXS_XS_S_M_L_XL</t>
        </is>
      </c>
      <c r="H2015" s="17" t="inlineStr">
        <is>
          <t>XXS_XS_S_M_L_XL</t>
        </is>
      </c>
      <c r="I2015" s="18" t="n">
        <v>275000</v>
      </c>
      <c r="J2015" s="19" t="n">
        <v>275000</v>
      </c>
      <c r="K2015" s="20" t="n">
        <v>5</v>
      </c>
      <c r="L2015" s="4" t="inlineStr">
        <is>
          <t>https://www.gucci.com/jp/ja/pr/men/ready-to-wear-for-men/tracksuit-sweatshirts-for-men/gg-nylon-and-jersey-zip-jacket-p-768550XJG1Y4140</t>
        </is>
      </c>
      <c r="M2015" s="5">
        <f t="array" ref="M2015">_xlfn.IFS(J2015="NOTFOUND",I2015,J2015&gt;=I2015,J2015)</f>
        <v/>
      </c>
    </row>
    <row r="2016" ht="18" customHeight="1" s="16">
      <c r="A2016" s="5" t="n">
        <v>2015</v>
      </c>
      <c r="B2016" s="8" t="inlineStr">
        <is>
          <t>GU-4280</t>
        </is>
      </c>
      <c r="D2016" s="8" t="inlineStr">
        <is>
          <t>エンブロイダリー コットンジャージー スウェットシャツ</t>
        </is>
      </c>
      <c r="E2016" s="8" t="inlineStr">
        <is>
          <t>795510 XJG3O 1056</t>
        </is>
      </c>
      <c r="G2016" s="12" t="inlineStr">
        <is>
          <t>XS_S_M_L_XL</t>
        </is>
      </c>
      <c r="H2016" s="17" t="inlineStr">
        <is>
          <t>XS_S_M_L_XL</t>
        </is>
      </c>
      <c r="I2016" s="18" t="n">
        <v>176000</v>
      </c>
      <c r="J2016" s="19" t="n">
        <v>176000</v>
      </c>
      <c r="K2016" s="20" t="n">
        <v>5</v>
      </c>
      <c r="L2016" s="4" t="inlineStr">
        <is>
          <t>https://www.gucci.com/jp/ja/pr/men/ready-to-wear-for-men/tracksuit-sweatshirts-for-men/cotton-jersey-sweatshirt-with-embroidery-p-795510XJG3O1056</t>
        </is>
      </c>
      <c r="M2016" s="5">
        <f t="array" ref="M2016">_xlfn.IFS(J2016="NOTFOUND",I2016,J2016&gt;=I2016,J2016)</f>
        <v/>
      </c>
    </row>
    <row r="2017" ht="18" customHeight="1" s="16">
      <c r="A2017" s="5" t="n">
        <v>2016</v>
      </c>
      <c r="B2017" s="8" t="inlineStr">
        <is>
          <t>GU-4281</t>
        </is>
      </c>
      <c r="D2017" s="8" t="inlineStr">
        <is>
          <t>エンブロイダリー コットン フーデッド スウェットシャツ</t>
        </is>
      </c>
      <c r="E2017" s="8" t="inlineStr">
        <is>
          <t>814834 XJG3N 9692</t>
        </is>
      </c>
      <c r="G2017" s="12" t="inlineStr">
        <is>
          <t>XXS_XS_S_M_L_XL</t>
        </is>
      </c>
      <c r="H2017" s="17" t="inlineStr">
        <is>
          <t>XXS_XS_S_M_L_XL</t>
        </is>
      </c>
      <c r="I2017" s="18" t="n">
        <v>203500</v>
      </c>
      <c r="J2017" s="19" t="n">
        <v>203500</v>
      </c>
      <c r="K2017" s="20" t="n">
        <v>5</v>
      </c>
      <c r="L2017" s="4" t="inlineStr">
        <is>
          <t>https://www.gucci.com/jp/ja/pr/men/ready-to-wear-for-men/tracksuit-sweatshirts-for-men/tops-for-men/embroidered-cotton-hooded-sweatshirt-p-814834XJG3N9692</t>
        </is>
      </c>
      <c r="M2017" s="5">
        <f t="array" ref="M2017">_xlfn.IFS(J2017="NOTFOUND",I2017,J2017&gt;=I2017,J2017)</f>
        <v/>
      </c>
    </row>
    <row r="2018" ht="18" customHeight="1" s="16">
      <c r="A2018" s="5" t="n">
        <v>2017</v>
      </c>
      <c r="B2018" s="8" t="inlineStr">
        <is>
          <t>GU-4282</t>
        </is>
      </c>
      <c r="D2018" s="8" t="inlineStr">
        <is>
          <t>プリント ジャージー ジップ スウェットシャツ</t>
        </is>
      </c>
      <c r="E2018" s="8" t="inlineStr">
        <is>
          <t>819275 XJG2I 1000</t>
        </is>
      </c>
      <c r="G2018" s="12" t="inlineStr">
        <is>
          <t>XXS_XS_S_M_XL</t>
        </is>
      </c>
      <c r="H2018" s="17" t="inlineStr">
        <is>
          <t>XXS_XS_S_M_L_XL_XXL</t>
        </is>
      </c>
      <c r="I2018" s="18" t="n">
        <v>297000</v>
      </c>
      <c r="J2018" s="19" t="n">
        <v>297000</v>
      </c>
      <c r="K2018" s="20" t="n">
        <v>5</v>
      </c>
      <c r="L2018" s="4" t="inlineStr">
        <is>
          <t>https://www.gucci.com/jp/ja/pr/men/ready-to-wear-for-men/tracksuit-sweatshirts-for-men/printed-jersey-zip-sweatshirt-p-819275XJG2I1000</t>
        </is>
      </c>
      <c r="M2018" s="5">
        <f t="array" ref="M2018">_xlfn.IFS(J2018="NOTFOUND",I2018,J2018&gt;=I2018,J2018)</f>
        <v/>
      </c>
    </row>
    <row r="2019" ht="18" customHeight="1" s="16">
      <c r="A2019" s="5" t="n">
        <v>2018</v>
      </c>
      <c r="B2019" s="8" t="inlineStr">
        <is>
          <t>GU-4283</t>
        </is>
      </c>
      <c r="D2019" s="8" t="inlineStr">
        <is>
          <t>エンブロイダリー コットンジャージー フーデッド スウェットシャツ</t>
        </is>
      </c>
      <c r="E2019" s="8" t="inlineStr">
        <is>
          <t>788771 XJG4A 1000</t>
        </is>
      </c>
      <c r="G2019" s="12" t="inlineStr">
        <is>
          <t>XXS_XS_S_M</t>
        </is>
      </c>
      <c r="H2019" s="17" t="inlineStr">
        <is>
          <t>XXS_XS_S_M</t>
        </is>
      </c>
      <c r="I2019" s="18" t="n">
        <v>203500</v>
      </c>
      <c r="J2019" s="19" t="n">
        <v>203500</v>
      </c>
      <c r="K2019" s="20" t="n">
        <v>5</v>
      </c>
      <c r="L2019" s="4" t="inlineStr">
        <is>
          <t>https://www.gucci.com/jp/ja/pr/men/ready-to-wear-for-men/tracksuit-sweatshirts-for-men/cotton-jersey-hooded-sweatshirt-with-embroidery-p-788771XJG4A1000</t>
        </is>
      </c>
      <c r="M2019" s="5">
        <f t="array" ref="M2019">_xlfn.IFS(J2019="NOTFOUND",I2019,J2019&gt;=I2019,J2019)</f>
        <v/>
      </c>
    </row>
    <row r="2020" ht="18" customHeight="1" s="16">
      <c r="A2020" s="5" t="n">
        <v>2019</v>
      </c>
      <c r="B2020" s="8" t="inlineStr">
        <is>
          <t>GU-4284</t>
        </is>
      </c>
      <c r="D2020" s="8" t="inlineStr">
        <is>
          <t>GG ネオプレン ジップジャケット</t>
        </is>
      </c>
      <c r="E2020" s="8" t="inlineStr">
        <is>
          <t>817726 XJG4X 1136</t>
        </is>
      </c>
      <c r="G2020" s="12" t="inlineStr">
        <is>
          <t>XS_S_M_L</t>
        </is>
      </c>
      <c r="H2020" s="17" t="inlineStr">
        <is>
          <t>XS_S_M_L</t>
        </is>
      </c>
      <c r="I2020" s="18" t="n">
        <v>368500</v>
      </c>
      <c r="J2020" s="19" t="n">
        <v>368500</v>
      </c>
      <c r="K2020" s="20" t="n">
        <v>5</v>
      </c>
      <c r="L2020" s="4" t="inlineStr">
        <is>
          <t>https://www.gucci.com/jp/ja/pr/men/ready-to-wear-for-men/tracksuit-sweatshirts-for-men/gg-neoprene-zip-jacket-p-817726XJG4X1136</t>
        </is>
      </c>
      <c r="M2020" s="5">
        <f t="array" ref="M2020">_xlfn.IFS(J2020="NOTFOUND",I2020,J2020&gt;=I2020,J2020)</f>
        <v/>
      </c>
    </row>
    <row r="2021" ht="18" customHeight="1" s="16">
      <c r="A2021" s="5" t="n">
        <v>2020</v>
      </c>
      <c r="B2021" s="8" t="inlineStr">
        <is>
          <t>GU-4285</t>
        </is>
      </c>
      <c r="D2021" s="8" t="inlineStr">
        <is>
          <t>コットンジャージー プリント フーデッド スウェットシャツ</t>
        </is>
      </c>
      <c r="E2021" s="8" t="inlineStr">
        <is>
          <t>788771 XJG59 4735</t>
        </is>
      </c>
      <c r="G2021" s="12" t="inlineStr">
        <is>
          <t>XXS_XS_S_M_L_XL_XXL</t>
        </is>
      </c>
      <c r="H2021" s="17" t="inlineStr">
        <is>
          <t>XXS_XS_S_M_L_XL_XXL</t>
        </is>
      </c>
      <c r="I2021" s="18" t="n">
        <v>176000</v>
      </c>
      <c r="J2021" s="19" t="n">
        <v>176000</v>
      </c>
      <c r="K2021" s="20" t="n">
        <v>5</v>
      </c>
      <c r="L2021" s="4" t="inlineStr">
        <is>
          <t>https://www.gucci.com/jp/ja/pr/men/ready-to-wear-for-men/tracksuit-sweatshirts-for-men/printed-cotton-jersey-hooded-sweatshirt-p-788771XJG594735</t>
        </is>
      </c>
      <c r="M2021" s="5">
        <f t="array" ref="M2021">_xlfn.IFS(J2021="NOTFOUND",I2021,J2021&gt;=I2021,J2021)</f>
        <v/>
      </c>
    </row>
    <row r="2022" ht="18" customHeight="1" s="16">
      <c r="A2022" s="5" t="n">
        <v>2021</v>
      </c>
      <c r="B2022" s="8" t="inlineStr">
        <is>
          <t>GU-4286</t>
        </is>
      </c>
      <c r="D2022" s="8" t="inlineStr">
        <is>
          <t>テクニカルナイロン ジャージー スウェットシャツ</t>
        </is>
      </c>
      <c r="E2022" s="8" t="inlineStr">
        <is>
          <t>788771 XJG2D 4003</t>
        </is>
      </c>
      <c r="G2022" s="12" t="inlineStr">
        <is>
          <t>XXS_XS_S_M_L_XL_XXL</t>
        </is>
      </c>
      <c r="H2022" s="17" t="inlineStr">
        <is>
          <t>XXS_XS_S_M_L_XL_XXL</t>
        </is>
      </c>
      <c r="I2022" s="18" t="n">
        <v>203500</v>
      </c>
      <c r="J2022" s="19" t="n">
        <v>203500</v>
      </c>
      <c r="K2022" s="20" t="n">
        <v>5</v>
      </c>
      <c r="L2022" s="4" t="inlineStr">
        <is>
          <t>https://www.gucci.com/jp/ja/pr/men/ready-to-wear-for-men/tracksuit-sweatshirts-for-men/tops-for-men/technical-nylon-jersey-sweatshirt-p-788771XJG2D4003</t>
        </is>
      </c>
      <c r="M2022" s="5">
        <f t="array" ref="M2022">_xlfn.IFS(J2022="NOTFOUND",I2022,J2022&gt;=I2022,J2022)</f>
        <v/>
      </c>
    </row>
    <row r="2023" ht="18" customHeight="1" s="16">
      <c r="A2023" s="5" t="n">
        <v>2022</v>
      </c>
      <c r="B2023" s="8" t="inlineStr">
        <is>
          <t>GU-4287</t>
        </is>
      </c>
      <c r="D2023" s="8" t="inlineStr">
        <is>
          <t>コットンジャージー フーデッド スウェットシャツ</t>
        </is>
      </c>
      <c r="E2023" s="8" t="inlineStr">
        <is>
          <t>795419 XJGQH 1056</t>
        </is>
      </c>
      <c r="G2023" s="12" t="inlineStr">
        <is>
          <t>M_L_XL_XXL</t>
        </is>
      </c>
      <c r="H2023" s="17" t="inlineStr">
        <is>
          <t>M_L_XL_XXL</t>
        </is>
      </c>
      <c r="I2023" s="18" t="n">
        <v>253000</v>
      </c>
      <c r="J2023" s="19" t="n">
        <v>253000</v>
      </c>
      <c r="K2023" s="20" t="n">
        <v>5</v>
      </c>
      <c r="L2023" s="4" t="inlineStr">
        <is>
          <t>https://www.gucci.com/jp/ja/pr/men/ready-to-wear-for-men/tracksuit-sweatshirts-for-men/cotton-jersey-hooded-sweatshirt-p-795419XJGQH1056</t>
        </is>
      </c>
      <c r="M2023" s="5">
        <f t="array" ref="M2023">_xlfn.IFS(J2023="NOTFOUND",I2023,J2023&gt;=I2023,J2023)</f>
        <v/>
      </c>
    </row>
    <row r="2024" ht="18" customHeight="1" s="16">
      <c r="A2024" s="5" t="n">
        <v>2023</v>
      </c>
      <c r="B2024" s="8" t="inlineStr">
        <is>
          <t>GU-4288</t>
        </is>
      </c>
      <c r="D2024" s="8" t="inlineStr">
        <is>
          <t>コットンジャージー フーデッド スウェットシャツ</t>
        </is>
      </c>
      <c r="E2024" s="8" t="inlineStr">
        <is>
          <t>788090 XJGJ7 1043</t>
        </is>
      </c>
      <c r="G2024" s="12" t="inlineStr">
        <is>
          <t>XS_S_M_L_XL_XXL</t>
        </is>
      </c>
      <c r="H2024" s="17" t="inlineStr">
        <is>
          <t>XS_S_M_L_XL_XXL</t>
        </is>
      </c>
      <c r="I2024" s="18" t="n">
        <v>187000</v>
      </c>
      <c r="J2024" s="19" t="n">
        <v>187000</v>
      </c>
      <c r="K2024" s="20" t="n">
        <v>5</v>
      </c>
      <c r="L2024" s="4" t="inlineStr">
        <is>
          <t>https://www.gucci.com/jp/ja/pr/men/ready-to-wear-for-men/tracksuit-sweatshirts-for-men/cotton-jersey-hooded-sweatshirt-p-788090XJGJ71043</t>
        </is>
      </c>
      <c r="M2024" s="5">
        <f t="array" ref="M2024">_xlfn.IFS(J2024="NOTFOUND",I2024,J2024&gt;=I2024,J2024)</f>
        <v/>
      </c>
    </row>
    <row r="2025" ht="18" customHeight="1" s="16">
      <c r="A2025" s="5" t="n">
        <v>2024</v>
      </c>
      <c r="B2025" s="8" t="inlineStr">
        <is>
          <t>GU-4289</t>
        </is>
      </c>
      <c r="D2025" s="8" t="inlineStr">
        <is>
          <t>プリント ネオプレン ジップジャケット</t>
        </is>
      </c>
      <c r="E2025" s="8" t="inlineStr">
        <is>
          <t>834116 XJHD8 4804</t>
        </is>
      </c>
      <c r="G2025" s="12" t="inlineStr">
        <is>
          <t>XS_S_M</t>
        </is>
      </c>
      <c r="H2025" s="17" t="inlineStr">
        <is>
          <t>XS_S_M</t>
        </is>
      </c>
      <c r="I2025" s="18" t="n">
        <v>500500</v>
      </c>
      <c r="J2025" s="19" t="n">
        <v>500500</v>
      </c>
      <c r="K2025" s="20" t="n">
        <v>5</v>
      </c>
      <c r="L2025" s="4" t="inlineStr">
        <is>
          <t>https://www.gucci.com/jp/ja/pr/whats-new/gucci-summer-collection-for-men/ready-to-wear/printed-neoprene-zip-jacket-p-834116XJHD84804</t>
        </is>
      </c>
      <c r="M2025" s="5">
        <f t="array" ref="M2025">_xlfn.IFS(J2025="NOTFOUND",I2025,J2025&gt;=I2025,J2025)</f>
        <v/>
      </c>
    </row>
    <row r="2026" ht="18" customHeight="1" s="16">
      <c r="A2026" s="5" t="n">
        <v>2025</v>
      </c>
      <c r="B2026" s="8" t="inlineStr">
        <is>
          <t>GU-4290</t>
        </is>
      </c>
      <c r="D2026" s="8" t="inlineStr">
        <is>
          <t>GGナイロン＆コットン ポロシャツ</t>
        </is>
      </c>
      <c r="E2026" s="8" t="inlineStr">
        <is>
          <t>806242 XJG5Q 9000</t>
        </is>
      </c>
      <c r="G2026" s="12" t="inlineStr">
        <is>
          <t>XXS_XS_S_M_L_XL_XXL</t>
        </is>
      </c>
      <c r="H2026" s="17" t="inlineStr">
        <is>
          <t>XXS_XS_S_M_L_XL_XXL</t>
        </is>
      </c>
      <c r="I2026" s="18" t="n">
        <v>170500</v>
      </c>
      <c r="J2026" s="19" t="n">
        <v>170500</v>
      </c>
      <c r="K2026" s="20" t="n">
        <v>5</v>
      </c>
      <c r="L2026" s="4" t="inlineStr">
        <is>
          <t>https://www.gucci.com/jp/ja/pr/men/ready-to-wear-for-men/tracksuit-sweatshirts-for-men/gg-nylon-and-cotton-polo-shirt-p-806242XJG5Q9000</t>
        </is>
      </c>
      <c r="M2026" s="5">
        <f t="array" ref="M2026">_xlfn.IFS(J2026="NOTFOUND",I2026,J2026&gt;=I2026,J2026)</f>
        <v/>
      </c>
    </row>
    <row r="2027" ht="18" customHeight="1" s="16">
      <c r="A2027" s="5" t="n">
        <v>2026</v>
      </c>
      <c r="B2027" s="8" t="inlineStr">
        <is>
          <t>GU-4291</t>
        </is>
      </c>
      <c r="D2027" s="8" t="inlineStr">
        <is>
          <t>プリント コットンジャージー スウェットシャツ</t>
        </is>
      </c>
      <c r="E2027" s="8" t="inlineStr">
        <is>
          <t>784413 XJGKQ 1152</t>
        </is>
      </c>
      <c r="G2027" s="12" t="inlineStr">
        <is>
          <t>XXS_XS_S_M_L</t>
        </is>
      </c>
      <c r="H2027" s="17" t="inlineStr">
        <is>
          <t>XXS_XS_S_M_L</t>
        </is>
      </c>
      <c r="I2027" s="18" t="n">
        <v>159500</v>
      </c>
      <c r="J2027" s="19" t="n">
        <v>159500</v>
      </c>
      <c r="K2027" s="20" t="n">
        <v>5</v>
      </c>
      <c r="L2027" s="4" t="inlineStr">
        <is>
          <t>https://www.gucci.com/jp/ja/pr/men/ready-to-wear-for-men/tracksuit-sweatshirts-for-men/cotton-jersey-printed-sweatshirt-p-784413XJGKQ1152</t>
        </is>
      </c>
      <c r="M2027" s="5">
        <f t="array" ref="M2027">_xlfn.IFS(J2027="NOTFOUND",I2027,J2027&gt;=I2027,J2027)</f>
        <v/>
      </c>
    </row>
    <row r="2028" ht="18" customHeight="1" s="16">
      <c r="A2028" s="5" t="n">
        <v>2027</v>
      </c>
      <c r="B2028" s="8" t="inlineStr">
        <is>
          <t>GU-4292</t>
        </is>
      </c>
      <c r="D2028" s="8" t="inlineStr">
        <is>
          <t>コットンジャージー プリント フーデッド スウェットシャツ</t>
        </is>
      </c>
      <c r="E2028" s="8" t="inlineStr">
        <is>
          <t>788771 XJGKP 1048</t>
        </is>
      </c>
      <c r="G2028" s="12" t="inlineStr">
        <is>
          <t>XS_S_M_L_XL_XXL</t>
        </is>
      </c>
      <c r="H2028" s="17" t="inlineStr">
        <is>
          <t>XS_S_M_L_XL_XXL</t>
        </is>
      </c>
      <c r="I2028" s="18" t="n">
        <v>176000</v>
      </c>
      <c r="J2028" s="19" t="n">
        <v>176000</v>
      </c>
      <c r="K2028" s="20" t="n">
        <v>5</v>
      </c>
      <c r="L2028" s="4" t="inlineStr">
        <is>
          <t>https://www.gucci.com/jp/ja/pr/men/ready-to-wear-for-men/tracksuit-sweatshirts-for-men/tops-for-men/printed-cotton-jersey-hooded-sweatshirt-p-788771XJGKP1048</t>
        </is>
      </c>
      <c r="M2028" s="5">
        <f t="array" ref="M2028">_xlfn.IFS(J2028="NOTFOUND",I2028,J2028&gt;=I2028,J2028)</f>
        <v/>
      </c>
    </row>
    <row r="2029" ht="18" customHeight="1" s="16">
      <c r="A2029" s="5" t="n">
        <v>2028</v>
      </c>
      <c r="B2029" s="8" t="inlineStr">
        <is>
          <t>GU-4293</t>
        </is>
      </c>
      <c r="D2029" s="8" t="inlineStr">
        <is>
          <t>テクニカルジャージー フーデッド スウェットシャツ</t>
        </is>
      </c>
      <c r="E2029" s="8" t="inlineStr">
        <is>
          <t>787939 XJGJ5 1010</t>
        </is>
      </c>
      <c r="G2029" s="12" t="inlineStr">
        <is>
          <t>XXS_XS_S_M_L_XL</t>
        </is>
      </c>
      <c r="H2029" s="17" t="inlineStr">
        <is>
          <t>XXS_XS_S_M_L_XL</t>
        </is>
      </c>
      <c r="I2029" s="18" t="n">
        <v>253000</v>
      </c>
      <c r="J2029" s="19" t="n">
        <v>253000</v>
      </c>
      <c r="K2029" s="20" t="n">
        <v>5</v>
      </c>
      <c r="L2029" s="4" t="inlineStr">
        <is>
          <t>https://www.gucci.com/jp/ja/pr/men/ready-to-wear-for-men/tracksuit-sweatshirts-for-men/tops-for-men/technical-jersey-hooded-sweatshirt-p-787939XJGJ51010</t>
        </is>
      </c>
      <c r="M2029" s="5">
        <f t="array" ref="M2029">_xlfn.IFS(J2029="NOTFOUND",I2029,J2029&gt;=I2029,J2029)</f>
        <v/>
      </c>
    </row>
    <row r="2030" ht="18" customHeight="1" s="16">
      <c r="A2030" s="5" t="n">
        <v>2029</v>
      </c>
      <c r="B2030" s="8" t="inlineStr">
        <is>
          <t>GU-4294</t>
        </is>
      </c>
      <c r="D2030" s="8" t="inlineStr">
        <is>
          <t>エンブロイダリー付き ジャージー ジップジャケット</t>
        </is>
      </c>
      <c r="E2030" s="8" t="inlineStr">
        <is>
          <t>814185 XJG1Z 1000</t>
        </is>
      </c>
      <c r="G2030" s="12" t="inlineStr">
        <is>
          <t>XS_S_M_L_XL_XXL</t>
        </is>
      </c>
      <c r="H2030" s="17" t="inlineStr">
        <is>
          <t>XS_S_M_L_XL_XXL</t>
        </is>
      </c>
      <c r="I2030" s="18" t="n">
        <v>319000</v>
      </c>
      <c r="J2030" s="19" t="n">
        <v>319000</v>
      </c>
      <c r="K2030" s="20" t="n">
        <v>5</v>
      </c>
      <c r="L2030" s="4" t="inlineStr">
        <is>
          <t>https://www.gucci.com/jp/ja/pr/men/ready-to-wear-for-men/tracksuit-sweatshirts-for-men/embroidered-jersey-zip-jacket-p-814185XJG1Z1000</t>
        </is>
      </c>
      <c r="M2030" s="5">
        <f t="array" ref="M2030">_xlfn.IFS(J2030="NOTFOUND",I2030,J2030&gt;=I2030,J2030)</f>
        <v/>
      </c>
    </row>
    <row r="2031" ht="18" customHeight="1" s="16">
      <c r="A2031" s="5" t="n">
        <v>2030</v>
      </c>
      <c r="B2031" s="8" t="inlineStr">
        <is>
          <t>GU-4295</t>
        </is>
      </c>
      <c r="D2031" s="8" t="inlineStr">
        <is>
          <t>ウェブ ストライプ テクニカルジャージー ジップジャケット</t>
        </is>
      </c>
      <c r="E2031" s="8" t="inlineStr">
        <is>
          <t>795071 XJGRV 2270</t>
        </is>
      </c>
      <c r="G2031" s="12" t="inlineStr">
        <is>
          <t>XS_S_M_L_XL_XXL</t>
        </is>
      </c>
      <c r="H2031" s="17" t="inlineStr">
        <is>
          <t>XS_S_M_L_XL_XXL</t>
        </is>
      </c>
      <c r="I2031" s="18" t="n">
        <v>374000</v>
      </c>
      <c r="J2031" s="19" t="n">
        <v>374000</v>
      </c>
      <c r="K2031" s="20" t="n">
        <v>5</v>
      </c>
      <c r="L2031" s="4" t="inlineStr">
        <is>
          <t>https://www.gucci.com/jp/ja/pr/men/ready-to-wear-for-men/tracksuit-sweatshirts-for-men/technical-jersey-zip-jacket-with-web-p-795071XJGRV2270</t>
        </is>
      </c>
      <c r="M2031" s="5">
        <f t="array" ref="M2031">_xlfn.IFS(J2031="NOTFOUND",I2031,J2031&gt;=I2031,J2031)</f>
        <v/>
      </c>
    </row>
    <row r="2032" ht="18" customHeight="1" s="16">
      <c r="A2032" s="5" t="n">
        <v>2031</v>
      </c>
      <c r="B2032" s="8" t="inlineStr">
        <is>
          <t>GU-4296</t>
        </is>
      </c>
      <c r="D2032" s="8" t="inlineStr">
        <is>
          <t>プリント付き コットンジャージー スウェットシャツ</t>
        </is>
      </c>
      <c r="E2032" s="8" t="inlineStr">
        <is>
          <t>784413 XJG59 9074</t>
        </is>
      </c>
      <c r="G2032" s="12" t="inlineStr">
        <is>
          <t>XXS_XS_S_M_L_XL_XXL</t>
        </is>
      </c>
      <c r="H2032" s="17" t="inlineStr">
        <is>
          <t>XXS_XS_S_M_L_XL_XXL</t>
        </is>
      </c>
      <c r="I2032" s="18" t="n">
        <v>159500</v>
      </c>
      <c r="J2032" s="19" t="n">
        <v>159500</v>
      </c>
      <c r="K2032" s="20" t="n">
        <v>5</v>
      </c>
      <c r="L2032" s="4" t="inlineStr">
        <is>
          <t>https://www.gucci.com/jp/ja/pr/men/ready-to-wear-for-men/tracksuit-sweatshirts-for-men/cotton-jersey-sweatshirt-with-print-p-784413XJG599074</t>
        </is>
      </c>
      <c r="M2032" s="5">
        <f t="array" ref="M2032">_xlfn.IFS(J2032="NOTFOUND",I2032,J2032&gt;=I2032,J2032)</f>
        <v/>
      </c>
    </row>
    <row r="2033" ht="18" customHeight="1" s="16">
      <c r="A2033" s="5" t="n">
        <v>2032</v>
      </c>
      <c r="B2033" s="8" t="inlineStr">
        <is>
          <t>GU-4297</t>
        </is>
      </c>
      <c r="D2033" s="8" t="inlineStr">
        <is>
          <t>ロゴ ダブル コットンジャージー スウェットシャツ</t>
        </is>
      </c>
      <c r="E2033" s="8" t="inlineStr">
        <is>
          <t>795470 XJG2F 1043</t>
        </is>
      </c>
      <c r="G2033" s="12" t="inlineStr">
        <is>
          <t>XXS_XS_S_M_L_XL_XXL</t>
        </is>
      </c>
      <c r="H2033" s="17" t="inlineStr">
        <is>
          <t>XXS_XS_S_M_L_XL_XXL</t>
        </is>
      </c>
      <c r="I2033" s="18" t="n">
        <v>236500</v>
      </c>
      <c r="J2033" s="19" t="n">
        <v>236500</v>
      </c>
      <c r="K2033" s="20" t="n">
        <v>5</v>
      </c>
      <c r="L2033" s="4" t="inlineStr">
        <is>
          <t>https://www.gucci.com/jp/ja/pr/men/ready-to-wear-for-men/tracksuit-sweatshirts-for-men/tops-for-men/double-cotton-jersey-sweatshirt-with-logo-p-795470XJG2F1043</t>
        </is>
      </c>
      <c r="M2033" s="5">
        <f t="array" ref="M2033">_xlfn.IFS(J2033="NOTFOUND",I2033,J2033&gt;=I2033,J2033)</f>
        <v/>
      </c>
    </row>
    <row r="2034" ht="18" customHeight="1" s="16">
      <c r="A2034" s="5" t="n">
        <v>2033</v>
      </c>
      <c r="B2034" s="8" t="inlineStr">
        <is>
          <t>GU-4298</t>
        </is>
      </c>
      <c r="D2034" s="8" t="inlineStr">
        <is>
          <t>GGジャージージャカード ジップジャケット</t>
        </is>
      </c>
      <c r="E2034" s="8" t="inlineStr">
        <is>
          <t>768550 XJHFV 3266</t>
        </is>
      </c>
      <c r="G2034" s="12" t="inlineStr">
        <is>
          <t>XS_S_M_L_XL_XXL</t>
        </is>
      </c>
      <c r="H2034" s="17" t="inlineStr">
        <is>
          <t>XS_S_M_L_XL</t>
        </is>
      </c>
      <c r="I2034" s="18" t="n">
        <v>275000</v>
      </c>
      <c r="J2034" s="19" t="n">
        <v>275000</v>
      </c>
      <c r="K2034" s="20" t="n">
        <v>5</v>
      </c>
      <c r="L2034" s="4" t="inlineStr">
        <is>
          <t>https://www.gucci.com/jp/ja/pr/men/ready-to-wear-for-men/tracksuit-sweatshirts-for-men/tops-for-men/gg-jersey-jacquard-zip-jacket-p-768550XJHFV3266</t>
        </is>
      </c>
      <c r="M2034" s="5">
        <f t="array" ref="M2034">_xlfn.IFS(J2034="NOTFOUND",I2034,J2034&gt;=I2034,J2034)</f>
        <v/>
      </c>
    </row>
    <row r="2035" ht="18" customHeight="1" s="16">
      <c r="A2035" s="5" t="n">
        <v>2034</v>
      </c>
      <c r="B2035" s="8" t="inlineStr">
        <is>
          <t>GU-4299</t>
        </is>
      </c>
      <c r="D2035" s="8" t="inlineStr">
        <is>
          <t>コットンジャージー スウェットシャツ</t>
        </is>
      </c>
      <c r="E2035" s="8" t="inlineStr">
        <is>
          <t>828361 XJHC0 3266</t>
        </is>
      </c>
      <c r="G2035" s="12" t="inlineStr">
        <is>
          <t>XS_S_M_L_XL</t>
        </is>
      </c>
      <c r="H2035" s="17" t="inlineStr">
        <is>
          <t>XS_S_M_L_XL</t>
        </is>
      </c>
      <c r="I2035" s="18" t="n">
        <v>258500</v>
      </c>
      <c r="J2035" s="19" t="n">
        <v>258500</v>
      </c>
      <c r="K2035" s="20" t="n">
        <v>5</v>
      </c>
      <c r="L2035" s="4" t="inlineStr">
        <is>
          <t>https://www.gucci.com/jp/ja/pr/men/ready-to-wear-for-men/tracksuit-sweatshirts-for-men/tops-for-men/cotton-jersey-sweatshirt-p-828361XJHC03266</t>
        </is>
      </c>
      <c r="M2035" s="5">
        <f t="array" ref="M2035">_xlfn.IFS(J2035="NOTFOUND",I2035,J2035&gt;=I2035,J2035)</f>
        <v/>
      </c>
    </row>
    <row r="2036" ht="18" customHeight="1" s="16">
      <c r="A2036" s="5" t="n">
        <v>2035</v>
      </c>
      <c r="B2036" s="8" t="inlineStr">
        <is>
          <t>GU-4300</t>
        </is>
      </c>
      <c r="D2036" s="8" t="inlineStr">
        <is>
          <t>エンブロイダリー コットンピケ ポロTシャツ</t>
        </is>
      </c>
      <c r="E2036" s="8" t="inlineStr">
        <is>
          <t>742380 XJGKU 3254</t>
        </is>
      </c>
      <c r="G2036" s="12" t="inlineStr">
        <is>
          <t>XS_S_M_L</t>
        </is>
      </c>
      <c r="H2036" s="17" t="inlineStr">
        <is>
          <t>XS_S_M_L_XXL</t>
        </is>
      </c>
      <c r="I2036" s="18" t="n">
        <v>165000</v>
      </c>
      <c r="J2036" s="19" t="n">
        <v>165000</v>
      </c>
      <c r="K2036" s="20" t="n">
        <v>5</v>
      </c>
      <c r="L2036" s="4" t="inlineStr">
        <is>
          <t>https://www.gucci.com/jp/ja/pr/men/ready-to-wear-for-men/t-shirts-and-polo-shirts-for-men/polo-shirts-for-men/cotton-piquet-polo-shirt-with-embroidery-p-742380XJGKU3254</t>
        </is>
      </c>
      <c r="M2036" s="5">
        <f t="array" ref="M2036">_xlfn.IFS(J2036="NOTFOUND",I2036,J2036&gt;=I2036,J2036)</f>
        <v/>
      </c>
    </row>
    <row r="2037" ht="18" customHeight="1" s="16">
      <c r="A2037" s="5" t="n">
        <v>2036</v>
      </c>
      <c r="B2037" s="8" t="inlineStr">
        <is>
          <t>GU-4301</t>
        </is>
      </c>
      <c r="D2037" s="8" t="inlineStr">
        <is>
          <t>コットンジャージー スウェットシャツ</t>
        </is>
      </c>
      <c r="E2037" s="8" t="inlineStr">
        <is>
          <t>784413 XJGKQ 9082</t>
        </is>
      </c>
      <c r="G2037" s="12" t="inlineStr">
        <is>
          <t>XS_S_M_L_XL_XXL</t>
        </is>
      </c>
      <c r="H2037" s="17" t="inlineStr">
        <is>
          <t>XS_S_M_L_XL_XXL</t>
        </is>
      </c>
      <c r="I2037" s="18" t="n">
        <v>159500</v>
      </c>
      <c r="J2037" s="19" t="n">
        <v>159500</v>
      </c>
      <c r="K2037" s="20" t="n">
        <v>5</v>
      </c>
      <c r="L2037" s="4" t="inlineStr">
        <is>
          <t>https://www.gucci.com/jp/ja/pr/men/ready-to-wear-for-men/tracksuit-sweatshirts-for-men/tops-for-men/cotton-jersey-sweatshirt-p-784413XJGKQ9082</t>
        </is>
      </c>
      <c r="M2037" s="5">
        <f t="array" ref="M2037">_xlfn.IFS(J2037="NOTFOUND",I2037,J2037&gt;=I2037,J2037)</f>
        <v/>
      </c>
    </row>
    <row r="2038" ht="18" customHeight="1" s="16">
      <c r="A2038" s="5" t="n">
        <v>2037</v>
      </c>
      <c r="B2038" s="8" t="inlineStr">
        <is>
          <t>GU-4302</t>
        </is>
      </c>
      <c r="D2038" s="8" t="inlineStr">
        <is>
          <t>コットンジャージー スウェットシャツ</t>
        </is>
      </c>
      <c r="E2038" s="8" t="inlineStr">
        <is>
          <t>784413 XJGKR 8011</t>
        </is>
      </c>
      <c r="G2038" s="12" t="inlineStr">
        <is>
          <t>XS_S_M_L_XL</t>
        </is>
      </c>
      <c r="H2038" s="17" t="inlineStr">
        <is>
          <t>XS_S_M_L_XL_XXL</t>
        </is>
      </c>
      <c r="I2038" s="18" t="n">
        <v>159500</v>
      </c>
      <c r="J2038" s="19" t="n">
        <v>159500</v>
      </c>
      <c r="K2038" s="20" t="n">
        <v>5</v>
      </c>
      <c r="L2038" s="4" t="inlineStr">
        <is>
          <t>https://www.gucci.com/jp/ja/pr/men/ready-to-wear-for-men/tracksuit-sweatshirts-for-men/tops-for-men/cotton-jersey-sweatshirt-p-784413XJGKR8011</t>
        </is>
      </c>
      <c r="M2038" s="5">
        <f t="array" ref="M2038">_xlfn.IFS(J2038="NOTFOUND",I2038,J2038&gt;=I2038,J2038)</f>
        <v/>
      </c>
    </row>
    <row r="2039" ht="18" customHeight="1" s="16">
      <c r="A2039" s="5" t="n">
        <v>2038</v>
      </c>
      <c r="B2039" s="8" t="inlineStr">
        <is>
          <t>GU-4303</t>
        </is>
      </c>
      <c r="D2039" s="8" t="inlineStr">
        <is>
          <t>エンブロイダリー入り コットンジャージー スウェットシャツ</t>
        </is>
      </c>
      <c r="E2039" s="8" t="inlineStr">
        <is>
          <t>768530 XJF67 4030</t>
        </is>
      </c>
      <c r="G2039" s="12" t="inlineStr">
        <is>
          <t>XS_S_M_L_XL</t>
        </is>
      </c>
      <c r="H2039" s="17" t="inlineStr">
        <is>
          <t>XS_S_M_L_XL</t>
        </is>
      </c>
      <c r="I2039" s="18" t="n">
        <v>165000</v>
      </c>
      <c r="J2039" s="19" t="n">
        <v>165000</v>
      </c>
      <c r="K2039" s="20" t="n">
        <v>5</v>
      </c>
      <c r="L2039" s="4" t="inlineStr">
        <is>
          <t>https://www.gucci.com/jp/ja/pr/men/ready-to-wear-for-men/tracksuit-sweatshirts-for-men/cotton-jersey-sweatshirt-with-embroidery-p-768530XJF674030</t>
        </is>
      </c>
      <c r="M2039" s="5">
        <f t="array" ref="M2039">_xlfn.IFS(J2039="NOTFOUND",I2039,J2039&gt;=I2039,J2039)</f>
        <v/>
      </c>
    </row>
    <row r="2040" ht="18" customHeight="1" s="16">
      <c r="A2040" s="5" t="n">
        <v>2039</v>
      </c>
      <c r="B2040" s="8" t="inlineStr">
        <is>
          <t>GU-4304</t>
        </is>
      </c>
      <c r="D2040" s="8" t="inlineStr">
        <is>
          <t>コットンジャージー フーデッド スウェットシャツ</t>
        </is>
      </c>
      <c r="E2040" s="8" t="inlineStr">
        <is>
          <t>788090 XJGJ7 9692</t>
        </is>
      </c>
      <c r="G2040" s="12" t="inlineStr">
        <is>
          <t>XXS_XS_S_M_L_XL</t>
        </is>
      </c>
      <c r="H2040" s="17" t="inlineStr">
        <is>
          <t>XXS_XS_S_M_L_XL</t>
        </is>
      </c>
      <c r="I2040" s="18" t="n">
        <v>187000</v>
      </c>
      <c r="J2040" s="19" t="n">
        <v>187000</v>
      </c>
      <c r="K2040" s="20" t="n">
        <v>5</v>
      </c>
      <c r="L2040" s="4" t="inlineStr">
        <is>
          <t>https://www.gucci.com/jp/ja/pr/men/ready-to-wear-for-men/tracksuit-sweatshirts-for-men/cotton-jersey-hooded-sweatshirt-p-788090XJGJ79692</t>
        </is>
      </c>
      <c r="M2040" s="5">
        <f t="array" ref="M2040">_xlfn.IFS(J2040="NOTFOUND",I2040,J2040&gt;=I2040,J2040)</f>
        <v/>
      </c>
    </row>
    <row r="2041" ht="18" customHeight="1" s="16">
      <c r="A2041" s="5" t="n">
        <v>2040</v>
      </c>
      <c r="B2041" s="8" t="inlineStr">
        <is>
          <t>GU-4305</t>
        </is>
      </c>
      <c r="D2041" s="8" t="inlineStr">
        <is>
          <t>コットンジャージー フーデッド スウェットシャツ</t>
        </is>
      </c>
      <c r="E2041" s="8" t="inlineStr">
        <is>
          <t>756649 XJFV9 9088</t>
        </is>
      </c>
      <c r="G2041" s="12" t="inlineStr">
        <is>
          <t>XXS_XS_S_M_L_XL_XXL</t>
        </is>
      </c>
      <c r="H2041" s="17" t="inlineStr">
        <is>
          <t>XXS_XS_S_M_L_XL_XXL</t>
        </is>
      </c>
      <c r="I2041" s="18" t="n">
        <v>187000</v>
      </c>
      <c r="J2041" s="19" t="n">
        <v>187000</v>
      </c>
      <c r="K2041" s="20" t="n">
        <v>5</v>
      </c>
      <c r="L2041" s="4" t="inlineStr">
        <is>
          <t>https://www.gucci.com/jp/ja/pr/men/ready-to-wear-for-men/tracksuit-sweatshirts-for-men/cotton-jersey-hooded-sweatshirt-p-756649XJFV99088</t>
        </is>
      </c>
      <c r="M2041" s="5">
        <f t="array" ref="M2041">_xlfn.IFS(J2041="NOTFOUND",I2041,J2041&gt;=I2041,J2041)</f>
        <v/>
      </c>
    </row>
    <row r="2042" ht="18" customHeight="1" s="16">
      <c r="A2042" s="5" t="n">
        <v>2041</v>
      </c>
      <c r="B2042" s="8" t="inlineStr">
        <is>
          <t>GU-4306</t>
        </is>
      </c>
      <c r="D2042" s="8" t="inlineStr">
        <is>
          <t>コットンジャージー フーデッド スウェットシャツ</t>
        </is>
      </c>
      <c r="E2042" s="8" t="inlineStr">
        <is>
          <t>756649 XJFWA 1037</t>
        </is>
      </c>
      <c r="G2042" s="12" t="inlineStr">
        <is>
          <t>XS_S_M_L_XL_XXL</t>
        </is>
      </c>
      <c r="H2042" s="17" t="inlineStr">
        <is>
          <t>XS_S_M_L_XL_XXL</t>
        </is>
      </c>
      <c r="I2042" s="18" t="n">
        <v>187000</v>
      </c>
      <c r="J2042" s="19" t="n">
        <v>187000</v>
      </c>
      <c r="K2042" s="20" t="n">
        <v>5</v>
      </c>
      <c r="L2042" s="4" t="inlineStr">
        <is>
          <t>https://www.gucci.com/jp/ja/pr/men/ready-to-wear-for-men/tracksuit-sweatshirts-for-men/tops-for-men/cotton-jersey-hooded-sweatshirt-p-756649XJFWA1037</t>
        </is>
      </c>
      <c r="M2042" s="5">
        <f t="array" ref="M2042">_xlfn.IFS(J2042="NOTFOUND",I2042,J2042&gt;=I2042,J2042)</f>
        <v/>
      </c>
    </row>
    <row r="2043" ht="18" customHeight="1" s="16">
      <c r="A2043" s="5" t="n">
        <v>2042</v>
      </c>
      <c r="B2043" s="8" t="inlineStr">
        <is>
          <t>GU-4307</t>
        </is>
      </c>
      <c r="D2043" s="8" t="inlineStr">
        <is>
          <t>ウェブ ストライプ付き ジャンボGG ジップジャケット</t>
        </is>
      </c>
      <c r="E2043" s="8" t="inlineStr">
        <is>
          <t>771619 XJF52 1155</t>
        </is>
      </c>
      <c r="G2043" s="12" t="inlineStr">
        <is>
          <t>XS_S_M_L_XL</t>
        </is>
      </c>
      <c r="H2043" s="17" t="inlineStr">
        <is>
          <t>XS_S_M_L_XL</t>
        </is>
      </c>
      <c r="I2043" s="18" t="n">
        <v>341000</v>
      </c>
      <c r="J2043" s="19" t="n">
        <v>341000</v>
      </c>
      <c r="K2043" s="20" t="n">
        <v>5</v>
      </c>
      <c r="L2043" s="4" t="inlineStr">
        <is>
          <t>https://www.gucci.com/jp/ja/pr/men/ready-to-wear-for-men/tracksuit-sweatshirts-for-men/jumbo-gg-zip-jacket-with-web-p-771619XJF521155</t>
        </is>
      </c>
      <c r="M2043" s="5">
        <f t="array" ref="M2043">_xlfn.IFS(J2043="NOTFOUND",I2043,J2043&gt;=I2043,J2043)</f>
        <v/>
      </c>
    </row>
    <row r="2044" ht="18" customHeight="1" s="16">
      <c r="A2044" s="5" t="n">
        <v>2043</v>
      </c>
      <c r="B2044" s="8" t="inlineStr">
        <is>
          <t>GU-4308</t>
        </is>
      </c>
      <c r="D2044" s="8" t="inlineStr">
        <is>
          <t>テクニカルジャージー ハーフジップジャケット</t>
        </is>
      </c>
      <c r="E2044" s="8" t="inlineStr">
        <is>
          <t>768614 XJF4A 1043</t>
        </is>
      </c>
      <c r="G2044" s="12" t="inlineStr">
        <is>
          <t>XXS_XS_S_M_L_XL</t>
        </is>
      </c>
      <c r="H2044" s="17" t="inlineStr">
        <is>
          <t>XXS_XS_S_M_L_XL</t>
        </is>
      </c>
      <c r="I2044" s="18" t="n">
        <v>242000</v>
      </c>
      <c r="J2044" s="19" t="n">
        <v>242000</v>
      </c>
      <c r="K2044" s="20" t="n">
        <v>5</v>
      </c>
      <c r="L2044" s="4" t="inlineStr">
        <is>
          <t>https://www.gucci.com/jp/ja/pr/men/ready-to-wear-for-men/tracksuit-sweatshirts-for-men/technical-jersey-half-zip-jacket-p-768614XJF4A1043</t>
        </is>
      </c>
      <c r="M2044" s="5">
        <f t="array" ref="M2044">_xlfn.IFS(J2044="NOTFOUND",I2044,J2044&gt;=I2044,J2044)</f>
        <v/>
      </c>
    </row>
    <row r="2045" ht="18" customHeight="1" s="16">
      <c r="A2045" s="5" t="n">
        <v>2044</v>
      </c>
      <c r="B2045" s="8" t="inlineStr">
        <is>
          <t>GU-4309</t>
        </is>
      </c>
      <c r="D2045" s="8" t="inlineStr">
        <is>
          <t>GGコットンジャージー ジャケット</t>
        </is>
      </c>
      <c r="E2045" s="8" t="inlineStr">
        <is>
          <t>695955 XJF41 4544</t>
        </is>
      </c>
      <c r="G2045" s="12" t="inlineStr">
        <is>
          <t>XS_S_M_L_XL_XXL</t>
        </is>
      </c>
      <c r="H2045" s="17" t="inlineStr">
        <is>
          <t>XS_S_M_L_XL</t>
        </is>
      </c>
      <c r="I2045" s="18" t="n">
        <v>269500</v>
      </c>
      <c r="J2045" s="19" t="n">
        <v>269500</v>
      </c>
      <c r="K2045" s="20" t="n">
        <v>5</v>
      </c>
      <c r="L2045" s="4" t="inlineStr">
        <is>
          <t>https://www.gucci.com/jp/ja/pr/men/ready-to-wear-for-men/tracksuit-sweatshirts-for-men/gg-jersey-cotton-jacket-p-695955XJF414544</t>
        </is>
      </c>
      <c r="M2045" s="5">
        <f t="array" ref="M2045">_xlfn.IFS(J2045="NOTFOUND",I2045,J2045&gt;=I2045,J2045)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hirofumi yamamoto</dc:creator>
  <dcterms:created xsi:type="dcterms:W3CDTF">2025-01-11T05:12:01Z</dcterms:created>
  <dcterms:modified xsi:type="dcterms:W3CDTF">2025-09-27T18:24:51Z</dcterms:modified>
  <cp:lastModifiedBy>矢代 房夫</cp:lastModifiedBy>
</cp:coreProperties>
</file>