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5" yWindow="510" windowWidth="27360" windowHeight="16770" tabRatio="600" firstSheet="0" activeTab="0" autoFilterDateGrouping="1"/>
  </bookViews>
  <sheets>
    <sheet name="在庫管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¥&quot;#,##0;[Red]&quot;¥&quot;\-#,##0"/>
  </numFmts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color rgb="FF0070C0"/>
      <sz val="11"/>
    </font>
    <font>
      <name val="ＭＳ Ｐゴシック"/>
      <charset val="128"/>
      <family val="3"/>
      <color rgb="FF000000"/>
      <sz val="11"/>
    </font>
    <font>
      <name val="ＭＳ Ｐゴシック"/>
      <charset val="128"/>
      <family val="3"/>
      <color rgb="FFFF0000"/>
      <sz val="11"/>
    </font>
    <font>
      <name val="游ゴシック"/>
      <charset val="128"/>
      <family val="2"/>
      <color theme="10"/>
      <sz val="11"/>
      <u val="single"/>
      <scheme val="minor"/>
    </font>
    <font>
      <name val="ＭＳ Ｐゴシック"/>
      <charset val="128"/>
      <family val="3"/>
      <sz val="11"/>
    </font>
    <font>
      <name val="ＭＳ Ｐゴシック"/>
      <charset val="128"/>
      <family val="3"/>
      <color rgb="FF000000"/>
      <sz val="11"/>
    </font>
    <font>
      <name val="ＭＳ Ｐゴシック"/>
      <charset val="128"/>
      <family val="3"/>
      <color rgb="FFFF000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color rgb="FF000000"/>
      <sz val="11"/>
    </font>
    <font>
      <name val="ＭＳ Ｐゴシック"/>
      <sz val="11"/>
    </font>
    <font>
      <name val="ＭＳ Ｐゴシック"/>
      <color rgb="00000000"/>
      <sz val="11"/>
    </font>
  </fonts>
  <fills count="4">
    <fill>
      <patternFill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6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center"/>
    </xf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7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pivotButton="0" quotePrefix="0" xfId="0"/>
    <xf numFmtId="0" fontId="11" fillId="0" borderId="0" applyAlignment="1" pivotButton="0" quotePrefix="0" xfId="0">
      <alignment horizontal="left"/>
    </xf>
    <xf numFmtId="164" fontId="2" fillId="0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164" fontId="2" fillId="0" borderId="0" pivotButton="0" quotePrefix="0" xfId="0"/>
    <xf numFmtId="0" fontId="13" fillId="0" borderId="0" pivotButton="0" quotePrefix="0" xfId="0"/>
    <xf numFmtId="0" fontId="12" fillId="0" borderId="0" pivotButton="0" quotePrefix="0" xfId="0"/>
  </cellXfs>
  <cellStyles count="2">
    <cellStyle name="標準" xfId="0" builtinId="0"/>
    <cellStyle name="ハイパーリンク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ucci.com/jp/ja/pr/men/ready-to-wear-for-men/shirts-for-men/long-slevees-for-men/embossed-cotton-poplin-shirt-p-823830Z7AMD2319" TargetMode="External" Id="rId1" /><Relationship Type="http://schemas.openxmlformats.org/officeDocument/2006/relationships/hyperlink" Target="https://www.gucci.com/jp/ja/pr/women/handbags/mini-bags-for-women/gg-marmont-mini-shoulder-bag-p-446744AADPJ6207" TargetMode="External" Id="rId2" /><Relationship Type="http://schemas.openxmlformats.org/officeDocument/2006/relationships/hyperlink" Target="https://www.gucci.com/jp/ja/pr/women/handbags/shoulder-bags-for-women/chain-bags-for-women/gg-marmont-small-multi-pocket-bag-p-795228AADPJ6207" TargetMode="External" Id="rId3" /><Relationship Type="http://schemas.openxmlformats.org/officeDocument/2006/relationships/hyperlink" Target="https://www.gucci.com/jp/ja/pr/men/ready-to-wear-for-men/shirts-for-men/long-slevees-for-men/cotton-poplin-shirt-p-823830Z7AMD1000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workbookViewId="0">
      <selection activeCell="J2" sqref="J2:K3"/>
    </sheetView>
  </sheetViews>
  <sheetFormatPr baseColWidth="8" defaultRowHeight="18" customHeight="1" outlineLevelCol="0"/>
  <cols>
    <col width="13.625" customWidth="1" style="3" min="1" max="1"/>
    <col width="13" customWidth="1" style="3" min="2" max="2"/>
    <col width="9" customWidth="1" style="6" min="3" max="3"/>
    <col width="19.25" customWidth="1" style="3" min="4" max="4"/>
    <col width="12.875" customWidth="1" style="3" min="5" max="5"/>
    <col width="13.75" customWidth="1" style="3" min="6" max="6"/>
    <col width="30.125" customWidth="1" style="3" min="7" max="7"/>
    <col width="56.625" customWidth="1" style="3" min="8" max="8"/>
    <col width="11.25" customWidth="1" style="3" min="9" max="9"/>
    <col width="12" customWidth="1" style="3" min="10" max="10"/>
    <col width="9" customWidth="1" style="6" min="11" max="30"/>
    <col width="9" customWidth="1" style="6" min="31" max="16384"/>
  </cols>
  <sheetData>
    <row r="1" ht="18" customHeight="1" s="18">
      <c r="B1" s="1" t="inlineStr">
        <is>
          <t>商品ID(大)</t>
        </is>
      </c>
      <c r="C1" s="1" t="n"/>
      <c r="D1" s="1" t="inlineStr">
        <is>
          <t>商品名</t>
        </is>
      </c>
      <c r="E1" s="1" t="inlineStr">
        <is>
          <t>品番</t>
        </is>
      </c>
      <c r="F1" s="1" t="inlineStr">
        <is>
          <t>カラー</t>
        </is>
      </c>
      <c r="G1" s="1" t="inlineStr">
        <is>
          <t>サイズ</t>
        </is>
      </c>
      <c r="H1" s="2" t="inlineStr">
        <is>
          <t>変更後サイズ</t>
        </is>
      </c>
      <c r="I1" s="1" t="inlineStr">
        <is>
          <t>仕入値</t>
        </is>
      </c>
      <c r="J1" s="2" t="inlineStr">
        <is>
          <t>変更後価格</t>
        </is>
      </c>
      <c r="K1" s="2" t="inlineStr">
        <is>
          <t>在庫数</t>
        </is>
      </c>
      <c r="L1" s="1" t="inlineStr">
        <is>
          <t>URL</t>
        </is>
      </c>
    </row>
    <row r="2" ht="18" customHeight="1" s="18">
      <c r="A2" s="6" t="n">
        <v>1972</v>
      </c>
      <c r="B2" s="3" t="inlineStr">
        <is>
          <t>GU-4230</t>
        </is>
      </c>
      <c r="D2" s="3" t="inlineStr">
        <is>
          <t>エンボス コットンポプリン シャツ</t>
        </is>
      </c>
      <c r="E2" s="3" t="inlineStr">
        <is>
          <t>823830 Z7AMD 2319</t>
        </is>
      </c>
      <c r="G2" s="4" t="inlineStr">
        <is>
          <t>44_46_48_50_52</t>
        </is>
      </c>
      <c r="H2" s="19" t="inlineStr">
        <is>
          <t>44_46_48_50_52</t>
        </is>
      </c>
      <c r="I2" s="20" t="n">
        <v>143000</v>
      </c>
      <c r="J2" s="21" t="n">
        <v>143000</v>
      </c>
      <c r="K2" s="22" t="n">
        <v>5</v>
      </c>
      <c r="L2" s="8" t="inlineStr">
        <is>
          <t>https://www.gucci.com/jp/ja/pr/men/ready-to-wear-for-men/shirts-for-men/long-slevees-for-men/embossed-cotton-poplin-shirt-p-823830Z7AMD2319</t>
        </is>
      </c>
      <c r="M2" s="6">
        <f t="array" ref="M2">_xlfn.IFS(J2="NOTFOUND",I2,J2&gt;=I2,J2)</f>
        <v/>
      </c>
    </row>
    <row r="3" ht="18" customHeight="1" s="18">
      <c r="A3" s="6" t="n">
        <v>1</v>
      </c>
      <c r="B3" s="6" t="inlineStr">
        <is>
          <t>GU-2253</t>
        </is>
      </c>
      <c r="D3" s="6" t="inlineStr">
        <is>
          <t>ジャッキー 1961 スモール ショルダーバッグ</t>
        </is>
      </c>
      <c r="E3" s="6" t="inlineStr">
        <is>
          <t>810232 AAD5V 6449</t>
        </is>
      </c>
      <c r="F3" s="6" t="inlineStr">
        <is>
          <t>グッチ ロッソ アンコーラ（深い赤）レザー</t>
        </is>
      </c>
      <c r="G3" s="4" t="n"/>
      <c r="H3" s="19" t="inlineStr">
        <is>
          <t>OneSize</t>
        </is>
      </c>
      <c r="I3" s="20" t="n">
        <v>495000</v>
      </c>
      <c r="J3" s="21" t="n">
        <v>539000</v>
      </c>
      <c r="K3" s="22" t="n">
        <v>5</v>
      </c>
      <c r="L3" s="7" t="inlineStr">
        <is>
          <t>https://www.gucci.com/jp/ja/pr/women/handbags/shoulder-bags-for-women/half-moon-bags-for-women/gucci-jackie-1961-small-shoulder-bag-p-810232AAD5V6449</t>
        </is>
      </c>
      <c r="M3" s="6">
        <f t="array" ref="M3">_xlfn.IFS(J3="NOTFOUND",I3,J3&gt;=I3,J3)</f>
        <v/>
      </c>
    </row>
    <row r="4" ht="18" customHeight="1" s="18">
      <c r="A4" s="6" t="n"/>
      <c r="G4" s="4" t="n"/>
      <c r="H4" s="9" t="n"/>
      <c r="I4" s="20" t="n"/>
      <c r="J4" s="10" t="n"/>
      <c r="K4" s="11" t="n"/>
      <c r="L4" s="8" t="n"/>
    </row>
    <row r="5" ht="18" customHeight="1" s="18">
      <c r="A5" s="6" t="n">
        <v>2</v>
      </c>
      <c r="B5" s="6" t="inlineStr">
        <is>
          <t>GU-2254</t>
        </is>
      </c>
      <c r="D5" s="6" t="inlineStr">
        <is>
          <t>ジャッキー 1961 スモール ショルダーバッグ</t>
        </is>
      </c>
      <c r="E5" s="6" t="inlineStr">
        <is>
          <t>810232 AAD5V 1541</t>
        </is>
      </c>
      <c r="F5" s="6" t="inlineStr">
        <is>
          <t>トープ レザー</t>
        </is>
      </c>
      <c r="G5" s="4" t="n"/>
      <c r="H5" s="9" t="inlineStr">
        <is>
          <t>OneSize</t>
        </is>
      </c>
      <c r="I5" s="20" t="n">
        <v>495000</v>
      </c>
      <c r="J5" s="10" t="n">
        <v>539000</v>
      </c>
      <c r="K5" s="11" t="n">
        <v>5</v>
      </c>
      <c r="L5" s="7" t="inlineStr">
        <is>
          <t>https://www.gucci.com/jp/ja/pr/women/handbags/shoulder-bags-for-women/half-moon-bags-for-women/gucci-jackie-1961-small-shoulder-bag-p-810232AAD5V1541</t>
        </is>
      </c>
      <c r="M5" s="6">
        <f t="array" ref="M5">_xlfn.IFS(J5="NOTFOUND",I5,J5&gt;=I5,J5)</f>
        <v/>
      </c>
    </row>
    <row r="6" ht="18" customHeight="1" s="18">
      <c r="A6" s="6" t="n">
        <v>3</v>
      </c>
      <c r="B6" s="6" t="inlineStr">
        <is>
          <t>GU-2255</t>
        </is>
      </c>
      <c r="D6" s="6" t="inlineStr">
        <is>
          <t>ジャッキー 1961 スモール ショルダーバッグ</t>
        </is>
      </c>
      <c r="E6" s="6" t="inlineStr">
        <is>
          <t>810232 AAD5V 1060</t>
        </is>
      </c>
      <c r="F6" s="6" t="inlineStr">
        <is>
          <t>ブラック レザー</t>
        </is>
      </c>
      <c r="G6" s="4" t="n"/>
      <c r="H6" s="9" t="inlineStr">
        <is>
          <t>OneSize</t>
        </is>
      </c>
      <c r="I6" s="20" t="n">
        <v>495000</v>
      </c>
      <c r="J6" s="10" t="n">
        <v>539000</v>
      </c>
      <c r="K6" s="11" t="n">
        <v>5</v>
      </c>
      <c r="L6" s="7" t="inlineStr">
        <is>
          <t>https://www.gucci.com/jp/ja/pr/women/handbags/shoulder-bags-for-women/half-moon-bags-for-women/gucci-jackie-1961-small-shoulder-bag-p-810232AAD5V1060</t>
        </is>
      </c>
      <c r="M6" s="6">
        <f t="array" ref="M6">_xlfn.IFS(J6="NOTFOUND",I6,J6&gt;=I6,J6)</f>
        <v/>
      </c>
    </row>
    <row r="7" ht="18" customHeight="1" s="18">
      <c r="A7" s="6" t="n">
        <v>4</v>
      </c>
      <c r="B7" s="6" t="inlineStr">
        <is>
          <t>GU-2256</t>
        </is>
      </c>
      <c r="D7" s="6" t="inlineStr">
        <is>
          <t>ジャッキー 1961 スモール ショルダーバッグ</t>
        </is>
      </c>
      <c r="E7" s="6" t="inlineStr">
        <is>
          <t>810232 AAD5V 2542</t>
        </is>
      </c>
      <c r="F7" s="6" t="inlineStr">
        <is>
          <t>ブラウン レザー</t>
        </is>
      </c>
      <c r="G7" s="4" t="n"/>
      <c r="H7" s="9" t="inlineStr">
        <is>
          <t>OneSize</t>
        </is>
      </c>
      <c r="I7" s="20" t="n">
        <v>495000</v>
      </c>
      <c r="J7" s="10" t="n">
        <v>539000</v>
      </c>
      <c r="K7" s="11" t="n">
        <v>5</v>
      </c>
      <c r="L7" s="7" t="inlineStr">
        <is>
          <t>https://www.gucci.com/jp/ja/pr/women/handbags/shoulder-bags-for-women/half-moon-bags-for-women/gucci-jackie-1961-small-shoulder-bag-p-810232AAD5V2542</t>
        </is>
      </c>
      <c r="M7" s="6">
        <f t="array" ref="M7">_xlfn.IFS(J7="NOTFOUND",I7,J7&gt;=I7,J7)</f>
        <v/>
      </c>
    </row>
    <row r="8" ht="18" customHeight="1" s="18">
      <c r="A8" s="6" t="n">
        <v>5</v>
      </c>
      <c r="B8" s="6" t="inlineStr">
        <is>
          <t>GU-2257</t>
        </is>
      </c>
      <c r="D8" s="6" t="inlineStr">
        <is>
          <t>GGマーモント ミニ ショルダーバッグ</t>
        </is>
      </c>
      <c r="E8" s="6" t="inlineStr">
        <is>
          <t>446744 AADPJ 6207</t>
        </is>
      </c>
      <c r="F8" s="6" t="inlineStr">
        <is>
          <t>グッチ ロッソ アンコーラ</t>
        </is>
      </c>
      <c r="G8" s="5" t="n"/>
      <c r="H8" s="12" t="inlineStr">
        <is>
          <t>SOLD</t>
        </is>
      </c>
      <c r="I8" s="20" t="n">
        <v>302500</v>
      </c>
      <c r="J8" s="13" t="inlineStr">
        <is>
          <t>NOTFOUND</t>
        </is>
      </c>
      <c r="K8" s="11" t="n">
        <v>0</v>
      </c>
      <c r="L8" s="8" t="inlineStr">
        <is>
          <t>https://www.gucci.com/jp/ja/pr/women/handbags/mini-bags-for-women/gg-marmont-mini-shoulder-bag-p-446744AADPJ6207</t>
        </is>
      </c>
      <c r="M8" s="6">
        <f t="array" ref="M8">_xlfn.IFS(J8="NOTFOUND",I8,J8&gt;=I8,J8)</f>
        <v/>
      </c>
    </row>
    <row r="9" ht="18" customHeight="1" s="18">
      <c r="A9" s="6" t="n">
        <v>6</v>
      </c>
      <c r="B9" s="6" t="inlineStr">
        <is>
          <t>GU-2258</t>
        </is>
      </c>
      <c r="D9" s="6" t="inlineStr">
        <is>
          <t>GGマーモント スモール マルチポケットバッグ</t>
        </is>
      </c>
      <c r="E9" s="6" t="inlineStr">
        <is>
          <t>795228 AADPJ 6207</t>
        </is>
      </c>
      <c r="F9" s="6" t="inlineStr">
        <is>
          <t>グッチ ロッソ アンコーラ レザー</t>
        </is>
      </c>
      <c r="G9" s="5" t="n"/>
      <c r="H9" s="12" t="inlineStr">
        <is>
          <t>SOLD</t>
        </is>
      </c>
      <c r="I9" s="20" t="n">
        <v>572000</v>
      </c>
      <c r="J9" s="13" t="inlineStr">
        <is>
          <t>NOTFOUND</t>
        </is>
      </c>
      <c r="K9" s="11" t="n">
        <v>0</v>
      </c>
      <c r="L9" s="8" t="inlineStr">
        <is>
          <t>https://www.gucci.com/jp/ja/pr/women/handbags/shoulder-bags-for-women/chain-bags-for-women/gg-marmont-small-multi-pocket-bag-p-795228AADPJ6207</t>
        </is>
      </c>
      <c r="M9" s="6">
        <f t="array" ref="M9">_xlfn.IFS(J9="NOTFOUND",I9,J9&gt;=I9,J9)</f>
        <v/>
      </c>
    </row>
    <row r="10" ht="18" customHeight="1" s="18">
      <c r="A10" s="6" t="n">
        <v>7</v>
      </c>
      <c r="B10" s="6" t="inlineStr">
        <is>
          <t>GU-2259</t>
        </is>
      </c>
      <c r="D10" s="6" t="inlineStr">
        <is>
          <t>GGマーモント スモール ショルダーバッグ</t>
        </is>
      </c>
      <c r="E10" s="6" t="inlineStr">
        <is>
          <t>447632 AABZB 1712</t>
        </is>
      </c>
      <c r="F10" s="6" t="inlineStr">
        <is>
          <t>ライトグレー レザー</t>
        </is>
      </c>
      <c r="G10" s="4" t="n"/>
      <c r="H10" s="12" t="inlineStr">
        <is>
          <t>SOLD</t>
        </is>
      </c>
      <c r="I10" s="20" t="n">
        <v>227700</v>
      </c>
      <c r="J10" s="10" t="n">
        <v>264000</v>
      </c>
      <c r="K10" s="11" t="n">
        <v>0</v>
      </c>
      <c r="L10" s="7" t="inlineStr">
        <is>
          <t>https://www.gucci.com/jp/ja/pr/women/handbags/shoulder-bags-for-women/camera-bags-for-women/gg-marmont-small-shoulder-bag-p-447632AABZB1712</t>
        </is>
      </c>
      <c r="M10" s="6">
        <f t="array" ref="M10">_xlfn.IFS(J10="NOTFOUND",I10,J10&gt;=I10,J10)</f>
        <v/>
      </c>
    </row>
    <row r="11" ht="18" customHeight="1" s="18">
      <c r="A11" s="6" t="n">
        <v>8</v>
      </c>
      <c r="B11" s="6" t="inlineStr">
        <is>
          <t>GU-2260</t>
        </is>
      </c>
      <c r="D11" s="6" t="inlineStr">
        <is>
          <t>GGマーモント スモール ショルダーバッグ</t>
        </is>
      </c>
      <c r="E11" s="6" t="inlineStr">
        <is>
          <t>443497 AABZC 1712</t>
        </is>
      </c>
      <c r="F11" s="6" t="inlineStr">
        <is>
          <t>ライトグレー レザー</t>
        </is>
      </c>
      <c r="G11" s="4" t="n"/>
      <c r="H11" s="9" t="inlineStr">
        <is>
          <t>OneSize</t>
        </is>
      </c>
      <c r="I11" s="20" t="n">
        <v>324500</v>
      </c>
      <c r="J11" s="10" t="n">
        <v>379500</v>
      </c>
      <c r="K11" s="11" t="n">
        <v>5</v>
      </c>
      <c r="L11" s="7" t="inlineStr">
        <is>
          <t>https://www.gucci.com/jp/ja/pr/women/handbags/shoulder-bags-for-women/chain-bags-for-women/gg-marmont-small-shoulder-bag-p-443497AABZC1712</t>
        </is>
      </c>
      <c r="M11" s="6">
        <f t="array" ref="M11">_xlfn.IFS(J11="NOTFOUND",I11,J11&gt;=I11,J11)</f>
        <v/>
      </c>
    </row>
    <row r="12" ht="18" customHeight="1" s="18">
      <c r="A12" s="6" t="n">
        <v>9</v>
      </c>
      <c r="B12" s="6" t="inlineStr">
        <is>
          <t>GU-2261</t>
        </is>
      </c>
      <c r="D12" s="6" t="inlineStr">
        <is>
          <t>GGマーモント  キルティング ミニバッグ</t>
        </is>
      </c>
      <c r="E12" s="6" t="inlineStr">
        <is>
          <t>448065 DTD1T 1000</t>
        </is>
      </c>
      <c r="F12" s="6" t="inlineStr">
        <is>
          <t xml:space="preserve">  -</t>
        </is>
      </c>
      <c r="G12" s="4" t="n"/>
      <c r="H12" s="9" t="inlineStr">
        <is>
          <t>OneSize</t>
        </is>
      </c>
      <c r="I12" s="20" t="n">
        <v>211200</v>
      </c>
      <c r="J12" s="10" t="n">
        <v>247500</v>
      </c>
      <c r="K12" s="11" t="n">
        <v>5</v>
      </c>
      <c r="L12" s="7" t="inlineStr">
        <is>
          <t>https://www.gucci.com/jp/ja/pr/women/handbags/mini-bags-for-women/gg-marmont-mini-shoulder-bag-p-448065DTD1T1000</t>
        </is>
      </c>
      <c r="M12" s="6">
        <f t="array" ref="M12">_xlfn.IFS(J12="NOTFOUND",I12,J12&gt;=I12,J12)</f>
        <v/>
      </c>
    </row>
    <row r="13" ht="18" customHeight="1" s="18">
      <c r="A13" s="6" t="n">
        <v>10</v>
      </c>
      <c r="B13" s="6" t="inlineStr">
        <is>
          <t>GU-2262</t>
        </is>
      </c>
      <c r="D13" s="6" t="inlineStr">
        <is>
          <t>GGマーモント  キルティング ミニバッグ</t>
        </is>
      </c>
      <c r="E13" s="6" t="inlineStr">
        <is>
          <t>446744 DTDIT 1000</t>
        </is>
      </c>
      <c r="F13" s="6" t="inlineStr">
        <is>
          <t>ブラック レザー</t>
        </is>
      </c>
      <c r="G13" s="5" t="n"/>
      <c r="H13" s="12" t="inlineStr">
        <is>
          <t>SOLD</t>
        </is>
      </c>
      <c r="I13" s="20" t="n">
        <v>302500</v>
      </c>
      <c r="J13" s="13" t="inlineStr">
        <is>
          <t>NOTFOUND</t>
        </is>
      </c>
      <c r="K13" s="11" t="n">
        <v>0</v>
      </c>
      <c r="L13" s="7" t="inlineStr">
        <is>
          <t>https://www.gucci.com/jp/ja/pr/women/handbags/mini-bags-for-women/gg-marmont-mini-shoulder-bag-p-446744DTDIT1000</t>
        </is>
      </c>
      <c r="M13" s="6">
        <f t="array" ref="M13">_xlfn.IFS(J13="NOTFOUND",I13,J13&gt;=I13,J13)</f>
        <v/>
      </c>
    </row>
    <row r="14" ht="18" customHeight="1" s="18">
      <c r="A14" s="6" t="n">
        <v>1972</v>
      </c>
      <c r="B14" s="3" t="inlineStr">
        <is>
          <t>GU-4230</t>
        </is>
      </c>
      <c r="D14" s="3" t="inlineStr">
        <is>
          <t>エンボス コットンポプリン シャツ</t>
        </is>
      </c>
      <c r="E14" s="3" t="inlineStr">
        <is>
          <t>823830 Z7AMD 2319</t>
        </is>
      </c>
      <c r="G14" s="4" t="inlineStr">
        <is>
          <t>44_46_48_50_52</t>
        </is>
      </c>
      <c r="H14" s="9" t="inlineStr">
        <is>
          <t>44_46_48_50_52</t>
        </is>
      </c>
      <c r="I14" s="20" t="n">
        <v>143000</v>
      </c>
      <c r="J14" s="10" t="n">
        <v>143000</v>
      </c>
      <c r="K14" s="11" t="n">
        <v>5</v>
      </c>
      <c r="L14" s="7" t="inlineStr">
        <is>
          <t>https://www.gucci.com/jp/ja/pr/men/ready-to-wear-for-men/shirts-for-men/long-slevees-for-men/embossed-cotton-poplin-shirt-p-823830Z7AMD2319</t>
        </is>
      </c>
      <c r="M14" s="6">
        <f t="array" ref="M14">_xlfn.IFS(J14="NOTFOUND",I14,J14&gt;=I14,J14)</f>
        <v/>
      </c>
    </row>
    <row r="15" ht="18" customHeight="1" s="18">
      <c r="A15" s="6" t="n">
        <v>1973</v>
      </c>
      <c r="B15" s="3" t="inlineStr">
        <is>
          <t>GU-4231</t>
        </is>
      </c>
      <c r="D15" s="3" t="inlineStr">
        <is>
          <t>コットンポプリン シャツ</t>
        </is>
      </c>
      <c r="E15" s="3" t="inlineStr">
        <is>
          <t>823830 Z7AMD 1000</t>
        </is>
      </c>
      <c r="G15" s="4" t="inlineStr">
        <is>
          <t>44_46_48_50</t>
        </is>
      </c>
      <c r="H15" s="9" t="inlineStr">
        <is>
          <t>44_46_48_50</t>
        </is>
      </c>
      <c r="I15" s="20" t="n">
        <v>143000</v>
      </c>
      <c r="J15" s="10" t="n">
        <v>143000</v>
      </c>
      <c r="K15" s="11" t="n">
        <v>5</v>
      </c>
      <c r="L15" s="8" t="inlineStr">
        <is>
          <t>https://www.gucci.com/jp/ja/pr/men/ready-to-wear-for-men/shirts-for-men/long-slevees-for-men/cotton-poplin-shirt-p-823830Z7AMD1000</t>
        </is>
      </c>
      <c r="M15" s="6">
        <f t="array" ref="M15">_xlfn.IFS(J15="NOTFOUND",I15,J15&gt;=I15,J15)</f>
        <v/>
      </c>
    </row>
    <row r="16" ht="18" customHeight="1" s="18">
      <c r="A16" s="6" t="n">
        <v>1974</v>
      </c>
      <c r="B16" s="3" t="inlineStr">
        <is>
          <t>GU-4232</t>
        </is>
      </c>
      <c r="D16" s="3" t="inlineStr">
        <is>
          <t>GGキャンバス シャツ</t>
        </is>
      </c>
      <c r="E16" s="3" t="inlineStr">
        <is>
          <t>795200 ZAF4S 4596</t>
        </is>
      </c>
      <c r="G16" s="4" t="inlineStr">
        <is>
          <t>42_44_46_48_50_52_54</t>
        </is>
      </c>
      <c r="H16" s="9" t="inlineStr">
        <is>
          <t>42_44_46_48_50_52_54</t>
        </is>
      </c>
      <c r="I16" s="20" t="n">
        <v>176000</v>
      </c>
      <c r="J16" s="10" t="n">
        <v>176000</v>
      </c>
      <c r="K16" s="11" t="n">
        <v>5</v>
      </c>
      <c r="L16" s="7" t="inlineStr">
        <is>
          <t>https://www.gucci.com/jp/ja/pr/men/ready-to-wear-for-men/shirts-for-men/long-slevees-for-men/gg-canvas-shirt-p-795200ZAF4S4596</t>
        </is>
      </c>
      <c r="M16" s="6">
        <f t="array" ref="M16">_xlfn.IFS(J16="NOTFOUND",I16,J16&gt;=I16,J16)</f>
        <v/>
      </c>
    </row>
    <row r="17" ht="18" customHeight="1" s="18">
      <c r="A17" s="6" t="n">
        <v>1975</v>
      </c>
      <c r="B17" s="3" t="inlineStr">
        <is>
          <t>GU-4233</t>
        </is>
      </c>
      <c r="D17" s="3" t="inlineStr">
        <is>
          <t>エンブロイダリー ウール シャツ</t>
        </is>
      </c>
      <c r="E17" s="3" t="inlineStr">
        <is>
          <t>794866 ZAQ1F 1089</t>
        </is>
      </c>
      <c r="G17" s="4" t="inlineStr">
        <is>
          <t>50_52</t>
        </is>
      </c>
      <c r="H17" s="9" t="inlineStr">
        <is>
          <t>50_52</t>
        </is>
      </c>
      <c r="I17" s="20" t="n">
        <v>214500</v>
      </c>
      <c r="J17" s="10" t="n">
        <v>214500</v>
      </c>
      <c r="K17" s="11" t="n">
        <v>5</v>
      </c>
      <c r="L17" s="7" t="inlineStr">
        <is>
          <t>https://www.gucci.com/jp/ja/pr/men/ready-to-wear-for-men/shirts-for-men/long-slevees-for-men/wool-shirt-with-embroidery-p-794866ZAQ1F1089</t>
        </is>
      </c>
      <c r="M17" s="6">
        <f t="array" ref="M17">_xlfn.IFS(J17="NOTFOUND",I17,J17&gt;=I17,J17)</f>
        <v/>
      </c>
    </row>
    <row r="18" ht="18" customHeight="1" s="18">
      <c r="A18" s="6" t="n">
        <v>1976</v>
      </c>
      <c r="B18" s="3" t="inlineStr">
        <is>
          <t>GU-4236</t>
        </is>
      </c>
      <c r="D18" s="3" t="inlineStr">
        <is>
          <t>マキシ GGキャンバス シャツ</t>
        </is>
      </c>
      <c r="E18" s="3" t="inlineStr">
        <is>
          <t>770426 ZAHT5 2580</t>
        </is>
      </c>
      <c r="G18" s="4" t="inlineStr">
        <is>
          <t>44_46_48_50_52_54</t>
        </is>
      </c>
      <c r="H18" s="9" t="inlineStr">
        <is>
          <t>44_46_48_50_52</t>
        </is>
      </c>
      <c r="I18" s="20" t="n">
        <v>176000</v>
      </c>
      <c r="J18" s="10" t="n">
        <v>176000</v>
      </c>
      <c r="K18" s="11" t="n">
        <v>5</v>
      </c>
      <c r="L18" s="7" t="inlineStr">
        <is>
          <t>https://www.gucci.com/jp/ja/pr/men/ready-to-wear-for-men/shirts-for-men/long-slevees-for-men/maxi-gg-canvas-shirt-p-770426ZAHT52580</t>
        </is>
      </c>
      <c r="M18" s="6">
        <f t="array" ref="M18">_xlfn.IFS(J18="NOTFOUND",I18,J18&gt;=I18,J18)</f>
        <v/>
      </c>
    </row>
    <row r="19" ht="18" customHeight="1" s="18">
      <c r="A19" s="6" t="n">
        <v>1977</v>
      </c>
      <c r="B19" s="3" t="inlineStr">
        <is>
          <t>GU-4242</t>
        </is>
      </c>
      <c r="D19" s="3" t="inlineStr">
        <is>
          <t>インターシャ コットンピケ ポロTシャツ</t>
        </is>
      </c>
      <c r="E19" s="3" t="inlineStr">
        <is>
          <t>824477 XKEYD 9275</t>
        </is>
      </c>
      <c r="G19" s="4" t="inlineStr">
        <is>
          <t>XS_S_M_L_XL</t>
        </is>
      </c>
      <c r="H19" s="9" t="inlineStr">
        <is>
          <t>XS_S_M_L</t>
        </is>
      </c>
      <c r="I19" s="20" t="n">
        <v>214500</v>
      </c>
      <c r="J19" s="10" t="n">
        <v>214500</v>
      </c>
      <c r="K19" s="11" t="n">
        <v>5</v>
      </c>
      <c r="L19" s="7" t="inlineStr">
        <is>
          <t>https://www.gucci.com/jp/ja/pr/men/ready-to-wear-for-men/knitwear-for-men/knitted-polo-for-men/cotton-piquet-polo-shirt-with-intarsia-p-824477XKEYD9275</t>
        </is>
      </c>
      <c r="M19" s="6">
        <f t="array" ref="M19">_xlfn.IFS(J19="NOTFOUND",I19,J19&gt;=I19,J19)</f>
        <v/>
      </c>
    </row>
    <row r="20" ht="18" customHeight="1" s="18">
      <c r="A20" s="6" t="n">
        <v>1978</v>
      </c>
      <c r="B20" s="3" t="inlineStr">
        <is>
          <t>GU-4243</t>
        </is>
      </c>
      <c r="D20" s="3" t="inlineStr">
        <is>
          <t>インターシャ コットン カーディガン</t>
        </is>
      </c>
      <c r="E20" s="3" t="inlineStr">
        <is>
          <t>814520 XKEJS 9133</t>
        </is>
      </c>
      <c r="G20" s="4" t="inlineStr">
        <is>
          <t>XS_S_M_L</t>
        </is>
      </c>
      <c r="H20" s="9" t="inlineStr">
        <is>
          <t>XS_S_M</t>
        </is>
      </c>
      <c r="I20" s="20" t="n">
        <v>341000</v>
      </c>
      <c r="J20" s="10" t="n">
        <v>341000</v>
      </c>
      <c r="K20" s="11" t="n">
        <v>5</v>
      </c>
      <c r="L20" s="7" t="inlineStr">
        <is>
          <t>https://www.gucci.com/jp/ja/pr/men/ready-to-wear-for-men/knitwear-for-men/cardigans-for-men/cotton-cardigan-with-intarsia-p-814520XKEJS9133</t>
        </is>
      </c>
      <c r="M20" s="6">
        <f t="array" ref="M20">_xlfn.IFS(J20="NOTFOUND",I20,J20&gt;=I20,J20)</f>
        <v/>
      </c>
    </row>
    <row r="21" ht="18" customHeight="1" s="18">
      <c r="A21" s="6" t="n">
        <v>1979</v>
      </c>
      <c r="B21" s="3" t="inlineStr">
        <is>
          <t>GU-4244</t>
        </is>
      </c>
      <c r="D21" s="3" t="inlineStr">
        <is>
          <t>GG コットンニット ジャカード ポロTシャツ</t>
        </is>
      </c>
      <c r="E21" s="3" t="inlineStr">
        <is>
          <t>834168 XKEZD 4804</t>
        </is>
      </c>
      <c r="G21" s="4" t="inlineStr">
        <is>
          <t>XS_S_M_L_XL</t>
        </is>
      </c>
      <c r="H21" s="9" t="inlineStr">
        <is>
          <t>XS_S_M_L_XL</t>
        </is>
      </c>
      <c r="I21" s="20" t="n">
        <v>258500</v>
      </c>
      <c r="J21" s="10" t="n">
        <v>258500</v>
      </c>
      <c r="K21" s="11" t="n">
        <v>5</v>
      </c>
      <c r="L21" s="7" t="inlineStr">
        <is>
          <t>https://www.gucci.com/jp/ja/pr/men/ready-to-wear-for-men/knitwear-for-men/knitted-polo-for-men/gg-cotton-knit-jacquard-polo-shirt-p-834168XKEZD4804</t>
        </is>
      </c>
      <c r="M21" s="6">
        <f t="array" ref="M21">_xlfn.IFS(J21="NOTFOUND",I21,J21&gt;=I21,J21)</f>
        <v/>
      </c>
    </row>
    <row r="22" ht="18" customHeight="1" s="18">
      <c r="A22" s="6" t="n">
        <v>1980</v>
      </c>
      <c r="B22" s="3" t="inlineStr">
        <is>
          <t>GU-4245</t>
        </is>
      </c>
      <c r="D22" s="3" t="inlineStr">
        <is>
          <t>ウェブ ストライプ シルクコットン ポロシャツ</t>
        </is>
      </c>
      <c r="E22" s="3" t="inlineStr">
        <is>
          <t>814994 XKEKK 4345</t>
        </is>
      </c>
      <c r="G22" s="4" t="inlineStr">
        <is>
          <t>XS_S_M_L</t>
        </is>
      </c>
      <c r="H22" s="9" t="inlineStr">
        <is>
          <t>XS_S_M_L</t>
        </is>
      </c>
      <c r="I22" s="20" t="n">
        <v>231000</v>
      </c>
      <c r="J22" s="10" t="n">
        <v>231000</v>
      </c>
      <c r="K22" s="11" t="n">
        <v>5</v>
      </c>
      <c r="L22" s="7" t="inlineStr">
        <is>
          <t>https://www.gucci.com/jp/ja/pr/men/ready-to-wear-for-men/knitwear-for-men/knitted-polo-for-men/silk-cotton-polo-shirt-with-web-p-814994XKEKK4345</t>
        </is>
      </c>
      <c r="M22" s="6">
        <f t="array" ref="M22">_xlfn.IFS(J22="NOTFOUND",I22,J22&gt;=I22,J22)</f>
        <v/>
      </c>
    </row>
    <row r="23" ht="18" customHeight="1" s="18">
      <c r="A23" s="6" t="n">
        <v>1981</v>
      </c>
      <c r="B23" s="3" t="inlineStr">
        <is>
          <t>GU-4246</t>
        </is>
      </c>
      <c r="D23" s="3" t="inlineStr">
        <is>
          <t>シルクコットン ニット ポロシャツ</t>
        </is>
      </c>
      <c r="E23" s="3" t="inlineStr">
        <is>
          <t>784644 XKD2A 4137</t>
        </is>
      </c>
      <c r="G23" s="4" t="inlineStr">
        <is>
          <t>XS_S_M_L_XL</t>
        </is>
      </c>
      <c r="H23" s="9" t="inlineStr">
        <is>
          <t>XS_S_M_L_XL</t>
        </is>
      </c>
      <c r="I23" s="20" t="n">
        <v>225500</v>
      </c>
      <c r="J23" s="10" t="n">
        <v>225500</v>
      </c>
      <c r="K23" s="11" t="n">
        <v>5</v>
      </c>
      <c r="L23" s="7" t="inlineStr">
        <is>
          <t>https://www.gucci.com/jp/ja/pr/men/ready-to-wear-for-men/knitwear-for-men/knitted-polo-for-men/silk-cotton-knit-polo-shirt-p-784644XKD2A4137</t>
        </is>
      </c>
      <c r="M23" s="6">
        <f t="array" ref="M23">_xlfn.IFS(J23="NOTFOUND",I23,J23&gt;=I23,J23)</f>
        <v/>
      </c>
    </row>
    <row r="24" ht="18" customHeight="1" s="18">
      <c r="A24" s="6" t="n">
        <v>1982</v>
      </c>
      <c r="B24" s="3" t="inlineStr">
        <is>
          <t>GU-4247</t>
        </is>
      </c>
      <c r="D24" s="3" t="inlineStr">
        <is>
          <t>インターシャ シルクコットン ニット セーター</t>
        </is>
      </c>
      <c r="E24" s="3" t="inlineStr">
        <is>
          <t>828711 XKD2A 4137</t>
        </is>
      </c>
      <c r="G24" s="4" t="inlineStr">
        <is>
          <t>XS_S_M_L_XL</t>
        </is>
      </c>
      <c r="H24" s="9" t="inlineStr">
        <is>
          <t>XS_S_M_L_XL</t>
        </is>
      </c>
      <c r="I24" s="20" t="n">
        <v>198000</v>
      </c>
      <c r="J24" s="10" t="n">
        <v>198000</v>
      </c>
      <c r="K24" s="11" t="n">
        <v>5</v>
      </c>
      <c r="L24" s="7" t="inlineStr">
        <is>
          <t>https://www.gucci.com/jp/ja/pr/men/ready-to-wear-for-men/knitwear-for-men/crewnecks-for-men/silk-cotton-knit-sweater-with-intarsia-p-828711XKD2A4137</t>
        </is>
      </c>
      <c r="M24" s="6">
        <f t="array" ref="M24">_xlfn.IFS(J24="NOTFOUND",I24,J24&gt;=I24,J24)</f>
        <v/>
      </c>
    </row>
  </sheetData>
  <hyperlinks>
    <hyperlink xmlns:r="http://schemas.openxmlformats.org/officeDocument/2006/relationships" ref="L2" r:id="rId1"/>
    <hyperlink xmlns:r="http://schemas.openxmlformats.org/officeDocument/2006/relationships" ref="L8" r:id="rId2"/>
    <hyperlink xmlns:r="http://schemas.openxmlformats.org/officeDocument/2006/relationships" ref="L9" r:id="rId3"/>
    <hyperlink xmlns:r="http://schemas.openxmlformats.org/officeDocument/2006/relationships" ref="L15" r:id="rId4"/>
  </hyperlinks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hirofumi yamamoto</dc:creator>
  <dcterms:created xsi:type="dcterms:W3CDTF">2025-01-11T05:12:01Z</dcterms:created>
  <dcterms:modified xsi:type="dcterms:W3CDTF">2025-09-28T01:26:58Z</dcterms:modified>
  <cp:lastModifiedBy>矢代 房夫</cp:lastModifiedBy>
</cp:coreProperties>
</file>